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README" sheetId="1" state="visible" r:id="rId1"/>
    <sheet name="Controls" sheetId="2" state="visible" r:id="rId2"/>
    <sheet name="Dashboard_Data" sheetId="3" state="visible" r:id="rId3"/>
    <sheet name="Summary" sheetId="4" state="visible" r:id="rId4"/>
    <sheet name="Raw_Data" sheetId="5" state="visible" r:id="rId5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i val="1"/>
      <color rgb="FFC55A11"/>
      <sz val="11"/>
    </font>
    <font>
      <name val="Calibri"/>
      <color rgb="FF008000"/>
      <sz val="11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DE7F6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0">
    <xf numFmtId="0" fontId="0" fillId="0" borderId="0" pivotButton="0" quotePrefix="0" xfId="0"/>
    <xf numFmtId="0" fontId="20" fillId="34" borderId="0" pivotButton="0" quotePrefix="0" xfId="0"/>
    <xf numFmtId="0" fontId="20" fillId="35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2" fillId="0" borderId="0" pivotButton="0" quotePrefix="0" xfId="0"/>
    <xf numFmtId="0" fontId="18" fillId="33" borderId="0" applyAlignment="1" pivotButton="0" quotePrefix="0" xfId="0">
      <alignment horizontal="center" wrapText="1"/>
    </xf>
    <xf numFmtId="1" fontId="24" fillId="0" borderId="0" pivotButton="0" quotePrefix="0" xfId="0"/>
    <xf numFmtId="3" fontId="24" fillId="0" borderId="0" pivotButton="0" quotePrefix="0" xfId="0"/>
    <xf numFmtId="164" fontId="24" fillId="0" borderId="0" pivotButton="0" quotePrefix="0" xfId="0"/>
    <xf numFmtId="165" fontId="24" fillId="0" borderId="0" pivotButton="0" quotePrefix="0" xfId="0"/>
    <xf numFmtId="164" fontId="22" fillId="0" borderId="0" pivotButton="0" quotePrefix="0" xfId="0"/>
    <xf numFmtId="2" fontId="22" fillId="0" borderId="0" pivotButton="0" quotePrefix="0" xfId="0"/>
    <xf numFmtId="0" fontId="20" fillId="0" borderId="0" pivotButton="0" quotePrefix="0" xfId="0"/>
    <xf numFmtId="2" fontId="0" fillId="0" borderId="0" pivotButton="0" quotePrefix="0" xfId="0"/>
    <xf numFmtId="0" fontId="18" fillId="33" borderId="0" applyAlignment="1" pivotButton="0" quotePrefix="0" xfId="0">
      <alignment horizontal="center"/>
    </xf>
    <xf numFmtId="0" fontId="19" fillId="33" borderId="0" pivotButton="0" quotePrefix="0" xfId="0"/>
    <xf numFmtId="0" fontId="0" fillId="0" borderId="0" pivotButton="0" quotePrefix="0" xfId="0"/>
    <xf numFmtId="0" fontId="18" fillId="33" borderId="0" pivotButton="0" quotePrefix="0" xfId="0"/>
    <xf numFmtId="0" fontId="1" fillId="0" borderId="0" pivotButton="0" quotePrefix="0" xfId="0"/>
  </cellXfs>
  <cellStyles count="42">
    <cellStyle name="Normal" xfId="0" builtin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dxfs count="7"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DLS vs Depth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Dashboard_Data!$M$1</f>
              <strCache>
                <ptCount val="1"/>
                <pt idx="0">
                  <v>DLS_deg_per_100ft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Dashboard_Data!$A$2:$A$152</f>
              <numCache>
                <formatCode>0</formatCode>
                <ptCount val="151"/>
                <pt idx="0">
                  <v>3305</v>
                </pt>
                <pt idx="1">
                  <v>3310</v>
                </pt>
                <pt idx="2">
                  <v>3315</v>
                </pt>
                <pt idx="3">
                  <v>3320</v>
                </pt>
                <pt idx="4">
                  <v>3325</v>
                </pt>
                <pt idx="5">
                  <v>3330</v>
                </pt>
                <pt idx="6">
                  <v>3335</v>
                </pt>
                <pt idx="7">
                  <v>3340</v>
                </pt>
                <pt idx="8">
                  <v>3345</v>
                </pt>
                <pt idx="9">
                  <v>3350</v>
                </pt>
                <pt idx="10">
                  <v>3355</v>
                </pt>
                <pt idx="11">
                  <v>3360</v>
                </pt>
                <pt idx="12">
                  <v>3365</v>
                </pt>
                <pt idx="13">
                  <v>3370</v>
                </pt>
                <pt idx="14">
                  <v>3375</v>
                </pt>
                <pt idx="15">
                  <v>3380</v>
                </pt>
                <pt idx="16">
                  <v>3390</v>
                </pt>
                <pt idx="17">
                  <v>3395</v>
                </pt>
                <pt idx="18">
                  <v>3400</v>
                </pt>
                <pt idx="19">
                  <v>3405</v>
                </pt>
                <pt idx="20">
                  <v>3415</v>
                </pt>
                <pt idx="21">
                  <v>3420</v>
                </pt>
                <pt idx="22">
                  <v>3425</v>
                </pt>
                <pt idx="23">
                  <v>3430</v>
                </pt>
                <pt idx="24">
                  <v>3435</v>
                </pt>
                <pt idx="25">
                  <v>3440</v>
                </pt>
                <pt idx="26">
                  <v>3445</v>
                </pt>
                <pt idx="27">
                  <v>3450</v>
                </pt>
                <pt idx="28">
                  <v>3455</v>
                </pt>
                <pt idx="29">
                  <v>3460</v>
                </pt>
                <pt idx="30">
                  <v>3465</v>
                </pt>
                <pt idx="31">
                  <v>3470</v>
                </pt>
                <pt idx="32">
                  <v>3475</v>
                </pt>
                <pt idx="33">
                  <v>3480</v>
                </pt>
                <pt idx="34">
                  <v>3485</v>
                </pt>
                <pt idx="35">
                  <v>3490</v>
                </pt>
                <pt idx="36">
                  <v>3495</v>
                </pt>
                <pt idx="37">
                  <v>3500</v>
                </pt>
                <pt idx="38">
                  <v>3505</v>
                </pt>
                <pt idx="39">
                  <v>3510</v>
                </pt>
                <pt idx="40">
                  <v>3515</v>
                </pt>
                <pt idx="41">
                  <v>3520</v>
                </pt>
                <pt idx="42">
                  <v>3525</v>
                </pt>
                <pt idx="43">
                  <v>3530</v>
                </pt>
                <pt idx="44">
                  <v>3535</v>
                </pt>
                <pt idx="45">
                  <v>3540</v>
                </pt>
                <pt idx="46">
                  <v>3545</v>
                </pt>
                <pt idx="47">
                  <v>3550</v>
                </pt>
                <pt idx="48">
                  <v>3555</v>
                </pt>
                <pt idx="49">
                  <v>3560</v>
                </pt>
                <pt idx="50">
                  <v>3565</v>
                </pt>
                <pt idx="51">
                  <v>3580</v>
                </pt>
                <pt idx="52">
                  <v>3585</v>
                </pt>
                <pt idx="53">
                  <v>3590</v>
                </pt>
                <pt idx="54">
                  <v>3595</v>
                </pt>
                <pt idx="55">
                  <v>3600</v>
                </pt>
                <pt idx="56">
                  <v>3605</v>
                </pt>
                <pt idx="57">
                  <v>3610</v>
                </pt>
                <pt idx="58">
                  <v>3615</v>
                </pt>
                <pt idx="59">
                  <v>3620</v>
                </pt>
                <pt idx="60">
                  <v>3625</v>
                </pt>
                <pt idx="61">
                  <v>3630</v>
                </pt>
                <pt idx="62">
                  <v>3635</v>
                </pt>
                <pt idx="63">
                  <v>3640</v>
                </pt>
                <pt idx="64">
                  <v>3645</v>
                </pt>
                <pt idx="65">
                  <v>3650</v>
                </pt>
                <pt idx="66">
                  <v>3655</v>
                </pt>
                <pt idx="67">
                  <v>3660</v>
                </pt>
                <pt idx="68">
                  <v>3665</v>
                </pt>
                <pt idx="69">
                  <v>3670</v>
                </pt>
                <pt idx="70">
                  <v>3675</v>
                </pt>
                <pt idx="71">
                  <v>3680</v>
                </pt>
                <pt idx="72">
                  <v>3685</v>
                </pt>
                <pt idx="73">
                  <v>3690</v>
                </pt>
                <pt idx="74">
                  <v>3695</v>
                </pt>
                <pt idx="75">
                  <v>3700</v>
                </pt>
                <pt idx="76">
                  <v>3705</v>
                </pt>
                <pt idx="77">
                  <v>3710</v>
                </pt>
                <pt idx="78">
                  <v>3715</v>
                </pt>
                <pt idx="79">
                  <v>3720</v>
                </pt>
                <pt idx="80">
                  <v>3725</v>
                </pt>
                <pt idx="81">
                  <v>3730</v>
                </pt>
                <pt idx="82">
                  <v>3735</v>
                </pt>
                <pt idx="83">
                  <v>3740</v>
                </pt>
                <pt idx="84">
                  <v>3745</v>
                </pt>
                <pt idx="85">
                  <v>3750</v>
                </pt>
                <pt idx="86">
                  <v>3755</v>
                </pt>
                <pt idx="87">
                  <v>3760</v>
                </pt>
                <pt idx="88">
                  <v>3765</v>
                </pt>
                <pt idx="89">
                  <v>3770</v>
                </pt>
                <pt idx="90">
                  <v>3775</v>
                </pt>
                <pt idx="91">
                  <v>3780</v>
                </pt>
                <pt idx="92">
                  <v>3785</v>
                </pt>
                <pt idx="93">
                  <v>3790</v>
                </pt>
                <pt idx="94">
                  <v>3795</v>
                </pt>
                <pt idx="95">
                  <v>3800</v>
                </pt>
                <pt idx="96">
                  <v>3805</v>
                </pt>
                <pt idx="97">
                  <v>3810</v>
                </pt>
                <pt idx="98">
                  <v>3815</v>
                </pt>
                <pt idx="99">
                  <v>3820</v>
                </pt>
                <pt idx="100">
                  <v>3825</v>
                </pt>
                <pt idx="101">
                  <v>3830</v>
                </pt>
                <pt idx="102">
                  <v>3835</v>
                </pt>
                <pt idx="103">
                  <v>3840</v>
                </pt>
                <pt idx="104">
                  <v>3845</v>
                </pt>
                <pt idx="105">
                  <v>3850</v>
                </pt>
                <pt idx="106">
                  <v>3855</v>
                </pt>
                <pt idx="107">
                  <v>3860</v>
                </pt>
                <pt idx="108">
                  <v>3865</v>
                </pt>
                <pt idx="109">
                  <v>3870</v>
                </pt>
                <pt idx="110">
                  <v>3875</v>
                </pt>
                <pt idx="111">
                  <v>3880</v>
                </pt>
                <pt idx="112">
                  <v>3885</v>
                </pt>
                <pt idx="113">
                  <v>3890</v>
                </pt>
                <pt idx="114">
                  <v>3895</v>
                </pt>
                <pt idx="115">
                  <v>3900</v>
                </pt>
                <pt idx="116">
                  <v>3905</v>
                </pt>
                <pt idx="117">
                  <v>3910</v>
                </pt>
                <pt idx="118">
                  <v>3915</v>
                </pt>
                <pt idx="119">
                  <v>3920</v>
                </pt>
                <pt idx="120">
                  <v>3925</v>
                </pt>
                <pt idx="121">
                  <v>3940</v>
                </pt>
                <pt idx="122">
                  <v>3945</v>
                </pt>
                <pt idx="123">
                  <v>3950</v>
                </pt>
                <pt idx="124">
                  <v>3955</v>
                </pt>
                <pt idx="125">
                  <v>3960</v>
                </pt>
                <pt idx="126">
                  <v>3965</v>
                </pt>
                <pt idx="127">
                  <v>3970</v>
                </pt>
                <pt idx="128">
                  <v>3975</v>
                </pt>
                <pt idx="129">
                  <v>3980</v>
                </pt>
                <pt idx="130">
                  <v>3985</v>
                </pt>
                <pt idx="131">
                  <v>3990</v>
                </pt>
                <pt idx="132">
                  <v>3995</v>
                </pt>
                <pt idx="133">
                  <v>4000</v>
                </pt>
                <pt idx="134">
                  <v>4005</v>
                </pt>
                <pt idx="135">
                  <v>4010</v>
                </pt>
                <pt idx="136">
                  <v>4015</v>
                </pt>
                <pt idx="137">
                  <v>4020</v>
                </pt>
                <pt idx="138">
                  <v>4025</v>
                </pt>
                <pt idx="139">
                  <v>4030</v>
                </pt>
                <pt idx="140">
                  <v>4035</v>
                </pt>
                <pt idx="141">
                  <v>4040</v>
                </pt>
                <pt idx="142">
                  <v>4045</v>
                </pt>
                <pt idx="143">
                  <v>4050</v>
                </pt>
                <pt idx="144">
                  <v>4055</v>
                </pt>
                <pt idx="145">
                  <v>4060</v>
                </pt>
                <pt idx="146">
                  <v>4065</v>
                </pt>
                <pt idx="147">
                  <v>4070</v>
                </pt>
                <pt idx="148">
                  <v>4075</v>
                </pt>
                <pt idx="149">
                  <v>4080</v>
                </pt>
                <pt idx="150">
                  <v>4085</v>
                </pt>
              </numCache>
            </numRef>
          </cat>
          <val>
            <numRef>
              <f>Dashboard_Data!$M$2:$M$152</f>
              <numCache>
                <formatCode>0.00</formatCode>
                <ptCount val="151"/>
                <pt idx="0">
                  <v>3.2</v>
                </pt>
                <pt idx="1">
                  <v>4.29</v>
                </pt>
                <pt idx="2">
                  <v>4.58</v>
                </pt>
                <pt idx="3">
                  <v>2.81</v>
                </pt>
                <pt idx="4">
                  <v>2.74</v>
                </pt>
                <pt idx="5">
                  <v>2.6</v>
                </pt>
                <pt idx="6">
                  <v>2.38</v>
                </pt>
                <pt idx="7">
                  <v>2.21</v>
                </pt>
                <pt idx="8">
                  <v>1.98</v>
                </pt>
                <pt idx="9">
                  <v>2.56</v>
                </pt>
                <pt idx="10">
                  <v>3.04</v>
                </pt>
                <pt idx="11">
                  <v>3.2</v>
                </pt>
                <pt idx="12">
                  <v>3.35</v>
                </pt>
                <pt idx="13">
                  <v>3.29</v>
                </pt>
                <pt idx="14">
                  <v>3.28</v>
                </pt>
                <pt idx="15">
                  <v>3.28</v>
                </pt>
                <pt idx="16">
                  <v>3.09</v>
                </pt>
                <pt idx="17">
                  <v>3.24</v>
                </pt>
                <pt idx="18">
                  <v>2.98</v>
                </pt>
                <pt idx="19">
                  <v>4.29</v>
                </pt>
                <pt idx="20">
                  <v>3.18</v>
                </pt>
                <pt idx="21">
                  <v>3.16</v>
                </pt>
                <pt idx="22">
                  <v>2.8</v>
                </pt>
                <pt idx="23">
                  <v>2.02</v>
                </pt>
                <pt idx="24">
                  <v>1.93</v>
                </pt>
                <pt idx="25">
                  <v>1.93</v>
                </pt>
                <pt idx="26">
                  <v>1.94</v>
                </pt>
                <pt idx="27">
                  <v>2</v>
                </pt>
                <pt idx="28">
                  <v>2.07</v>
                </pt>
                <pt idx="29">
                  <v>2.17</v>
                </pt>
                <pt idx="30">
                  <v>1.99</v>
                </pt>
                <pt idx="31">
                  <v>2.07</v>
                </pt>
                <pt idx="32">
                  <v>2.18</v>
                </pt>
                <pt idx="33">
                  <v>2.22</v>
                </pt>
                <pt idx="34">
                  <v>2.12</v>
                </pt>
                <pt idx="35">
                  <v>2.1</v>
                </pt>
                <pt idx="36">
                  <v>2.18</v>
                </pt>
                <pt idx="37">
                  <v>2.13</v>
                </pt>
                <pt idx="38">
                  <v>2.25</v>
                </pt>
                <pt idx="39">
                  <v>2.04</v>
                </pt>
                <pt idx="40">
                  <v>2.1</v>
                </pt>
                <pt idx="41">
                  <v>2.45</v>
                </pt>
                <pt idx="42">
                  <v>2.28</v>
                </pt>
                <pt idx="43">
                  <v>2.16</v>
                </pt>
                <pt idx="44">
                  <v>2.01</v>
                </pt>
                <pt idx="45">
                  <v>2.05</v>
                </pt>
                <pt idx="46">
                  <v>1.96</v>
                </pt>
                <pt idx="47">
                  <v>2.28</v>
                </pt>
                <pt idx="48">
                  <v>2.4</v>
                </pt>
                <pt idx="49">
                  <v>2.49</v>
                </pt>
                <pt idx="50">
                  <v>2.65</v>
                </pt>
                <pt idx="51">
                  <v>2.51</v>
                </pt>
                <pt idx="52">
                  <v>2.05</v>
                </pt>
                <pt idx="53">
                  <v>2.52</v>
                </pt>
                <pt idx="54">
                  <v>1.95</v>
                </pt>
                <pt idx="55">
                  <v>1.85</v>
                </pt>
                <pt idx="56">
                  <v>1.89</v>
                </pt>
                <pt idx="57">
                  <v>1.85</v>
                </pt>
                <pt idx="58">
                  <v>3.14</v>
                </pt>
                <pt idx="59">
                  <v>2.51</v>
                </pt>
                <pt idx="60">
                  <v>2.44</v>
                </pt>
                <pt idx="61">
                  <v>2.32</v>
                </pt>
                <pt idx="62">
                  <v>2.38</v>
                </pt>
                <pt idx="63">
                  <v>2.58</v>
                </pt>
                <pt idx="64">
                  <v>2.37</v>
                </pt>
                <pt idx="65">
                  <v>4.25</v>
                </pt>
                <pt idx="66">
                  <v>3.45</v>
                </pt>
                <pt idx="67">
                  <v>2.62</v>
                </pt>
                <pt idx="68">
                  <v>2.74</v>
                </pt>
                <pt idx="69">
                  <v>3.09</v>
                </pt>
                <pt idx="70">
                  <v>3.15</v>
                </pt>
                <pt idx="71">
                  <v>3.07</v>
                </pt>
                <pt idx="72">
                  <v>3.27</v>
                </pt>
                <pt idx="73">
                  <v>2.59</v>
                </pt>
                <pt idx="74">
                  <v>2.33</v>
                </pt>
                <pt idx="75">
                  <v>4.77</v>
                </pt>
                <pt idx="76">
                  <v>4.74</v>
                </pt>
                <pt idx="77">
                  <v>4.36</v>
                </pt>
                <pt idx="78">
                  <v>4.48</v>
                </pt>
                <pt idx="79">
                  <v>4.45</v>
                </pt>
                <pt idx="80">
                  <v>4.47</v>
                </pt>
                <pt idx="81">
                  <v>4.81</v>
                </pt>
                <pt idx="82">
                  <v>4.82</v>
                </pt>
                <pt idx="83">
                  <v>5.02</v>
                </pt>
                <pt idx="84">
                  <v>5.31</v>
                </pt>
                <pt idx="85">
                  <v>5.14</v>
                </pt>
                <pt idx="86">
                  <v>4.19</v>
                </pt>
                <pt idx="87">
                  <v>4.38</v>
                </pt>
                <pt idx="88">
                  <v>4.36</v>
                </pt>
                <pt idx="89">
                  <v>3.98</v>
                </pt>
                <pt idx="90">
                  <v>4.45</v>
                </pt>
                <pt idx="91">
                  <v>5.06</v>
                </pt>
                <pt idx="92">
                  <v>5.06</v>
                </pt>
                <pt idx="93">
                  <v>5.11</v>
                </pt>
                <pt idx="94">
                  <v>5.01</v>
                </pt>
                <pt idx="95">
                  <v>4.9</v>
                </pt>
                <pt idx="96">
                  <v>5.29</v>
                </pt>
                <pt idx="97">
                  <v>5.5</v>
                </pt>
                <pt idx="98">
                  <v>5.1</v>
                </pt>
                <pt idx="99">
                  <v>4.91</v>
                </pt>
                <pt idx="100">
                  <v>5.27</v>
                </pt>
                <pt idx="101">
                  <v>6.13</v>
                </pt>
                <pt idx="102">
                  <v>7.41</v>
                </pt>
                <pt idx="103">
                  <v>7.41</v>
                </pt>
                <pt idx="104">
                  <v>7.82</v>
                </pt>
                <pt idx="105">
                  <v>7.47</v>
                </pt>
                <pt idx="106">
                  <v>7.4</v>
                </pt>
                <pt idx="107">
                  <v>8.5</v>
                </pt>
                <pt idx="108">
                  <v>8.5</v>
                </pt>
                <pt idx="109">
                  <v>8.529999999999999</v>
                </pt>
                <pt idx="110">
                  <v>8.5</v>
                </pt>
                <pt idx="111">
                  <v>7.76</v>
                </pt>
                <pt idx="112">
                  <v>7.7</v>
                </pt>
                <pt idx="113">
                  <v>7.23</v>
                </pt>
                <pt idx="114">
                  <v>7.41</v>
                </pt>
                <pt idx="115">
                  <v>7.04</v>
                </pt>
                <pt idx="116">
                  <v>6.99</v>
                </pt>
                <pt idx="117">
                  <v>8.41</v>
                </pt>
                <pt idx="118">
                  <v>7.5</v>
                </pt>
                <pt idx="119">
                  <v>8.17</v>
                </pt>
                <pt idx="120">
                  <v>7.51</v>
                </pt>
                <pt idx="121">
                  <v>5.93</v>
                </pt>
                <pt idx="122">
                  <v>5.47</v>
                </pt>
                <pt idx="123">
                  <v>5.81</v>
                </pt>
                <pt idx="124">
                  <v>6.14</v>
                </pt>
                <pt idx="125">
                  <v>5.94</v>
                </pt>
                <pt idx="126">
                  <v>5.44</v>
                </pt>
                <pt idx="127">
                  <v>5.11</v>
                </pt>
                <pt idx="128">
                  <v>5.37</v>
                </pt>
                <pt idx="129">
                  <v>5.32</v>
                </pt>
                <pt idx="130">
                  <v>4.75</v>
                </pt>
                <pt idx="131">
                  <v>4.92</v>
                </pt>
                <pt idx="132">
                  <v>5.05</v>
                </pt>
                <pt idx="133">
                  <v>5.26</v>
                </pt>
                <pt idx="134">
                  <v>5.92</v>
                </pt>
                <pt idx="135">
                  <v>5.63</v>
                </pt>
                <pt idx="136">
                  <v>5.07</v>
                </pt>
                <pt idx="137">
                  <v>4.93</v>
                </pt>
                <pt idx="138">
                  <v>4.82</v>
                </pt>
                <pt idx="139">
                  <v>4.78</v>
                </pt>
                <pt idx="140">
                  <v>4.82</v>
                </pt>
                <pt idx="141">
                  <v>5.13</v>
                </pt>
                <pt idx="142">
                  <v>5.4</v>
                </pt>
                <pt idx="143">
                  <v>4.98</v>
                </pt>
                <pt idx="144">
                  <v>5.31</v>
                </pt>
                <pt idx="145">
                  <v>5.41</v>
                </pt>
                <pt idx="146">
                  <v>6.22</v>
                </pt>
                <pt idx="147">
                  <v>7.62</v>
                </pt>
                <pt idx="148">
                  <v>8.800000000000001</v>
                </pt>
                <pt idx="149">
                  <v>8.640000000000001</v>
                </pt>
                <pt idx="150">
                  <v>8.710000000000001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/>
              <a:lstStyle/>
              <a:p>
                <a:r>
                  <a:rPr lang="en-US"/>
                  <a:t>Depth (ft)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/>
              <a:lstStyle/>
              <a:p>
                <a:r>
                  <a:rPr lang="en-US"/>
                  <a:t>DLS (deg/100ft)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Confidence vs Depth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Dashboard_Data!$R$1</f>
              <strCache>
                <ptCount val="1"/>
                <pt idx="0">
                  <v>Confidence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Dashboard_Data!$A$2:$A$152</f>
              <numCache>
                <formatCode>0</formatCode>
                <ptCount val="151"/>
                <pt idx="0">
                  <v>3305</v>
                </pt>
                <pt idx="1">
                  <v>3310</v>
                </pt>
                <pt idx="2">
                  <v>3315</v>
                </pt>
                <pt idx="3">
                  <v>3320</v>
                </pt>
                <pt idx="4">
                  <v>3325</v>
                </pt>
                <pt idx="5">
                  <v>3330</v>
                </pt>
                <pt idx="6">
                  <v>3335</v>
                </pt>
                <pt idx="7">
                  <v>3340</v>
                </pt>
                <pt idx="8">
                  <v>3345</v>
                </pt>
                <pt idx="9">
                  <v>3350</v>
                </pt>
                <pt idx="10">
                  <v>3355</v>
                </pt>
                <pt idx="11">
                  <v>3360</v>
                </pt>
                <pt idx="12">
                  <v>3365</v>
                </pt>
                <pt idx="13">
                  <v>3370</v>
                </pt>
                <pt idx="14">
                  <v>3375</v>
                </pt>
                <pt idx="15">
                  <v>3380</v>
                </pt>
                <pt idx="16">
                  <v>3390</v>
                </pt>
                <pt idx="17">
                  <v>3395</v>
                </pt>
                <pt idx="18">
                  <v>3400</v>
                </pt>
                <pt idx="19">
                  <v>3405</v>
                </pt>
                <pt idx="20">
                  <v>3415</v>
                </pt>
                <pt idx="21">
                  <v>3420</v>
                </pt>
                <pt idx="22">
                  <v>3425</v>
                </pt>
                <pt idx="23">
                  <v>3430</v>
                </pt>
                <pt idx="24">
                  <v>3435</v>
                </pt>
                <pt idx="25">
                  <v>3440</v>
                </pt>
                <pt idx="26">
                  <v>3445</v>
                </pt>
                <pt idx="27">
                  <v>3450</v>
                </pt>
                <pt idx="28">
                  <v>3455</v>
                </pt>
                <pt idx="29">
                  <v>3460</v>
                </pt>
                <pt idx="30">
                  <v>3465</v>
                </pt>
                <pt idx="31">
                  <v>3470</v>
                </pt>
                <pt idx="32">
                  <v>3475</v>
                </pt>
                <pt idx="33">
                  <v>3480</v>
                </pt>
                <pt idx="34">
                  <v>3485</v>
                </pt>
                <pt idx="35">
                  <v>3490</v>
                </pt>
                <pt idx="36">
                  <v>3495</v>
                </pt>
                <pt idx="37">
                  <v>3500</v>
                </pt>
                <pt idx="38">
                  <v>3505</v>
                </pt>
                <pt idx="39">
                  <v>3510</v>
                </pt>
                <pt idx="40">
                  <v>3515</v>
                </pt>
                <pt idx="41">
                  <v>3520</v>
                </pt>
                <pt idx="42">
                  <v>3525</v>
                </pt>
                <pt idx="43">
                  <v>3530</v>
                </pt>
                <pt idx="44">
                  <v>3535</v>
                </pt>
                <pt idx="45">
                  <v>3540</v>
                </pt>
                <pt idx="46">
                  <v>3545</v>
                </pt>
                <pt idx="47">
                  <v>3550</v>
                </pt>
                <pt idx="48">
                  <v>3555</v>
                </pt>
                <pt idx="49">
                  <v>3560</v>
                </pt>
                <pt idx="50">
                  <v>3565</v>
                </pt>
                <pt idx="51">
                  <v>3580</v>
                </pt>
                <pt idx="52">
                  <v>3585</v>
                </pt>
                <pt idx="53">
                  <v>3590</v>
                </pt>
                <pt idx="54">
                  <v>3595</v>
                </pt>
                <pt idx="55">
                  <v>3600</v>
                </pt>
                <pt idx="56">
                  <v>3605</v>
                </pt>
                <pt idx="57">
                  <v>3610</v>
                </pt>
                <pt idx="58">
                  <v>3615</v>
                </pt>
                <pt idx="59">
                  <v>3620</v>
                </pt>
                <pt idx="60">
                  <v>3625</v>
                </pt>
                <pt idx="61">
                  <v>3630</v>
                </pt>
                <pt idx="62">
                  <v>3635</v>
                </pt>
                <pt idx="63">
                  <v>3640</v>
                </pt>
                <pt idx="64">
                  <v>3645</v>
                </pt>
                <pt idx="65">
                  <v>3650</v>
                </pt>
                <pt idx="66">
                  <v>3655</v>
                </pt>
                <pt idx="67">
                  <v>3660</v>
                </pt>
                <pt idx="68">
                  <v>3665</v>
                </pt>
                <pt idx="69">
                  <v>3670</v>
                </pt>
                <pt idx="70">
                  <v>3675</v>
                </pt>
                <pt idx="71">
                  <v>3680</v>
                </pt>
                <pt idx="72">
                  <v>3685</v>
                </pt>
                <pt idx="73">
                  <v>3690</v>
                </pt>
                <pt idx="74">
                  <v>3695</v>
                </pt>
                <pt idx="75">
                  <v>3700</v>
                </pt>
                <pt idx="76">
                  <v>3705</v>
                </pt>
                <pt idx="77">
                  <v>3710</v>
                </pt>
                <pt idx="78">
                  <v>3715</v>
                </pt>
                <pt idx="79">
                  <v>3720</v>
                </pt>
                <pt idx="80">
                  <v>3725</v>
                </pt>
                <pt idx="81">
                  <v>3730</v>
                </pt>
                <pt idx="82">
                  <v>3735</v>
                </pt>
                <pt idx="83">
                  <v>3740</v>
                </pt>
                <pt idx="84">
                  <v>3745</v>
                </pt>
                <pt idx="85">
                  <v>3750</v>
                </pt>
                <pt idx="86">
                  <v>3755</v>
                </pt>
                <pt idx="87">
                  <v>3760</v>
                </pt>
                <pt idx="88">
                  <v>3765</v>
                </pt>
                <pt idx="89">
                  <v>3770</v>
                </pt>
                <pt idx="90">
                  <v>3775</v>
                </pt>
                <pt idx="91">
                  <v>3780</v>
                </pt>
                <pt idx="92">
                  <v>3785</v>
                </pt>
                <pt idx="93">
                  <v>3790</v>
                </pt>
                <pt idx="94">
                  <v>3795</v>
                </pt>
                <pt idx="95">
                  <v>3800</v>
                </pt>
                <pt idx="96">
                  <v>3805</v>
                </pt>
                <pt idx="97">
                  <v>3810</v>
                </pt>
                <pt idx="98">
                  <v>3815</v>
                </pt>
                <pt idx="99">
                  <v>3820</v>
                </pt>
                <pt idx="100">
                  <v>3825</v>
                </pt>
                <pt idx="101">
                  <v>3830</v>
                </pt>
                <pt idx="102">
                  <v>3835</v>
                </pt>
                <pt idx="103">
                  <v>3840</v>
                </pt>
                <pt idx="104">
                  <v>3845</v>
                </pt>
                <pt idx="105">
                  <v>3850</v>
                </pt>
                <pt idx="106">
                  <v>3855</v>
                </pt>
                <pt idx="107">
                  <v>3860</v>
                </pt>
                <pt idx="108">
                  <v>3865</v>
                </pt>
                <pt idx="109">
                  <v>3870</v>
                </pt>
                <pt idx="110">
                  <v>3875</v>
                </pt>
                <pt idx="111">
                  <v>3880</v>
                </pt>
                <pt idx="112">
                  <v>3885</v>
                </pt>
                <pt idx="113">
                  <v>3890</v>
                </pt>
                <pt idx="114">
                  <v>3895</v>
                </pt>
                <pt idx="115">
                  <v>3900</v>
                </pt>
                <pt idx="116">
                  <v>3905</v>
                </pt>
                <pt idx="117">
                  <v>3910</v>
                </pt>
                <pt idx="118">
                  <v>3915</v>
                </pt>
                <pt idx="119">
                  <v>3920</v>
                </pt>
                <pt idx="120">
                  <v>3925</v>
                </pt>
                <pt idx="121">
                  <v>3940</v>
                </pt>
                <pt idx="122">
                  <v>3945</v>
                </pt>
                <pt idx="123">
                  <v>3950</v>
                </pt>
                <pt idx="124">
                  <v>3955</v>
                </pt>
                <pt idx="125">
                  <v>3960</v>
                </pt>
                <pt idx="126">
                  <v>3965</v>
                </pt>
                <pt idx="127">
                  <v>3970</v>
                </pt>
                <pt idx="128">
                  <v>3975</v>
                </pt>
                <pt idx="129">
                  <v>3980</v>
                </pt>
                <pt idx="130">
                  <v>3985</v>
                </pt>
                <pt idx="131">
                  <v>3990</v>
                </pt>
                <pt idx="132">
                  <v>3995</v>
                </pt>
                <pt idx="133">
                  <v>4000</v>
                </pt>
                <pt idx="134">
                  <v>4005</v>
                </pt>
                <pt idx="135">
                  <v>4010</v>
                </pt>
                <pt idx="136">
                  <v>4015</v>
                </pt>
                <pt idx="137">
                  <v>4020</v>
                </pt>
                <pt idx="138">
                  <v>4025</v>
                </pt>
                <pt idx="139">
                  <v>4030</v>
                </pt>
                <pt idx="140">
                  <v>4035</v>
                </pt>
                <pt idx="141">
                  <v>4040</v>
                </pt>
                <pt idx="142">
                  <v>4045</v>
                </pt>
                <pt idx="143">
                  <v>4050</v>
                </pt>
                <pt idx="144">
                  <v>4055</v>
                </pt>
                <pt idx="145">
                  <v>4060</v>
                </pt>
                <pt idx="146">
                  <v>4065</v>
                </pt>
                <pt idx="147">
                  <v>4070</v>
                </pt>
                <pt idx="148">
                  <v>4075</v>
                </pt>
                <pt idx="149">
                  <v>4080</v>
                </pt>
                <pt idx="150">
                  <v>4085</v>
                </pt>
              </numCache>
            </numRef>
          </cat>
          <val>
            <numRef>
              <f>Dashboard_Data!$R$2:$R$152</f>
              <numCache>
                <formatCode>0.00</formatCode>
                <ptCount val="151"/>
                <pt idx="0">
                  <v>0.72</v>
                </pt>
                <pt idx="1">
                  <v>0.62</v>
                </pt>
                <pt idx="2">
                  <v>0.48</v>
                </pt>
                <pt idx="3">
                  <v>0.91</v>
                </pt>
                <pt idx="4">
                  <v>0.95</v>
                </pt>
                <pt idx="5">
                  <v>0.89</v>
                </pt>
                <pt idx="6">
                  <v>0.83</v>
                </pt>
                <pt idx="7">
                  <v>0.83</v>
                </pt>
                <pt idx="8">
                  <v>0.9</v>
                </pt>
                <pt idx="9">
                  <v>0.85</v>
                </pt>
                <pt idx="10">
                  <v>0.86</v>
                </pt>
                <pt idx="11">
                  <v>0.89</v>
                </pt>
                <pt idx="12">
                  <v>0.9</v>
                </pt>
                <pt idx="13">
                  <v>0.92</v>
                </pt>
                <pt idx="14">
                  <v>0.73</v>
                </pt>
                <pt idx="15">
                  <v>0.75</v>
                </pt>
                <pt idx="16">
                  <v>0.95</v>
                </pt>
                <pt idx="17">
                  <v>0.91</v>
                </pt>
                <pt idx="18">
                  <v>0.89</v>
                </pt>
                <pt idx="19">
                  <v>0.5600000000000001</v>
                </pt>
                <pt idx="20">
                  <v>0.78</v>
                </pt>
                <pt idx="21">
                  <v>0.93</v>
                </pt>
                <pt idx="22">
                  <v>0.85</v>
                </pt>
                <pt idx="23">
                  <v>0.93</v>
                </pt>
                <pt idx="24">
                  <v>0.95</v>
                </pt>
                <pt idx="25">
                  <v>0.87</v>
                </pt>
                <pt idx="26">
                  <v>0.85</v>
                </pt>
                <pt idx="27">
                  <v>0.93</v>
                </pt>
                <pt idx="28">
                  <v>0.68</v>
                </pt>
                <pt idx="29">
                  <v>0.71</v>
                </pt>
                <pt idx="30">
                  <v>0.65</v>
                </pt>
                <pt idx="31">
                  <v>0.92</v>
                </pt>
                <pt idx="32">
                  <v>0.89</v>
                </pt>
                <pt idx="33">
                  <v>0.77</v>
                </pt>
                <pt idx="34">
                  <v>0.76</v>
                </pt>
                <pt idx="35">
                  <v>0.74</v>
                </pt>
                <pt idx="36">
                  <v>0.63</v>
                </pt>
                <pt idx="37">
                  <v>0.62</v>
                </pt>
                <pt idx="38">
                  <v>0.73</v>
                </pt>
                <pt idx="39">
                  <v>0.82</v>
                </pt>
                <pt idx="40">
                  <v>0.85</v>
                </pt>
                <pt idx="41">
                  <v>0.88</v>
                </pt>
                <pt idx="42">
                  <v>0.95</v>
                </pt>
                <pt idx="43">
                  <v>0.93</v>
                </pt>
                <pt idx="44">
                  <v>0.93</v>
                </pt>
                <pt idx="45">
                  <v>0.91</v>
                </pt>
                <pt idx="46">
                  <v>0.7</v>
                </pt>
                <pt idx="47">
                  <v>0.71</v>
                </pt>
                <pt idx="48">
                  <v>0.8</v>
                </pt>
                <pt idx="49">
                  <v>0.84</v>
                </pt>
                <pt idx="50">
                  <v>0.95</v>
                </pt>
                <pt idx="51">
                  <v>0.8</v>
                </pt>
                <pt idx="52">
                  <v>0.86</v>
                </pt>
                <pt idx="53">
                  <v>0.91</v>
                </pt>
                <pt idx="54">
                  <v>0.93</v>
                </pt>
                <pt idx="55">
                  <v>0.9399999999999999</v>
                </pt>
                <pt idx="56">
                  <v>0.89</v>
                </pt>
                <pt idx="57">
                  <v>0.91</v>
                </pt>
                <pt idx="58">
                  <v>0.76</v>
                </pt>
                <pt idx="59">
                  <v>0.71</v>
                </pt>
                <pt idx="60">
                  <v>0.63</v>
                </pt>
                <pt idx="61">
                  <v>0.8100000000000001</v>
                </pt>
                <pt idx="62">
                  <v>0.83</v>
                </pt>
                <pt idx="63">
                  <v>0.84</v>
                </pt>
                <pt idx="64">
                  <v>0.84</v>
                </pt>
                <pt idx="65">
                  <v>0.92</v>
                </pt>
                <pt idx="66">
                  <v>0.8100000000000001</v>
                </pt>
                <pt idx="67">
                  <v>0.77</v>
                </pt>
                <pt idx="68">
                  <v>0.9399999999999999</v>
                </pt>
                <pt idx="69">
                  <v>0.89</v>
                </pt>
                <pt idx="70">
                  <v>0.93</v>
                </pt>
                <pt idx="71">
                  <v>0.89</v>
                </pt>
                <pt idx="72">
                  <v>0.79</v>
                </pt>
                <pt idx="73">
                  <v>0.82</v>
                </pt>
                <pt idx="74">
                  <v>0.92</v>
                </pt>
                <pt idx="75">
                  <v>0.74</v>
                </pt>
                <pt idx="76">
                  <v>0.85</v>
                </pt>
                <pt idx="77">
                  <v>0.89</v>
                </pt>
                <pt idx="78">
                  <v>0.84</v>
                </pt>
                <pt idx="79">
                  <v>0.92</v>
                </pt>
                <pt idx="80">
                  <v>0.9399999999999999</v>
                </pt>
                <pt idx="81">
                  <v>0.78</v>
                </pt>
                <pt idx="82">
                  <v>0.85</v>
                </pt>
                <pt idx="83">
                  <v>0.84</v>
                </pt>
                <pt idx="84">
                  <v>0.74</v>
                </pt>
                <pt idx="85">
                  <v>0.75</v>
                </pt>
                <pt idx="86">
                  <v>0.83</v>
                </pt>
                <pt idx="87">
                  <v>0.91</v>
                </pt>
                <pt idx="88">
                  <v>0.95</v>
                </pt>
                <pt idx="89">
                  <v>0.9</v>
                </pt>
                <pt idx="90">
                  <v>0.85</v>
                </pt>
                <pt idx="91">
                  <v>0.76</v>
                </pt>
                <pt idx="92">
                  <v>0.84</v>
                </pt>
                <pt idx="93">
                  <v>0.85</v>
                </pt>
                <pt idx="94">
                  <v>0.9</v>
                </pt>
                <pt idx="95">
                  <v>0.9</v>
                </pt>
                <pt idx="96">
                  <v>0.89</v>
                </pt>
                <pt idx="97">
                  <v>0.92</v>
                </pt>
                <pt idx="98">
                  <v>0.78</v>
                </pt>
                <pt idx="99">
                  <v>0.68</v>
                </pt>
                <pt idx="100">
                  <v>0.74</v>
                </pt>
                <pt idx="101">
                  <v>0.7</v>
                </pt>
                <pt idx="102">
                  <v>0.6899999999999999</v>
                </pt>
                <pt idx="103">
                  <v>0.78</v>
                </pt>
                <pt idx="104">
                  <v>0.61</v>
                </pt>
                <pt idx="105">
                  <v>0.72</v>
                </pt>
                <pt idx="106">
                  <v>0.7</v>
                </pt>
                <pt idx="107">
                  <v>0.5600000000000001</v>
                </pt>
                <pt idx="108">
                  <v>0.72</v>
                </pt>
                <pt idx="109">
                  <v>0.6899999999999999</v>
                </pt>
                <pt idx="110">
                  <v>0.7</v>
                </pt>
                <pt idx="111">
                  <v>0.6899999999999999</v>
                </pt>
                <pt idx="112">
                  <v>0.6899999999999999</v>
                </pt>
                <pt idx="113">
                  <v>0.79</v>
                </pt>
                <pt idx="114">
                  <v>0.73</v>
                </pt>
                <pt idx="115">
                  <v>0.6899999999999999</v>
                </pt>
                <pt idx="116">
                  <v>0.66</v>
                </pt>
                <pt idx="117">
                  <v>0.55</v>
                </pt>
                <pt idx="118">
                  <v>0.55</v>
                </pt>
                <pt idx="119">
                  <v>0.67</v>
                </pt>
                <pt idx="120">
                  <v>0.8</v>
                </pt>
                <pt idx="121">
                  <v>0.79</v>
                </pt>
                <pt idx="122">
                  <v>0.9399999999999999</v>
                </pt>
                <pt idx="123">
                  <v>0.86</v>
                </pt>
                <pt idx="124">
                  <v>0.58</v>
                </pt>
                <pt idx="125">
                  <v>0.77</v>
                </pt>
                <pt idx="126">
                  <v>0.78</v>
                </pt>
                <pt idx="127">
                  <v>0.75</v>
                </pt>
                <pt idx="128">
                  <v>0.89</v>
                </pt>
                <pt idx="129">
                  <v>0.91</v>
                </pt>
                <pt idx="130">
                  <v>0.91</v>
                </pt>
                <pt idx="131">
                  <v>0.9</v>
                </pt>
                <pt idx="132">
                  <v>0.8</v>
                </pt>
                <pt idx="133">
                  <v>0.73</v>
                </pt>
                <pt idx="134">
                  <v>0.67</v>
                </pt>
                <pt idx="135">
                  <v>0.67</v>
                </pt>
                <pt idx="136">
                  <v>0.83</v>
                </pt>
                <pt idx="137">
                  <v>0.88</v>
                </pt>
                <pt idx="138">
                  <v>0.77</v>
                </pt>
                <pt idx="139">
                  <v>0.73</v>
                </pt>
                <pt idx="140">
                  <v>0.75</v>
                </pt>
                <pt idx="141">
                  <v>0.79</v>
                </pt>
                <pt idx="142">
                  <v>0.88</v>
                </pt>
                <pt idx="143">
                  <v>0.9399999999999999</v>
                </pt>
                <pt idx="144">
                  <v>0.9399999999999999</v>
                </pt>
                <pt idx="145">
                  <v>0.91</v>
                </pt>
                <pt idx="146">
                  <v>0.72</v>
                </pt>
                <pt idx="147">
                  <v>0.62</v>
                </pt>
                <pt idx="148">
                  <v>0.43</v>
                </pt>
                <pt idx="149">
                  <v>0.43</v>
                </pt>
                <pt idx="150">
                  <v>0.4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/>
              <a:lstStyle/>
              <a:p>
                <a:r>
                  <a:rPr lang="en-US"/>
                  <a:t>Depth (ft)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/>
              <a:lstStyle/>
              <a:p>
                <a:r>
                  <a:rPr lang="en-US"/>
                  <a:t>Confidence</a:t>
                </a:r>
              </a:p>
            </rich>
          </tx>
          <overlay val="1"/>
        </title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D1" authorId="0" shapeId="0">
      <text>
        <t>Demo RPM rescaled from SURF_RPM using min-max normalization to a 90-180 rpm dashboard range.</t>
      </text>
    </comment>
    <comment ref="E1" authorId="0" shapeId="0">
      <text>
        <t>Demo ROP rescaled from ROP_AVG using min-max normalization to a 30-80 ft/hr range.</t>
      </text>
    </comment>
    <comment ref="M1" authorId="0" shapeId="0">
      <text>
        <t>Prototype DLS is a derived demo metric used for PPR constraint logic; thresholding is controlled from the Controls sheet.</t>
      </text>
    </comment>
    <comment ref="T1" authorId="0" shapeId="0">
      <text>
        <t>Alert output for the dashboard.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10</row>
      <rowOff>0</rowOff>
    </from>
    <to>
      <col>3</col>
      <colOff>0</colOff>
      <row>11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10</row>
      <rowOff>0</rowOff>
    </from>
    <to>
      <col>3</col>
      <colOff>0</colOff>
      <row>28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ashboardTable" displayName="DashboardTable" ref="A1:T1152" headerRowCount="1">
  <autoFilter ref="A1:T152"/>
  <tableColumns count="20">
    <tableColumn id="1" name="Depth_ft"/>
    <tableColumn id="2" name="WOB_lbf"/>
    <tableColumn id="3" name="WOB_klbf"/>
    <tableColumn id="4" name="RPM_demo"/>
    <tableColumn id="5" name="ROP_ft_hr"/>
    <tableColumn id="6" name="PHIF"/>
    <tableColumn id="7" name="VSH"/>
    <tableColumn id="8" name="SW"/>
    <tableColumn id="9" name="KLOGH"/>
    <tableColumn id="10" name="Formation_Class"/>
    <tableColumn id="11" name="Torque_kftlb"/>
    <tableColumn id="12" name="Vibration_g"/>
    <tableColumn id="13" name="DLS_deg_per_100ft"/>
    <tableColumn id="14" name="Inclination_deg"/>
    <tableColumn id="15" name="Azimuth_deg"/>
    <tableColumn id="16" name="DLS_Status"/>
    <tableColumn id="17" name="Recommendation"/>
    <tableColumn id="18" name="Confidence"/>
    <tableColumn id="19" name="Gate_Status"/>
    <tableColumn id="20" name="Alert_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InputTable" displayName="RawInputTable" ref="A1:H1152" headerRowCount="1">
  <autoFilter ref="A1:H152"/>
  <tableColumns count="8">
    <tableColumn id="1" name="Depth"/>
    <tableColumn id="2" name="WOB"/>
    <tableColumn id="3" name="SURF_RPM"/>
    <tableColumn id="4" name="ROP_AVG"/>
    <tableColumn id="5" name="PHIF"/>
    <tableColumn id="6" name="VSH"/>
    <tableColumn id="7" name="SW"/>
    <tableColumn id="8" name="KLOG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50" zoomScaleSheetLayoutView="100" workbookViewId="0">
      <selection activeCell="A1" sqref="A1"/>
    </sheetView>
  </sheetViews>
  <sheetFormatPr baseColWidth="8" defaultRowHeight="14.4"/>
  <cols>
    <col width="26" customWidth="1" style="17" min="1" max="1"/>
    <col width="120" customWidth="1" style="17" min="2" max="2"/>
    <col width="14.88671875" customWidth="1" style="17" min="3" max="6"/>
  </cols>
  <sheetData>
    <row r="1" ht="21" customHeight="1" s="17">
      <c r="A1" s="16" t="inlineStr">
        <is>
          <t>RSS Dashboard Dataset Builder</t>
        </is>
      </c>
    </row>
    <row r="3">
      <c r="A3" s="1" t="inlineStr">
        <is>
          <t>Purpose</t>
        </is>
      </c>
      <c r="B3" t="inlineStr">
        <is>
          <t>Prepare a dashboard-ready dataset for the RSS prototype using real Volve field inputs plus derived demo telemetry.</t>
        </is>
      </c>
    </row>
    <row r="5">
      <c r="A5" s="1" t="inlineStr">
        <is>
          <t>Real columns copied from source file</t>
        </is>
      </c>
      <c r="B5" t="inlineStr">
        <is>
          <t>Depth, WOB, SURF_RPM, ROP_AVG, PHIF, VSH, SW, KLOGH</t>
        </is>
      </c>
    </row>
    <row r="6">
      <c r="A6" s="1" t="inlineStr">
        <is>
          <t>Derived / demo columns</t>
        </is>
      </c>
      <c r="B6" t="inlineStr">
        <is>
          <t>RPM_demo, ROP_ft_hr, Torque_kftlb, Vibration_g, DLS_deg_per_100ft, Inclination_deg, Azimuth_deg, Formation_Class, Recommendation, Confidence, Gate_Status, Alert_Message</t>
        </is>
      </c>
    </row>
    <row r="8">
      <c r="A8" s="1" t="inlineStr">
        <is>
          <t>How to use</t>
        </is>
      </c>
      <c r="B8" t="inlineStr">
        <is>
          <t>Point the dashboard to the Dashboard_Data sheet or exported CSV. The derived fields are designed for PPR demo logic, not for final field deployment.</t>
        </is>
      </c>
    </row>
    <row r="10">
      <c r="A10" s="1" t="inlineStr">
        <is>
          <t>Notes</t>
        </is>
      </c>
      <c r="B10" t="inlineStr">
        <is>
          <t>SURF_RPM and ROP_AVG from the source file are rescaled into dashboard-friendly demo ranges.</t>
        </is>
      </c>
    </row>
    <row r="11">
      <c r="B11" t="inlineStr">
        <is>
          <t>DLS, vibration, torque, inclination, azimuth, recommendation and alerts are derived for prototype validation.</t>
        </is>
      </c>
    </row>
    <row r="12">
      <c r="B12" t="inlineStr">
        <is>
          <t>Thresholds can be edited in the Controls sheet.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Normal="150" zoomScaleSheetLayoutView="100" workbookViewId="0">
      <selection activeCell="D24" sqref="D24"/>
    </sheetView>
  </sheetViews>
  <sheetFormatPr baseColWidth="8" defaultRowHeight="14.4"/>
  <cols>
    <col width="34" customWidth="1" style="17" min="1" max="1"/>
    <col width="16" customWidth="1" style="17" min="2" max="2"/>
    <col width="42" customWidth="1" style="17" min="3" max="3"/>
  </cols>
  <sheetData>
    <row r="1">
      <c r="A1" s="18" t="inlineStr">
        <is>
          <t>Prototype Control Parameters</t>
        </is>
      </c>
    </row>
    <row r="2">
      <c r="A2" s="2" t="inlineStr">
        <is>
          <t>DLS normal max (deg/100ft)</t>
        </is>
      </c>
      <c r="B2" s="3" t="n">
        <v>6</v>
      </c>
      <c r="C2" s="4" t="inlineStr">
        <is>
          <t>Edit blue cells only</t>
        </is>
      </c>
    </row>
    <row r="3">
      <c r="A3" s="2" t="inlineStr">
        <is>
          <t>DLS block max (deg/100ft)</t>
        </is>
      </c>
      <c r="B3" s="3" t="n">
        <v>8</v>
      </c>
    </row>
    <row r="4">
      <c r="A4" s="2" t="inlineStr">
        <is>
          <t>Vibration caution max (g)</t>
        </is>
      </c>
      <c r="B4" s="3" t="n">
        <v>3</v>
      </c>
    </row>
    <row r="5">
      <c r="A5" s="2" t="inlineStr">
        <is>
          <t>WOB low preference (klbf)</t>
        </is>
      </c>
      <c r="B5" s="3" t="n">
        <v>20</v>
      </c>
    </row>
    <row r="6">
      <c r="A6" s="2" t="inlineStr">
        <is>
          <t>WOB high preference (klbf)</t>
        </is>
      </c>
      <c r="B6" s="3" t="n">
        <v>80</v>
      </c>
    </row>
    <row r="7">
      <c r="A7" s="2" t="inlineStr">
        <is>
          <t>Confidence threshold</t>
        </is>
      </c>
      <c r="B7" s="3" t="n">
        <v>0.6</v>
      </c>
    </row>
    <row r="8">
      <c r="A8" s="2" t="inlineStr">
        <is>
          <t>RPM demo min</t>
        </is>
      </c>
      <c r="B8" s="3" t="n">
        <v>90</v>
      </c>
    </row>
    <row r="9">
      <c r="A9" s="2" t="inlineStr">
        <is>
          <t>RPM demo max</t>
        </is>
      </c>
      <c r="B9" s="3" t="n">
        <v>180</v>
      </c>
    </row>
    <row r="10">
      <c r="A10" s="2" t="inlineStr">
        <is>
          <t>ROP demo min (ft/hr)</t>
        </is>
      </c>
      <c r="B10" s="3" t="n">
        <v>30</v>
      </c>
    </row>
    <row r="11">
      <c r="A11" s="2" t="inlineStr">
        <is>
          <t>ROP demo max (ft/hr)</t>
        </is>
      </c>
      <c r="B11" s="3" t="n">
        <v>80</v>
      </c>
    </row>
    <row r="12">
      <c r="A12" s="2" t="inlineStr">
        <is>
          <t>Source RPM min</t>
        </is>
      </c>
      <c r="B12" s="5">
        <f>MIN(Raw_Data!C2:C152)</f>
        <v/>
      </c>
    </row>
    <row r="13">
      <c r="A13" s="2" t="inlineStr">
        <is>
          <t>Source RPM max</t>
        </is>
      </c>
      <c r="B13" s="5">
        <f>MAX(Raw_Data!C2:C152)</f>
        <v/>
      </c>
    </row>
    <row r="14">
      <c r="A14" s="2" t="inlineStr">
        <is>
          <t>Source ROP min</t>
        </is>
      </c>
      <c r="B14" s="5">
        <f>MIN(Raw_Data!D2:D152)</f>
        <v/>
      </c>
    </row>
    <row r="15">
      <c r="A15" s="2" t="inlineStr">
        <is>
          <t>Source ROP max</t>
        </is>
      </c>
      <c r="B15" s="5">
        <f>MAX(Raw_Data!D2:D152)</f>
        <v/>
      </c>
    </row>
    <row r="16">
      <c r="A16" s="2" t="inlineStr">
        <is>
          <t>Starting inclination (deg)</t>
        </is>
      </c>
      <c r="B16" s="3" t="n">
        <v>20</v>
      </c>
    </row>
    <row r="17">
      <c r="A17" s="2" t="inlineStr">
        <is>
          <t>Starting azimuth (deg)</t>
        </is>
      </c>
      <c r="B17" s="3" t="n">
        <v>180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52"/>
  <sheetViews>
    <sheetView tabSelected="1" zoomScaleNormal="150" zoomScaleSheetLayoutView="100" workbookViewId="0">
      <selection activeCell="Q10" sqref="Q10"/>
    </sheetView>
  </sheetViews>
  <sheetFormatPr baseColWidth="8" defaultRowHeight="14.4"/>
  <cols>
    <col width="11" customWidth="1" style="17" min="1" max="1"/>
    <col width="12" customWidth="1" style="17" min="2" max="2"/>
    <col width="9" customWidth="1" style="17" min="3" max="4"/>
    <col width="10" customWidth="1" style="17" min="5" max="5"/>
    <col width="7.88671875" customWidth="1" style="17" min="6" max="8"/>
    <col width="10" customWidth="1" style="17" min="9" max="9"/>
    <col width="14.88671875" customWidth="1" style="17" min="10" max="10"/>
    <col width="11" customWidth="1" style="17" min="11" max="11"/>
    <col width="10" customWidth="1" style="17" min="12" max="12"/>
    <col width="14" customWidth="1" style="17" min="13" max="13"/>
    <col width="12" customWidth="1" style="17" min="14" max="14"/>
    <col width="10" customWidth="1" style="17" min="15" max="15"/>
    <col width="11" customWidth="1" style="17" min="16" max="16"/>
    <col width="14" customWidth="1" style="17" min="17" max="17"/>
    <col width="10" customWidth="1" style="17" min="18" max="18"/>
    <col width="11" customWidth="1" style="17" min="19" max="19"/>
    <col width="37.88671875" customWidth="1" style="17" min="20" max="20"/>
  </cols>
  <sheetData>
    <row r="1" ht="28.8" customHeight="1" s="17">
      <c r="A1" s="6" t="inlineStr">
        <is>
          <t>Depth_ft</t>
        </is>
      </c>
      <c r="B1" s="6" t="inlineStr">
        <is>
          <t>WOB_lbf</t>
        </is>
      </c>
      <c r="C1" s="6" t="inlineStr">
        <is>
          <t>WOB_klbf</t>
        </is>
      </c>
      <c r="D1" s="6" t="inlineStr">
        <is>
          <t>RPM_demo</t>
        </is>
      </c>
      <c r="E1" s="6" t="inlineStr">
        <is>
          <t>ROP_ft_hr</t>
        </is>
      </c>
      <c r="F1" s="6" t="inlineStr">
        <is>
          <t>PHIF</t>
        </is>
      </c>
      <c r="G1" s="6" t="inlineStr">
        <is>
          <t>VSH</t>
        </is>
      </c>
      <c r="H1" s="6" t="inlineStr">
        <is>
          <t>SW</t>
        </is>
      </c>
      <c r="I1" s="6" t="inlineStr">
        <is>
          <t>KLOGH</t>
        </is>
      </c>
      <c r="J1" s="6" t="inlineStr">
        <is>
          <t>Formation_Class</t>
        </is>
      </c>
      <c r="K1" s="6" t="inlineStr">
        <is>
          <t>Torque_kftlb</t>
        </is>
      </c>
      <c r="L1" s="6" t="inlineStr">
        <is>
          <t>Vibration_g</t>
        </is>
      </c>
      <c r="M1" s="6" t="inlineStr">
        <is>
          <t>DLS_deg_per_100ft</t>
        </is>
      </c>
      <c r="N1" s="6" t="inlineStr">
        <is>
          <t>Inclination_deg</t>
        </is>
      </c>
      <c r="O1" s="6" t="inlineStr">
        <is>
          <t>Azimuth_deg</t>
        </is>
      </c>
      <c r="P1" s="6" t="inlineStr">
        <is>
          <t>DLS_Status</t>
        </is>
      </c>
      <c r="Q1" s="6" t="inlineStr">
        <is>
          <t>Recommendation</t>
        </is>
      </c>
      <c r="R1" s="6" t="inlineStr">
        <is>
          <t>Confidence</t>
        </is>
      </c>
      <c r="S1" s="6" t="inlineStr">
        <is>
          <t>Gate_Status</t>
        </is>
      </c>
      <c r="T1" s="6" t="inlineStr">
        <is>
          <t>Alert_Message</t>
        </is>
      </c>
    </row>
    <row r="2">
      <c r="A2" s="7" t="n">
        <v>3305</v>
      </c>
      <c r="B2" s="8" t="n">
        <v>26217.8639999999</v>
      </c>
      <c r="C2" s="9" t="n">
        <v>26.2178639999999</v>
      </c>
      <c r="D2" s="9" t="n">
        <v>90</v>
      </c>
      <c r="E2" s="9" t="n">
        <v>33.5220428</v>
      </c>
      <c r="F2" s="10" t="n">
        <v>0.08671100549499999</v>
      </c>
      <c r="G2" s="10" t="n">
        <v>0.07171879464600001</v>
      </c>
      <c r="H2" s="10" t="n">
        <v>1.000000000114</v>
      </c>
      <c r="I2" s="10" t="n">
        <v>0.001</v>
      </c>
      <c r="J2" s="5" t="inlineStr">
        <is>
          <t>Cleaner sand</t>
        </is>
      </c>
      <c r="K2" s="11" t="n">
        <v>13.83450143375013</v>
      </c>
      <c r="L2" s="12" t="n">
        <v>1.1</v>
      </c>
      <c r="M2" s="12" t="n">
        <v>2.692822982438119</v>
      </c>
      <c r="N2" s="12" t="n">
        <v>3.271210072098497</v>
      </c>
      <c r="O2" s="12" t="n">
        <v>254.0785840657127</v>
      </c>
      <c r="P2" s="5" t="inlineStr">
        <is>
          <t>Normal</t>
        </is>
      </c>
      <c r="Q2" s="5" t="inlineStr">
        <is>
          <t>Build</t>
        </is>
      </c>
      <c r="R2" s="12" t="n">
        <v>0.71</v>
      </c>
      <c r="S2" s="5" t="inlineStr">
        <is>
          <t>ACCEPTED</t>
        </is>
      </c>
      <c r="T2" s="5" t="inlineStr">
        <is>
          <t>Normal operation</t>
        </is>
      </c>
    </row>
    <row r="3">
      <c r="A3" s="7" t="n">
        <v>3310</v>
      </c>
      <c r="B3" s="8" t="n">
        <v>83492.29300000001</v>
      </c>
      <c r="C3" s="9" t="n">
        <v>83.492293</v>
      </c>
      <c r="D3" s="9" t="n">
        <v>90.74842737</v>
      </c>
      <c r="E3" s="9" t="n">
        <v>42.3069406</v>
      </c>
      <c r="F3" s="10" t="n">
        <v>0.095208497586</v>
      </c>
      <c r="G3" s="10" t="n">
        <v>0.116548315173</v>
      </c>
      <c r="H3" s="10" t="n">
        <v>1</v>
      </c>
      <c r="I3" s="10" t="n">
        <v>0.001</v>
      </c>
      <c r="J3" s="5" t="inlineStr">
        <is>
          <t>Cleaner sand</t>
        </is>
      </c>
      <c r="K3" s="11" t="n">
        <v>23.73352914208991</v>
      </c>
      <c r="L3" s="12" t="n">
        <v>1.346908743632144</v>
      </c>
      <c r="M3" s="12" t="n">
        <v>3.232771492164215</v>
      </c>
      <c r="N3" s="12" t="n">
        <v>2</v>
      </c>
      <c r="O3" s="12" t="n">
        <v>266.2660631626044</v>
      </c>
      <c r="P3" s="5" t="inlineStr">
        <is>
          <t>Normal</t>
        </is>
      </c>
      <c r="Q3" s="5" t="inlineStr">
        <is>
          <t>Build</t>
        </is>
      </c>
      <c r="R3" s="12" t="n">
        <v>0.92</v>
      </c>
      <c r="S3" s="5" t="inlineStr">
        <is>
          <t>ACCEPTED</t>
        </is>
      </c>
      <c r="T3" s="5" t="inlineStr">
        <is>
          <t>WOB outside preferred band</t>
        </is>
      </c>
    </row>
    <row r="4">
      <c r="A4" s="7" t="n">
        <v>3315</v>
      </c>
      <c r="B4" s="8" t="n">
        <v>97087.882</v>
      </c>
      <c r="C4" s="9" t="n">
        <v>97.08788199999999</v>
      </c>
      <c r="D4" s="9" t="n">
        <v>96.99394329</v>
      </c>
      <c r="E4" s="9" t="n">
        <v>48.96604826</v>
      </c>
      <c r="F4" s="10" t="n">
        <v>0.061636098298</v>
      </c>
      <c r="G4" s="10" t="n">
        <v>0.104283234455</v>
      </c>
      <c r="H4" s="10" t="n">
        <v>1</v>
      </c>
      <c r="I4" s="10" t="n">
        <v>0.001</v>
      </c>
      <c r="J4" s="5" t="inlineStr">
        <is>
          <t>Cleaner sand</t>
        </is>
      </c>
      <c r="K4" s="11" t="n">
        <v>26.3</v>
      </c>
      <c r="L4" s="12" t="n">
        <v>1.1</v>
      </c>
      <c r="M4" s="12" t="n">
        <v>4.661754478485449</v>
      </c>
      <c r="N4" s="12" t="n">
        <v>7.443950137042474</v>
      </c>
      <c r="O4" s="12" t="n">
        <v>269.1427691765672</v>
      </c>
      <c r="P4" s="5" t="inlineStr">
        <is>
          <t>Normal</t>
        </is>
      </c>
      <c r="Q4" s="5" t="inlineStr">
        <is>
          <t>Build</t>
        </is>
      </c>
      <c r="R4" s="12" t="n">
        <v>0.68</v>
      </c>
      <c r="S4" s="5" t="inlineStr">
        <is>
          <t>REDUCED</t>
        </is>
      </c>
      <c r="T4" s="5" t="inlineStr">
        <is>
          <t>WOB outside preferred band</t>
        </is>
      </c>
    </row>
    <row r="5">
      <c r="A5" s="7" t="n">
        <v>3320</v>
      </c>
      <c r="B5" s="8" t="n">
        <v>54793.206</v>
      </c>
      <c r="C5" s="9" t="n">
        <v>54.793206</v>
      </c>
      <c r="D5" s="9" t="n">
        <v>108.86546681</v>
      </c>
      <c r="E5" s="9" t="n">
        <v>44.43669298</v>
      </c>
      <c r="F5" s="10" t="n">
        <v>0.043497663737</v>
      </c>
      <c r="G5" s="10" t="n">
        <v>0.110039811043</v>
      </c>
      <c r="H5" s="10" t="n">
        <v>1</v>
      </c>
      <c r="I5" s="10" t="n">
        <v>0.001</v>
      </c>
      <c r="J5" s="5" t="inlineStr">
        <is>
          <t>Cleaner sand</t>
        </is>
      </c>
      <c r="K5" s="11" t="n">
        <v>20.11644052754651</v>
      </c>
      <c r="L5" s="12" t="n">
        <v>2.464587428466821</v>
      </c>
      <c r="M5" s="12" t="n">
        <v>5.585760155767187</v>
      </c>
      <c r="N5" s="12" t="n">
        <v>6.578030308267141</v>
      </c>
      <c r="O5" s="12" t="n">
        <v>281.2561237575595</v>
      </c>
      <c r="P5" s="5" t="inlineStr">
        <is>
          <t>Normal</t>
        </is>
      </c>
      <c r="Q5" s="5" t="inlineStr">
        <is>
          <t>Build</t>
        </is>
      </c>
      <c r="R5" s="12" t="n">
        <v>0.46</v>
      </c>
      <c r="S5" s="5" t="inlineStr">
        <is>
          <t>REJECTED</t>
        </is>
      </c>
      <c r="T5" s="5" t="inlineStr">
        <is>
          <t>Normal operation</t>
        </is>
      </c>
    </row>
    <row r="6">
      <c r="A6" s="7" t="n">
        <v>3325</v>
      </c>
      <c r="B6" s="8" t="n">
        <v>50301.579</v>
      </c>
      <c r="C6" s="9" t="n">
        <v>50.301579</v>
      </c>
      <c r="D6" s="9" t="n">
        <v>112.9177946</v>
      </c>
      <c r="E6" s="9" t="n">
        <v>44.56903606</v>
      </c>
      <c r="F6" s="10" t="n">
        <v>0.035252240772</v>
      </c>
      <c r="G6" s="10" t="n">
        <v>0.120807705666</v>
      </c>
      <c r="H6" s="10" t="n">
        <v>1</v>
      </c>
      <c r="I6" s="10" t="n">
        <v>0.001</v>
      </c>
      <c r="J6" s="5" t="inlineStr">
        <is>
          <t>Cleaner sand</t>
        </is>
      </c>
      <c r="K6" s="11" t="n">
        <v>17.53314995106297</v>
      </c>
      <c r="L6" s="12" t="n">
        <v>2.154810373777891</v>
      </c>
      <c r="M6" s="12" t="n">
        <v>3.615802080150471</v>
      </c>
      <c r="N6" s="12" t="n">
        <v>5.060982067978128</v>
      </c>
      <c r="O6" s="12" t="n">
        <v>286.9627137904299</v>
      </c>
      <c r="P6" s="5" t="inlineStr">
        <is>
          <t>Normal</t>
        </is>
      </c>
      <c r="Q6" s="5" t="inlineStr">
        <is>
          <t>Build</t>
        </is>
      </c>
      <c r="R6" s="12" t="n">
        <v>0.75</v>
      </c>
      <c r="S6" s="5" t="inlineStr">
        <is>
          <t>ACCEPTED</t>
        </is>
      </c>
      <c r="T6" s="5" t="inlineStr">
        <is>
          <t>Normal operation</t>
        </is>
      </c>
    </row>
    <row r="7">
      <c r="A7" s="7" t="n">
        <v>3330</v>
      </c>
      <c r="B7" s="8" t="n">
        <v>56835.194</v>
      </c>
      <c r="C7" s="9" t="n">
        <v>56.835194</v>
      </c>
      <c r="D7" s="9" t="n">
        <v>113.203835</v>
      </c>
      <c r="E7" s="9" t="n">
        <v>38.8538468</v>
      </c>
      <c r="F7" s="10" t="n">
        <v>0.015965128094</v>
      </c>
      <c r="G7" s="10" t="n">
        <v>0.085564924968</v>
      </c>
      <c r="H7" s="10" t="n">
        <v>1</v>
      </c>
      <c r="I7" s="10" t="n">
        <v>0.001</v>
      </c>
      <c r="J7" s="5" t="inlineStr">
        <is>
          <t>Cleaner sand</t>
        </is>
      </c>
      <c r="K7" s="11" t="n">
        <v>18.73483946929785</v>
      </c>
      <c r="L7" s="12" t="n">
        <v>1.322806330862915</v>
      </c>
      <c r="M7" s="12" t="n">
        <v>3.016455990514863</v>
      </c>
      <c r="N7" s="12" t="n">
        <v>5.962181027638557</v>
      </c>
      <c r="O7" s="12" t="n">
        <v>275.4012558927536</v>
      </c>
      <c r="P7" s="5" t="inlineStr">
        <is>
          <t>Normal</t>
        </is>
      </c>
      <c r="Q7" s="5" t="inlineStr">
        <is>
          <t>Build</t>
        </is>
      </c>
      <c r="R7" s="12" t="n">
        <v>0.8</v>
      </c>
      <c r="S7" s="5" t="inlineStr">
        <is>
          <t>ACCEPTED</t>
        </is>
      </c>
      <c r="T7" s="5" t="inlineStr">
        <is>
          <t>Normal operation</t>
        </is>
      </c>
    </row>
    <row r="8">
      <c r="A8" s="7" t="n">
        <v>3335</v>
      </c>
      <c r="B8" s="8" t="n">
        <v>37638.028</v>
      </c>
      <c r="C8" s="9" t="n">
        <v>37.638028</v>
      </c>
      <c r="D8" s="9" t="n">
        <v>146.10997589</v>
      </c>
      <c r="E8" s="9" t="n">
        <v>72.25649104</v>
      </c>
      <c r="F8" s="10" t="n">
        <v>0.046243123377</v>
      </c>
      <c r="G8" s="10" t="n">
        <v>0.109858974537</v>
      </c>
      <c r="H8" s="10" t="n">
        <v>1</v>
      </c>
      <c r="I8" s="10" t="n">
        <v>0.001</v>
      </c>
      <c r="J8" s="5" t="inlineStr">
        <is>
          <t>Cleaner sand</t>
        </is>
      </c>
      <c r="K8" s="11" t="n">
        <v>17.0174152388052</v>
      </c>
      <c r="L8" s="12" t="n">
        <v>2.763693544618711</v>
      </c>
      <c r="M8" s="12" t="n">
        <v>3.623196621469544</v>
      </c>
      <c r="N8" s="12" t="n">
        <v>4.802108864058104</v>
      </c>
      <c r="O8" s="12" t="n">
        <v>288.1040753383127</v>
      </c>
      <c r="P8" s="5" t="inlineStr">
        <is>
          <t>Normal</t>
        </is>
      </c>
      <c r="Q8" s="5" t="inlineStr">
        <is>
          <t>Build</t>
        </is>
      </c>
      <c r="R8" s="12" t="n">
        <v>0.62</v>
      </c>
      <c r="S8" s="5" t="inlineStr">
        <is>
          <t>REDUCED</t>
        </is>
      </c>
      <c r="T8" s="5" t="inlineStr">
        <is>
          <t>High vibration detected</t>
        </is>
      </c>
    </row>
    <row r="9">
      <c r="A9" s="7" t="n">
        <v>3340</v>
      </c>
      <c r="B9" s="8" t="n">
        <v>37638.028</v>
      </c>
      <c r="C9" s="9" t="n">
        <v>37.638028</v>
      </c>
      <c r="D9" s="9" t="n">
        <v>146.10997589</v>
      </c>
      <c r="E9" s="9" t="n">
        <v>72.25649104</v>
      </c>
      <c r="F9" s="10" t="n">
        <v>0.041236564598</v>
      </c>
      <c r="G9" s="10" t="n">
        <v>0.071368258063</v>
      </c>
      <c r="H9" s="10" t="n">
        <v>1</v>
      </c>
      <c r="I9" s="10" t="n">
        <v>0.001</v>
      </c>
      <c r="J9" s="5" t="inlineStr">
        <is>
          <t>Cleaner sand</t>
        </is>
      </c>
      <c r="K9" s="11" t="n">
        <v>16.20563715245072</v>
      </c>
      <c r="L9" s="12" t="n">
        <v>2.141065088625881</v>
      </c>
      <c r="M9" s="12" t="n">
        <v>3.938282259615874</v>
      </c>
      <c r="N9" s="12" t="n">
        <v>8.917242509320214</v>
      </c>
      <c r="O9" s="12" t="n">
        <v>270.7956901412308</v>
      </c>
      <c r="P9" s="5" t="inlineStr">
        <is>
          <t>Normal</t>
        </is>
      </c>
      <c r="Q9" s="5" t="inlineStr">
        <is>
          <t>Build</t>
        </is>
      </c>
      <c r="R9" s="12" t="n">
        <v>0.8</v>
      </c>
      <c r="S9" s="5" t="inlineStr">
        <is>
          <t>ACCEPTED</t>
        </is>
      </c>
      <c r="T9" s="5" t="inlineStr">
        <is>
          <t>Normal operation</t>
        </is>
      </c>
    </row>
    <row r="10">
      <c r="A10" s="7" t="n">
        <v>3345</v>
      </c>
      <c r="B10" s="8" t="n">
        <v>44564.583</v>
      </c>
      <c r="C10" s="9" t="n">
        <v>44.564583</v>
      </c>
      <c r="D10" s="9" t="n">
        <v>134.87927712</v>
      </c>
      <c r="E10" s="9" t="n">
        <v>69.34090806</v>
      </c>
      <c r="F10" s="10" t="n">
        <v>0.013781888835</v>
      </c>
      <c r="G10" s="10" t="n">
        <v>0.09075559903200001</v>
      </c>
      <c r="H10" s="10" t="n">
        <v>1</v>
      </c>
      <c r="I10" s="10" t="n">
        <v>0.001</v>
      </c>
      <c r="J10" s="5" t="inlineStr">
        <is>
          <t>Cleaner sand</t>
        </is>
      </c>
      <c r="K10" s="11" t="n">
        <v>16.24267130190503</v>
      </c>
      <c r="L10" s="12" t="n">
        <v>1.500832622080775</v>
      </c>
      <c r="M10" s="12" t="n">
        <v>3.004174469098185</v>
      </c>
      <c r="N10" s="12" t="n">
        <v>9.566821323966291</v>
      </c>
      <c r="O10" s="12" t="n">
        <v>308.9069106291776</v>
      </c>
      <c r="P10" s="5" t="inlineStr">
        <is>
          <t>Normal</t>
        </is>
      </c>
      <c r="Q10" s="5" t="inlineStr">
        <is>
          <t>Build</t>
        </is>
      </c>
      <c r="R10" s="12" t="n">
        <v>0.58</v>
      </c>
      <c r="S10" s="5" t="inlineStr">
        <is>
          <t>REDUCED</t>
        </is>
      </c>
      <c r="T10" s="5" t="inlineStr">
        <is>
          <t>Normal operation</t>
        </is>
      </c>
    </row>
    <row r="11">
      <c r="A11" s="7" t="n">
        <v>3350</v>
      </c>
      <c r="B11" s="8" t="n">
        <v>60928.6029999999</v>
      </c>
      <c r="C11" s="9" t="n">
        <v>60.9286029999999</v>
      </c>
      <c r="D11" s="9" t="n">
        <v>118.55117177</v>
      </c>
      <c r="E11" s="9" t="n">
        <v>60.61070344</v>
      </c>
      <c r="F11" s="10" t="n">
        <v>0.017082658695</v>
      </c>
      <c r="G11" s="10" t="n">
        <v>0.097655747699</v>
      </c>
      <c r="H11" s="10" t="n">
        <v>1</v>
      </c>
      <c r="I11" s="10" t="n">
        <v>0.001</v>
      </c>
      <c r="J11" s="5" t="inlineStr">
        <is>
          <t>Cleaner sand</t>
        </is>
      </c>
      <c r="K11" s="11" t="n">
        <v>20.26440291275681</v>
      </c>
      <c r="L11" s="12" t="n">
        <v>1.1</v>
      </c>
      <c r="M11" s="12" t="n">
        <v>4.729410975662074</v>
      </c>
      <c r="N11" s="12" t="n">
        <v>7.691591120076883</v>
      </c>
      <c r="O11" s="12" t="n">
        <v>292.7691240231423</v>
      </c>
      <c r="P11" s="5" t="inlineStr">
        <is>
          <t>Normal</t>
        </is>
      </c>
      <c r="Q11" s="5" t="inlineStr">
        <is>
          <t>Build</t>
        </is>
      </c>
      <c r="R11" s="12" t="n">
        <v>0.83</v>
      </c>
      <c r="S11" s="5" t="inlineStr">
        <is>
          <t>ACCEPTED</t>
        </is>
      </c>
      <c r="T11" s="5" t="inlineStr">
        <is>
          <t>Normal operation</t>
        </is>
      </c>
    </row>
    <row r="12">
      <c r="A12" s="7" t="n">
        <v>3355</v>
      </c>
      <c r="B12" s="8" t="n">
        <v>40202.384</v>
      </c>
      <c r="C12" s="9" t="n">
        <v>40.202384</v>
      </c>
      <c r="D12" s="9" t="n">
        <v>172.15118133</v>
      </c>
      <c r="E12" s="9" t="n">
        <v>55.70299278</v>
      </c>
      <c r="F12" s="10" t="n">
        <v>0.01431600839</v>
      </c>
      <c r="G12" s="10" t="n">
        <v>0.089343110867</v>
      </c>
      <c r="H12" s="10" t="n">
        <v>1</v>
      </c>
      <c r="I12" s="10" t="n">
        <v>0.001</v>
      </c>
      <c r="J12" s="5" t="inlineStr">
        <is>
          <t>Cleaner sand</t>
        </is>
      </c>
      <c r="K12" s="11" t="n">
        <v>15.44642525800419</v>
      </c>
      <c r="L12" s="12" t="n">
        <v>2.782561860569463</v>
      </c>
      <c r="M12" s="12" t="n">
        <v>3.509812327952348</v>
      </c>
      <c r="N12" s="12" t="n">
        <v>9.206022363392506</v>
      </c>
      <c r="O12" s="12" t="n">
        <v>301.7597625672641</v>
      </c>
      <c r="P12" s="5" t="inlineStr">
        <is>
          <t>Normal</t>
        </is>
      </c>
      <c r="Q12" s="5" t="inlineStr">
        <is>
          <t>Turn Left</t>
        </is>
      </c>
      <c r="R12" s="12" t="n">
        <v>0.59</v>
      </c>
      <c r="S12" s="5" t="inlineStr">
        <is>
          <t>REDUCED</t>
        </is>
      </c>
      <c r="T12" s="5" t="inlineStr">
        <is>
          <t>High vibration detected</t>
        </is>
      </c>
    </row>
    <row r="13">
      <c r="A13" s="7" t="n">
        <v>3360</v>
      </c>
      <c r="B13" s="8" t="n">
        <v>43788.455</v>
      </c>
      <c r="C13" s="9" t="n">
        <v>43.788455</v>
      </c>
      <c r="D13" s="9" t="n">
        <v>176.69569258</v>
      </c>
      <c r="E13" s="9" t="n">
        <v>55.60282978</v>
      </c>
      <c r="F13" s="10" t="n">
        <v>0.05379895882</v>
      </c>
      <c r="G13" s="10" t="n">
        <v>0.09655029275</v>
      </c>
      <c r="H13" s="10" t="n">
        <v>1</v>
      </c>
      <c r="I13" s="10" t="n">
        <v>0.001</v>
      </c>
      <c r="J13" s="5" t="inlineStr">
        <is>
          <t>Cleaner sand</t>
        </is>
      </c>
      <c r="K13" s="11" t="n">
        <v>16.10366920981253</v>
      </c>
      <c r="L13" s="12" t="n">
        <v>1.1</v>
      </c>
      <c r="M13" s="12" t="n">
        <v>3.756442368631277</v>
      </c>
      <c r="N13" s="12" t="n">
        <v>8.490848591160814</v>
      </c>
      <c r="O13" s="12" t="n">
        <v>301.3059627078229</v>
      </c>
      <c r="P13" s="5" t="inlineStr">
        <is>
          <t>Normal</t>
        </is>
      </c>
      <c r="Q13" s="5" t="inlineStr">
        <is>
          <t>Build</t>
        </is>
      </c>
      <c r="R13" s="12" t="n">
        <v>0.54</v>
      </c>
      <c r="S13" s="5" t="inlineStr">
        <is>
          <t>REDUCED</t>
        </is>
      </c>
      <c r="T13" s="5" t="inlineStr">
        <is>
          <t>Normal operation</t>
        </is>
      </c>
    </row>
    <row r="14">
      <c r="A14" s="7" t="n">
        <v>3365</v>
      </c>
      <c r="B14" s="8" t="n">
        <v>44938.123</v>
      </c>
      <c r="C14" s="9" t="n">
        <v>44.938123</v>
      </c>
      <c r="D14" s="9" t="n">
        <v>179.62654803</v>
      </c>
      <c r="E14" s="9" t="n">
        <v>55.62405302</v>
      </c>
      <c r="F14" s="10" t="n">
        <v>0.03779870146</v>
      </c>
      <c r="G14" s="10" t="n">
        <v>0.111597018839</v>
      </c>
      <c r="H14" s="10" t="n">
        <v>1</v>
      </c>
      <c r="I14" s="10" t="n">
        <v>0.001</v>
      </c>
      <c r="J14" s="5" t="inlineStr">
        <is>
          <t>Cleaner sand</t>
        </is>
      </c>
      <c r="K14" s="11" t="n">
        <v>17.02281004392524</v>
      </c>
      <c r="L14" s="12" t="n">
        <v>1.1</v>
      </c>
      <c r="M14" s="12" t="n">
        <v>3.923455663105052</v>
      </c>
      <c r="N14" s="12" t="n">
        <v>6.912775960603159</v>
      </c>
      <c r="O14" s="12" t="n">
        <v>318.9476970650351</v>
      </c>
      <c r="P14" s="5" t="inlineStr">
        <is>
          <t>Normal</t>
        </is>
      </c>
      <c r="Q14" s="5" t="inlineStr">
        <is>
          <t>Build</t>
        </is>
      </c>
      <c r="R14" s="12" t="n">
        <v>0.88</v>
      </c>
      <c r="S14" s="5" t="inlineStr">
        <is>
          <t>ACCEPTED</t>
        </is>
      </c>
      <c r="T14" s="5" t="inlineStr">
        <is>
          <t>Normal operation</t>
        </is>
      </c>
    </row>
    <row r="15">
      <c r="A15" s="7" t="n">
        <v>3370</v>
      </c>
      <c r="B15" s="8" t="n">
        <v>45959.357</v>
      </c>
      <c r="C15" s="9" t="n">
        <v>45.959357</v>
      </c>
      <c r="D15" s="9" t="n">
        <v>180</v>
      </c>
      <c r="E15" s="9" t="n">
        <v>30</v>
      </c>
      <c r="F15" s="10" t="n">
        <v>0.03652622573</v>
      </c>
      <c r="G15" s="10" t="n">
        <v>0.092511973473</v>
      </c>
      <c r="H15" s="10" t="n">
        <v>1</v>
      </c>
      <c r="I15" s="10" t="n">
        <v>0.001</v>
      </c>
      <c r="J15" s="5" t="inlineStr">
        <is>
          <t>Cleaner sand</t>
        </is>
      </c>
      <c r="K15" s="11" t="n">
        <v>15.05539454644614</v>
      </c>
      <c r="L15" s="12" t="n">
        <v>2.161059511684724</v>
      </c>
      <c r="M15" s="12" t="n">
        <v>3.760427943236035</v>
      </c>
      <c r="N15" s="12" t="n">
        <v>8.502691904084269</v>
      </c>
      <c r="O15" s="12" t="n">
        <v>282.0718317191018</v>
      </c>
      <c r="P15" s="5" t="inlineStr">
        <is>
          <t>Normal</t>
        </is>
      </c>
      <c r="Q15" s="5" t="inlineStr">
        <is>
          <t>Build</t>
        </is>
      </c>
      <c r="R15" s="12" t="n">
        <v>0.7</v>
      </c>
      <c r="S15" s="5" t="inlineStr">
        <is>
          <t>ACCEPTED</t>
        </is>
      </c>
      <c r="T15" s="5" t="inlineStr">
        <is>
          <t>Normal operation</t>
        </is>
      </c>
    </row>
    <row r="16">
      <c r="A16" s="7" t="n">
        <v>3375</v>
      </c>
      <c r="B16" s="8" t="n">
        <v>27652.132</v>
      </c>
      <c r="C16" s="9" t="n">
        <v>27.652132</v>
      </c>
      <c r="D16" s="9" t="n">
        <v>177.12929513</v>
      </c>
      <c r="E16" s="9" t="n">
        <v>60.52651568</v>
      </c>
      <c r="F16" s="10" t="n">
        <v>0.030479465315</v>
      </c>
      <c r="G16" s="10" t="n">
        <v>0.113838982993</v>
      </c>
      <c r="H16" s="10" t="n">
        <v>1</v>
      </c>
      <c r="I16" s="10" t="n">
        <v>0.001</v>
      </c>
      <c r="J16" s="5" t="inlineStr">
        <is>
          <t>Cleaner sand</t>
        </is>
      </c>
      <c r="K16" s="11" t="n">
        <v>11.87666235222338</v>
      </c>
      <c r="L16" s="12" t="n">
        <v>2.855478679106244</v>
      </c>
      <c r="M16" s="12" t="n">
        <v>4.12672532114437</v>
      </c>
      <c r="N16" s="12" t="n">
        <v>9.597111893135724</v>
      </c>
      <c r="O16" s="12" t="n">
        <v>313.1060400665982</v>
      </c>
      <c r="P16" s="5" t="inlineStr">
        <is>
          <t>Normal</t>
        </is>
      </c>
      <c r="Q16" s="5" t="inlineStr">
        <is>
          <t>Turn Left</t>
        </is>
      </c>
      <c r="R16" s="12" t="n">
        <v>0.5600000000000001</v>
      </c>
      <c r="S16" s="5" t="inlineStr">
        <is>
          <t>REDUCED</t>
        </is>
      </c>
      <c r="T16" s="5" t="inlineStr">
        <is>
          <t>High vibration detected</t>
        </is>
      </c>
    </row>
    <row r="17">
      <c r="A17" s="7" t="n">
        <v>3380</v>
      </c>
      <c r="B17" s="8" t="n">
        <v>29439.337</v>
      </c>
      <c r="C17" s="9" t="n">
        <v>29.439337</v>
      </c>
      <c r="D17" s="9" t="n">
        <v>173.88174624</v>
      </c>
      <c r="E17" s="9" t="n">
        <v>60.51317264</v>
      </c>
      <c r="F17" s="10" t="n">
        <v>0.026482121187</v>
      </c>
      <c r="G17" s="10" t="n">
        <v>0.08797615942500001</v>
      </c>
      <c r="H17" s="10" t="n">
        <v>1</v>
      </c>
      <c r="I17" s="10" t="n">
        <v>0.001</v>
      </c>
      <c r="J17" s="5" t="inlineStr">
        <is>
          <t>Cleaner sand</t>
        </is>
      </c>
      <c r="K17" s="11" t="n">
        <v>13.36799830673275</v>
      </c>
      <c r="L17" s="12" t="n">
        <v>2.338293681070154</v>
      </c>
      <c r="M17" s="12" t="n">
        <v>2.994154355727741</v>
      </c>
      <c r="N17" s="12" t="n">
        <v>9.222236754560859</v>
      </c>
      <c r="O17" s="12" t="n">
        <v>314.8966314388648</v>
      </c>
      <c r="P17" s="5" t="inlineStr">
        <is>
          <t>Normal</t>
        </is>
      </c>
      <c r="Q17" s="5" t="inlineStr">
        <is>
          <t>Turn Left</t>
        </is>
      </c>
      <c r="R17" s="12" t="n">
        <v>0.91</v>
      </c>
      <c r="S17" s="5" t="inlineStr">
        <is>
          <t>ACCEPTED</t>
        </is>
      </c>
      <c r="T17" s="5" t="inlineStr">
        <is>
          <t>Normal operation</t>
        </is>
      </c>
    </row>
    <row r="18">
      <c r="A18" s="7" t="n">
        <v>3390</v>
      </c>
      <c r="B18" s="8" t="n">
        <v>51058.513</v>
      </c>
      <c r="C18" s="9" t="n">
        <v>51.058513</v>
      </c>
      <c r="D18" s="9" t="n">
        <v>176.64015785</v>
      </c>
      <c r="E18" s="9" t="n">
        <v>60.48652756</v>
      </c>
      <c r="F18" s="10" t="n">
        <v>0.032047358025</v>
      </c>
      <c r="G18" s="10" t="n">
        <v>0.07075210379499999</v>
      </c>
      <c r="H18" s="10" t="n">
        <v>1</v>
      </c>
      <c r="I18" s="10" t="n">
        <v>0.001</v>
      </c>
      <c r="J18" s="5" t="inlineStr">
        <is>
          <t>Cleaner sand</t>
        </is>
      </c>
      <c r="K18" s="11" t="n">
        <v>16.893688738202</v>
      </c>
      <c r="L18" s="12" t="n">
        <v>1.936315468825656</v>
      </c>
      <c r="M18" s="12" t="n">
        <v>3.105984016650704</v>
      </c>
      <c r="N18" s="12" t="n">
        <v>10.3039860334521</v>
      </c>
      <c r="O18" s="12" t="n">
        <v>316.3248420337</v>
      </c>
      <c r="P18" s="5" t="inlineStr">
        <is>
          <t>Normal</t>
        </is>
      </c>
      <c r="Q18" s="5" t="inlineStr">
        <is>
          <t>Turn Left</t>
        </is>
      </c>
      <c r="R18" s="12" t="n">
        <v>0.78</v>
      </c>
      <c r="S18" s="5" t="inlineStr">
        <is>
          <t>ACCEPTED</t>
        </is>
      </c>
      <c r="T18" s="5" t="inlineStr">
        <is>
          <t>Normal operation</t>
        </is>
      </c>
    </row>
    <row r="19">
      <c r="A19" s="7" t="n">
        <v>3395</v>
      </c>
      <c r="B19" s="8" t="n">
        <v>54386.651</v>
      </c>
      <c r="C19" s="9" t="n">
        <v>54.386651</v>
      </c>
      <c r="D19" s="9" t="n">
        <v>175.92216776</v>
      </c>
      <c r="E19" s="9" t="n">
        <v>58.41310754</v>
      </c>
      <c r="F19" s="10" t="n">
        <v>0.024143295786</v>
      </c>
      <c r="G19" s="10" t="n">
        <v>0.111945171782</v>
      </c>
      <c r="H19" s="10" t="n">
        <v>1</v>
      </c>
      <c r="I19" s="10" t="n">
        <v>0.001</v>
      </c>
      <c r="J19" s="5" t="inlineStr">
        <is>
          <t>Cleaner sand</t>
        </is>
      </c>
      <c r="K19" s="11" t="n">
        <v>18.8328837467018</v>
      </c>
      <c r="L19" s="12" t="n">
        <v>1.95142962741599</v>
      </c>
      <c r="M19" s="12" t="n">
        <v>2.704782265574465</v>
      </c>
      <c r="N19" s="12" t="n">
        <v>10.85695912195095</v>
      </c>
      <c r="O19" s="12" t="n">
        <v>340.3326917182735</v>
      </c>
      <c r="P19" s="5" t="inlineStr">
        <is>
          <t>Normal</t>
        </is>
      </c>
      <c r="Q19" s="5" t="inlineStr">
        <is>
          <t>Turn Left</t>
        </is>
      </c>
      <c r="R19" s="12" t="n">
        <v>0.52</v>
      </c>
      <c r="S19" s="5" t="inlineStr">
        <is>
          <t>REDUCED</t>
        </is>
      </c>
      <c r="T19" s="5" t="inlineStr">
        <is>
          <t>Normal operation</t>
        </is>
      </c>
    </row>
    <row r="20">
      <c r="A20" s="7" t="n">
        <v>3400</v>
      </c>
      <c r="B20" s="8" t="n">
        <v>42902.5479999999</v>
      </c>
      <c r="C20" s="9" t="n">
        <v>42.9025479999999</v>
      </c>
      <c r="D20" s="9" t="n">
        <v>175.15026165</v>
      </c>
      <c r="E20" s="9" t="n">
        <v>57.2046227</v>
      </c>
      <c r="F20" s="10" t="n">
        <v>0.019745276629</v>
      </c>
      <c r="G20" s="10" t="n">
        <v>0.055927879061</v>
      </c>
      <c r="H20" s="10" t="n">
        <v>1</v>
      </c>
      <c r="I20" s="10" t="n">
        <v>0.001</v>
      </c>
      <c r="J20" s="5" t="inlineStr">
        <is>
          <t>Cleaner sand</t>
        </is>
      </c>
      <c r="K20" s="11" t="n">
        <v>15.49843743112285</v>
      </c>
      <c r="L20" s="12" t="n">
        <v>2.078173623802351</v>
      </c>
      <c r="M20" s="12" t="n">
        <v>3.968747990047691</v>
      </c>
      <c r="N20" s="12" t="n">
        <v>11.25817975208286</v>
      </c>
      <c r="O20" s="12" t="n">
        <v>316.2348409531255</v>
      </c>
      <c r="P20" s="5" t="inlineStr">
        <is>
          <t>Normal</t>
        </is>
      </c>
      <c r="Q20" s="5" t="inlineStr">
        <is>
          <t>Turn Left</t>
        </is>
      </c>
      <c r="R20" s="12" t="n">
        <v>0.74</v>
      </c>
      <c r="S20" s="5" t="inlineStr">
        <is>
          <t>ACCEPTED</t>
        </is>
      </c>
      <c r="T20" s="5" t="inlineStr">
        <is>
          <t>Normal operation</t>
        </is>
      </c>
    </row>
    <row r="21">
      <c r="A21" s="7" t="n">
        <v>3405</v>
      </c>
      <c r="B21" s="8" t="n">
        <v>90190.58900000001</v>
      </c>
      <c r="C21" s="9" t="n">
        <v>90.190589</v>
      </c>
      <c r="D21" s="9" t="n">
        <v>177.79798628</v>
      </c>
      <c r="E21" s="9" t="n">
        <v>55.66930636</v>
      </c>
      <c r="F21" s="10" t="n">
        <v>0.002968187721</v>
      </c>
      <c r="G21" s="10" t="n">
        <v>0.064927597862</v>
      </c>
      <c r="H21" s="10" t="n">
        <v>1</v>
      </c>
      <c r="I21" s="10" t="n">
        <v>0.001</v>
      </c>
      <c r="J21" s="5" t="inlineStr">
        <is>
          <t>Cleaner sand</t>
        </is>
      </c>
      <c r="K21" s="11" t="n">
        <v>23.69145123982914</v>
      </c>
      <c r="L21" s="12" t="n">
        <v>2.031875008995515</v>
      </c>
      <c r="M21" s="12" t="n">
        <v>4.272496540340901</v>
      </c>
      <c r="N21" s="12" t="n">
        <v>11.81880108954984</v>
      </c>
      <c r="O21" s="12" t="n">
        <v>334.6862771445075</v>
      </c>
      <c r="P21" s="5" t="inlineStr">
        <is>
          <t>Normal</t>
        </is>
      </c>
      <c r="Q21" s="5" t="inlineStr">
        <is>
          <t>Turn Left</t>
        </is>
      </c>
      <c r="R21" s="12" t="n">
        <v>0.88</v>
      </c>
      <c r="S21" s="5" t="inlineStr">
        <is>
          <t>ACCEPTED</t>
        </is>
      </c>
      <c r="T21" s="5" t="inlineStr">
        <is>
          <t>WOB outside preferred band</t>
        </is>
      </c>
    </row>
    <row r="22">
      <c r="A22" s="7" t="n">
        <v>3415</v>
      </c>
      <c r="B22" s="8" t="n">
        <v>32214.548</v>
      </c>
      <c r="C22" s="9" t="n">
        <v>32.214548</v>
      </c>
      <c r="D22" s="9" t="n">
        <v>180</v>
      </c>
      <c r="E22" s="9" t="n">
        <v>60.54794966</v>
      </c>
      <c r="F22" s="10" t="n">
        <v>0.036297619616</v>
      </c>
      <c r="G22" s="10" t="n">
        <v>0.067104465259</v>
      </c>
      <c r="H22" s="10" t="n">
        <v>1</v>
      </c>
      <c r="I22" s="10" t="n">
        <v>0.001</v>
      </c>
      <c r="J22" s="5" t="inlineStr">
        <is>
          <t>Cleaner sand</t>
        </is>
      </c>
      <c r="K22" s="11" t="n">
        <v>15.90635592705808</v>
      </c>
      <c r="L22" s="12" t="n">
        <v>1.797783797744994</v>
      </c>
      <c r="M22" s="12" t="n">
        <v>4.079834671026383</v>
      </c>
      <c r="N22" s="12" t="n">
        <v>11.14716497077784</v>
      </c>
      <c r="O22" s="12" t="n">
        <v>333.6971789590506</v>
      </c>
      <c r="P22" s="5" t="inlineStr">
        <is>
          <t>Normal</t>
        </is>
      </c>
      <c r="Q22" s="5" t="inlineStr">
        <is>
          <t>Turn Left</t>
        </is>
      </c>
      <c r="R22" s="12" t="n">
        <v>0.78</v>
      </c>
      <c r="S22" s="5" t="inlineStr">
        <is>
          <t>ACCEPTED</t>
        </is>
      </c>
      <c r="T22" s="5" t="inlineStr">
        <is>
          <t>Normal operation</t>
        </is>
      </c>
    </row>
    <row r="23">
      <c r="A23" s="7" t="n">
        <v>3420</v>
      </c>
      <c r="B23" s="8" t="n">
        <v>47159.142</v>
      </c>
      <c r="C23" s="9" t="n">
        <v>47.159142</v>
      </c>
      <c r="D23" s="9" t="n">
        <v>178.71257792</v>
      </c>
      <c r="E23" s="9" t="n">
        <v>60.35481998</v>
      </c>
      <c r="F23" s="10" t="n">
        <v>0.024594233207</v>
      </c>
      <c r="G23" s="10" t="n">
        <v>0.073955891648</v>
      </c>
      <c r="H23" s="10" t="n">
        <v>1</v>
      </c>
      <c r="I23" s="10" t="n">
        <v>0.001</v>
      </c>
      <c r="J23" s="5" t="inlineStr">
        <is>
          <t>Cleaner sand</t>
        </is>
      </c>
      <c r="K23" s="11" t="n">
        <v>16.96356489977011</v>
      </c>
      <c r="L23" s="12" t="n">
        <v>1.711058540936419</v>
      </c>
      <c r="M23" s="12" t="n">
        <v>5.085274761428473</v>
      </c>
      <c r="N23" s="12" t="n">
        <v>11.98137381582226</v>
      </c>
      <c r="O23" s="12" t="n">
        <v>344.0466476904878</v>
      </c>
      <c r="P23" s="5" t="inlineStr">
        <is>
          <t>Normal</t>
        </is>
      </c>
      <c r="Q23" s="5" t="inlineStr">
        <is>
          <t>Turn Left</t>
        </is>
      </c>
      <c r="R23" s="12" t="n">
        <v>0.53</v>
      </c>
      <c r="S23" s="5" t="inlineStr">
        <is>
          <t>REDUCED</t>
        </is>
      </c>
      <c r="T23" s="5" t="inlineStr">
        <is>
          <t>Normal operation</t>
        </is>
      </c>
    </row>
    <row r="24">
      <c r="A24" s="7" t="n">
        <v>3425</v>
      </c>
      <c r="B24" s="8" t="n">
        <v>60347.172</v>
      </c>
      <c r="C24" s="9" t="n">
        <v>60.347172</v>
      </c>
      <c r="D24" s="9" t="n">
        <v>162.44316276</v>
      </c>
      <c r="E24" s="9" t="n">
        <v>55.02507254</v>
      </c>
      <c r="F24" s="10" t="n">
        <v>0.048633772095</v>
      </c>
      <c r="G24" s="10" t="n">
        <v>0.08639946915500001</v>
      </c>
      <c r="H24" s="10" t="n">
        <v>1</v>
      </c>
      <c r="I24" s="10" t="n">
        <v>0.001</v>
      </c>
      <c r="J24" s="5" t="inlineStr">
        <is>
          <t>Cleaner sand</t>
        </is>
      </c>
      <c r="K24" s="11" t="n">
        <v>19.6824333383978</v>
      </c>
      <c r="L24" s="12" t="n">
        <v>1.629329367329234</v>
      </c>
      <c r="M24" s="12" t="n">
        <v>3.773218871099954</v>
      </c>
      <c r="N24" s="12" t="n">
        <v>11.63107851687378</v>
      </c>
      <c r="O24" s="12" t="n">
        <v>325.8601630292276</v>
      </c>
      <c r="P24" s="5" t="inlineStr">
        <is>
          <t>Normal</t>
        </is>
      </c>
      <c r="Q24" s="5" t="inlineStr">
        <is>
          <t>Turn Left</t>
        </is>
      </c>
      <c r="R24" s="12" t="n">
        <v>0.76</v>
      </c>
      <c r="S24" s="5" t="inlineStr">
        <is>
          <t>ACCEPTED</t>
        </is>
      </c>
      <c r="T24" s="5" t="inlineStr">
        <is>
          <t>Normal operation</t>
        </is>
      </c>
    </row>
    <row r="25">
      <c r="A25" s="7" t="n">
        <v>3430</v>
      </c>
      <c r="B25" s="8" t="n">
        <v>47047.4909999999</v>
      </c>
      <c r="C25" s="9" t="n">
        <v>47.0474909999999</v>
      </c>
      <c r="D25" s="9" t="n">
        <v>136.56866396</v>
      </c>
      <c r="E25" s="9" t="n">
        <v>60.50784018</v>
      </c>
      <c r="F25" s="10" t="n">
        <v>0.08748431793899999</v>
      </c>
      <c r="G25" s="10" t="n">
        <v>0.091781874889</v>
      </c>
      <c r="H25" s="10" t="n">
        <v>1</v>
      </c>
      <c r="I25" s="10" t="n">
        <v>0.001</v>
      </c>
      <c r="J25" s="5" t="inlineStr">
        <is>
          <t>Cleaner sand</t>
        </is>
      </c>
      <c r="K25" s="11" t="n">
        <v>15.74405798047607</v>
      </c>
      <c r="L25" s="12" t="n">
        <v>1.290557351455329</v>
      </c>
      <c r="M25" s="12" t="n">
        <v>4.344652188795966</v>
      </c>
      <c r="N25" s="12" t="n">
        <v>14.95974152947095</v>
      </c>
      <c r="O25" s="12" t="n">
        <v>326.1035075967673</v>
      </c>
      <c r="P25" s="5" t="inlineStr">
        <is>
          <t>Normal</t>
        </is>
      </c>
      <c r="Q25" s="5" t="inlineStr">
        <is>
          <t>Turn Left</t>
        </is>
      </c>
      <c r="R25" s="12" t="n">
        <v>0.74</v>
      </c>
      <c r="S25" s="5" t="inlineStr">
        <is>
          <t>ACCEPTED</t>
        </is>
      </c>
      <c r="T25" s="5" t="inlineStr">
        <is>
          <t>Normal operation</t>
        </is>
      </c>
    </row>
    <row r="26">
      <c r="A26" s="7" t="n">
        <v>3435</v>
      </c>
      <c r="B26" s="8" t="n">
        <v>49582.124</v>
      </c>
      <c r="C26" s="9" t="n">
        <v>49.582124</v>
      </c>
      <c r="D26" s="9" t="n">
        <v>136.575412</v>
      </c>
      <c r="E26" s="9" t="n">
        <v>58.76069078</v>
      </c>
      <c r="F26" s="10" t="n">
        <v>0.054966144072</v>
      </c>
      <c r="G26" s="10" t="n">
        <v>0.067739423258</v>
      </c>
      <c r="H26" s="10" t="n">
        <v>1</v>
      </c>
      <c r="I26" s="10" t="n">
        <v>0.001</v>
      </c>
      <c r="J26" s="5" t="inlineStr">
        <is>
          <t>Cleaner sand</t>
        </is>
      </c>
      <c r="K26" s="11" t="n">
        <v>17.09059726716631</v>
      </c>
      <c r="L26" s="12" t="n">
        <v>1.522469212335281</v>
      </c>
      <c r="M26" s="12" t="n">
        <v>2.968207523730159</v>
      </c>
      <c r="N26" s="12" t="n">
        <v>11.33878354308163</v>
      </c>
      <c r="O26" s="12" t="n">
        <v>344.5</v>
      </c>
      <c r="P26" s="5" t="inlineStr">
        <is>
          <t>Normal</t>
        </is>
      </c>
      <c r="Q26" s="5" t="inlineStr">
        <is>
          <t>Turn Left</t>
        </is>
      </c>
      <c r="R26" s="12" t="n">
        <v>0.85</v>
      </c>
      <c r="S26" s="5" t="inlineStr">
        <is>
          <t>ACCEPTED</t>
        </is>
      </c>
      <c r="T26" s="5" t="inlineStr">
        <is>
          <t>Normal operation</t>
        </is>
      </c>
    </row>
    <row r="27">
      <c r="A27" s="7" t="n">
        <v>3440</v>
      </c>
      <c r="B27" s="8" t="n">
        <v>41336.436</v>
      </c>
      <c r="C27" s="9" t="n">
        <v>41.336436</v>
      </c>
      <c r="D27" s="9" t="n">
        <v>136.64673086</v>
      </c>
      <c r="E27" s="9" t="n">
        <v>55.7188893</v>
      </c>
      <c r="F27" s="10" t="n">
        <v>0.09898508994499999</v>
      </c>
      <c r="G27" s="10" t="n">
        <v>0.06706730775600001</v>
      </c>
      <c r="H27" s="10" t="n">
        <v>1.007839057113</v>
      </c>
      <c r="I27" s="10" t="n">
        <v>0.001</v>
      </c>
      <c r="J27" s="5" t="inlineStr">
        <is>
          <t>Cleaner sand</t>
        </is>
      </c>
      <c r="K27" s="11" t="n">
        <v>16.22934222937698</v>
      </c>
      <c r="L27" s="12" t="n">
        <v>1.1</v>
      </c>
      <c r="M27" s="12" t="n">
        <v>3.563741884134769</v>
      </c>
      <c r="N27" s="12" t="n">
        <v>15.96333526638121</v>
      </c>
      <c r="O27" s="12" t="n">
        <v>338.8802779408172</v>
      </c>
      <c r="P27" s="5" t="inlineStr">
        <is>
          <t>Normal</t>
        </is>
      </c>
      <c r="Q27" s="5" t="inlineStr">
        <is>
          <t>Turn Left</t>
        </is>
      </c>
      <c r="R27" s="12" t="n">
        <v>0.5</v>
      </c>
      <c r="S27" s="5" t="inlineStr">
        <is>
          <t>REDUCED</t>
        </is>
      </c>
      <c r="T27" s="5" t="inlineStr">
        <is>
          <t>Normal operation</t>
        </is>
      </c>
    </row>
    <row r="28">
      <c r="A28" s="7" t="n">
        <v>3445</v>
      </c>
      <c r="B28" s="8" t="n">
        <v>60644.639</v>
      </c>
      <c r="C28" s="9" t="n">
        <v>60.64463900000001</v>
      </c>
      <c r="D28" s="9" t="n">
        <v>134.48556177</v>
      </c>
      <c r="E28" s="9" t="n">
        <v>55.61661644</v>
      </c>
      <c r="F28" s="10" t="n">
        <v>0.078905269547</v>
      </c>
      <c r="G28" s="10" t="n">
        <v>0.062588588205</v>
      </c>
      <c r="H28" s="10" t="n">
        <v>0.9999918057129999</v>
      </c>
      <c r="I28" s="10" t="n">
        <v>0.001</v>
      </c>
      <c r="J28" s="5" t="inlineStr">
        <is>
          <t>Cleaner sand</t>
        </is>
      </c>
      <c r="K28" s="11" t="n">
        <v>18.51862217088221</v>
      </c>
      <c r="L28" s="12" t="n">
        <v>1.611813582870572</v>
      </c>
      <c r="M28" s="12" t="n">
        <v>4.461647217502992</v>
      </c>
      <c r="N28" s="12" t="n">
        <v>16.65346528910606</v>
      </c>
      <c r="O28" s="12" t="n">
        <v>319.4668908579138</v>
      </c>
      <c r="P28" s="5" t="inlineStr">
        <is>
          <t>Normal</t>
        </is>
      </c>
      <c r="Q28" s="5" t="inlineStr">
        <is>
          <t>Drop</t>
        </is>
      </c>
      <c r="R28" s="12" t="n">
        <v>0.78</v>
      </c>
      <c r="S28" s="5" t="inlineStr">
        <is>
          <t>ACCEPTED</t>
        </is>
      </c>
      <c r="T28" s="5" t="inlineStr">
        <is>
          <t>Normal operation</t>
        </is>
      </c>
    </row>
    <row r="29">
      <c r="A29" s="7" t="n">
        <v>3450</v>
      </c>
      <c r="B29" s="8" t="n">
        <v>52260.5159999999</v>
      </c>
      <c r="C29" s="9" t="n">
        <v>52.2605159999999</v>
      </c>
      <c r="D29" s="9" t="n">
        <v>136.16817325</v>
      </c>
      <c r="E29" s="9" t="n">
        <v>55.65963938</v>
      </c>
      <c r="F29" s="10" t="n">
        <v>0.095700091611</v>
      </c>
      <c r="G29" s="10" t="n">
        <v>0.089433020712</v>
      </c>
      <c r="H29" s="10" t="n">
        <v>1</v>
      </c>
      <c r="I29" s="10" t="n">
        <v>0.001</v>
      </c>
      <c r="J29" s="5" t="inlineStr">
        <is>
          <t>Cleaner sand</t>
        </is>
      </c>
      <c r="K29" s="11" t="n">
        <v>18.50329222420329</v>
      </c>
      <c r="L29" s="12" t="n">
        <v>1.17559035749605</v>
      </c>
      <c r="M29" s="12" t="n">
        <v>4.616233895813722</v>
      </c>
      <c r="N29" s="12" t="n">
        <v>14.84591956218211</v>
      </c>
      <c r="O29" s="12" t="n">
        <v>329.6059158779735</v>
      </c>
      <c r="P29" s="5" t="inlineStr">
        <is>
          <t>Normal</t>
        </is>
      </c>
      <c r="Q29" s="5" t="inlineStr">
        <is>
          <t>Turn Left</t>
        </is>
      </c>
      <c r="R29" s="12" t="n">
        <v>0.42</v>
      </c>
      <c r="S29" s="5" t="inlineStr">
        <is>
          <t>REJECTED</t>
        </is>
      </c>
      <c r="T29" s="5" t="inlineStr">
        <is>
          <t>Normal operation</t>
        </is>
      </c>
    </row>
    <row r="30">
      <c r="A30" s="7" t="n">
        <v>3455</v>
      </c>
      <c r="B30" s="8" t="n">
        <v>21961.0229999999</v>
      </c>
      <c r="C30" s="9" t="n">
        <v>21.9610229999999</v>
      </c>
      <c r="D30" s="9" t="n">
        <v>136.5974046</v>
      </c>
      <c r="E30" s="9" t="n">
        <v>60.4031475</v>
      </c>
      <c r="F30" s="10" t="n">
        <v>0.094331718376</v>
      </c>
      <c r="G30" s="10" t="n">
        <v>0.102332502234</v>
      </c>
      <c r="H30" s="10" t="n">
        <v>1</v>
      </c>
      <c r="I30" s="10" t="n">
        <v>0.001</v>
      </c>
      <c r="J30" s="5" t="inlineStr">
        <is>
          <t>Cleaner sand</t>
        </is>
      </c>
      <c r="K30" s="11" t="n">
        <v>11.95422346856567</v>
      </c>
      <c r="L30" s="12" t="n">
        <v>1.119241234564272</v>
      </c>
      <c r="M30" s="12" t="n">
        <v>3.733451565858266</v>
      </c>
      <c r="N30" s="12" t="n">
        <v>12.24221936367918</v>
      </c>
      <c r="O30" s="12" t="n">
        <v>338.7387522302088</v>
      </c>
      <c r="P30" s="5" t="inlineStr">
        <is>
          <t>Normal</t>
        </is>
      </c>
      <c r="Q30" s="5" t="inlineStr">
        <is>
          <t>Turn Left</t>
        </is>
      </c>
      <c r="R30" s="12" t="n">
        <v>0.78</v>
      </c>
      <c r="S30" s="5" t="inlineStr">
        <is>
          <t>ACCEPTED</t>
        </is>
      </c>
      <c r="T30" s="5" t="inlineStr">
        <is>
          <t>WOB outside preferred band</t>
        </is>
      </c>
    </row>
    <row r="31">
      <c r="A31" s="7" t="n">
        <v>3460</v>
      </c>
      <c r="B31" s="8" t="n">
        <v>25584.316</v>
      </c>
      <c r="C31" s="9" t="n">
        <v>25.584316</v>
      </c>
      <c r="D31" s="9" t="n">
        <v>136.77961534</v>
      </c>
      <c r="E31" s="9" t="n">
        <v>60.39084914</v>
      </c>
      <c r="F31" s="10" t="n">
        <v>0.087120268637</v>
      </c>
      <c r="G31" s="10" t="n">
        <v>0.124620504756</v>
      </c>
      <c r="H31" s="10" t="n">
        <v>1</v>
      </c>
      <c r="I31" s="10" t="n">
        <v>0.001</v>
      </c>
      <c r="J31" s="5" t="inlineStr">
        <is>
          <t>Cleaner sand</t>
        </is>
      </c>
      <c r="K31" s="11" t="n">
        <v>12.92957035205452</v>
      </c>
      <c r="L31" s="12" t="n">
        <v>1.748148134065204</v>
      </c>
      <c r="M31" s="12" t="n">
        <v>3.942954254983614</v>
      </c>
      <c r="N31" s="12" t="n">
        <v>15.54413709989235</v>
      </c>
      <c r="O31" s="12" t="n">
        <v>342.922151900777</v>
      </c>
      <c r="P31" s="5" t="inlineStr">
        <is>
          <t>Normal</t>
        </is>
      </c>
      <c r="Q31" s="5" t="inlineStr">
        <is>
          <t>Turn Left</t>
        </is>
      </c>
      <c r="R31" s="12" t="n">
        <v>0.93</v>
      </c>
      <c r="S31" s="5" t="inlineStr">
        <is>
          <t>ACCEPTED</t>
        </is>
      </c>
      <c r="T31" s="5" t="inlineStr">
        <is>
          <t>Normal operation</t>
        </is>
      </c>
    </row>
    <row r="32">
      <c r="A32" s="7" t="n">
        <v>3465</v>
      </c>
      <c r="B32" s="8" t="n">
        <v>19615.561</v>
      </c>
      <c r="C32" s="9" t="n">
        <v>19.615561</v>
      </c>
      <c r="D32" s="9" t="n">
        <v>136.49830813</v>
      </c>
      <c r="E32" s="9" t="n">
        <v>60.55660558</v>
      </c>
      <c r="F32" s="10" t="n">
        <v>0.123971971047</v>
      </c>
      <c r="G32" s="10" t="n">
        <v>0.082058336892</v>
      </c>
      <c r="H32" s="10" t="n">
        <v>1</v>
      </c>
      <c r="I32" s="10" t="n">
        <v>0.001</v>
      </c>
      <c r="J32" s="5" t="inlineStr">
        <is>
          <t>Cleaner sand</t>
        </is>
      </c>
      <c r="K32" s="11" t="n">
        <v>11.52177435933901</v>
      </c>
      <c r="L32" s="12" t="n">
        <v>2.342081120308854</v>
      </c>
      <c r="M32" s="12" t="n">
        <v>2.817476706304018</v>
      </c>
      <c r="N32" s="12" t="n">
        <v>16.31794467336952</v>
      </c>
      <c r="O32" s="12" t="n">
        <v>327.2163873554903</v>
      </c>
      <c r="P32" s="5" t="inlineStr">
        <is>
          <t>Normal</t>
        </is>
      </c>
      <c r="Q32" s="5" t="inlineStr">
        <is>
          <t>Turn Left</t>
        </is>
      </c>
      <c r="R32" s="12" t="n">
        <v>0.5</v>
      </c>
      <c r="S32" s="5" t="inlineStr">
        <is>
          <t>REDUCED</t>
        </is>
      </c>
      <c r="T32" s="5" t="inlineStr">
        <is>
          <t>WOB outside preferred band</t>
        </is>
      </c>
    </row>
    <row r="33">
      <c r="A33" s="7" t="n">
        <v>3470</v>
      </c>
      <c r="B33" s="8" t="n">
        <v>46578.191</v>
      </c>
      <c r="C33" s="9" t="n">
        <v>46.578191</v>
      </c>
      <c r="D33" s="9" t="n">
        <v>136.33522139</v>
      </c>
      <c r="E33" s="9" t="n">
        <v>60.37059104</v>
      </c>
      <c r="F33" s="10" t="n">
        <v>0.105504189311</v>
      </c>
      <c r="G33" s="10" t="n">
        <v>0.103100923089</v>
      </c>
      <c r="H33" s="10" t="n">
        <v>1</v>
      </c>
      <c r="I33" s="10" t="n">
        <v>0.001</v>
      </c>
      <c r="J33" s="5" t="inlineStr">
        <is>
          <t>Cleaner sand</t>
        </is>
      </c>
      <c r="K33" s="11" t="n">
        <v>18.93476993168551</v>
      </c>
      <c r="L33" s="12" t="n">
        <v>2.109975136941133</v>
      </c>
      <c r="M33" s="12" t="n">
        <v>3.777625808287473</v>
      </c>
      <c r="N33" s="12" t="n">
        <v>15.47514964973255</v>
      </c>
      <c r="O33" s="12" t="n">
        <v>304.1265009324771</v>
      </c>
      <c r="P33" s="5" t="inlineStr">
        <is>
          <t>Normal</t>
        </is>
      </c>
      <c r="Q33" s="5" t="inlineStr">
        <is>
          <t>Drop</t>
        </is>
      </c>
      <c r="R33" s="12" t="n">
        <v>0.57</v>
      </c>
      <c r="S33" s="5" t="inlineStr">
        <is>
          <t>REDUCED</t>
        </is>
      </c>
      <c r="T33" s="5" t="inlineStr">
        <is>
          <t>Normal operation</t>
        </is>
      </c>
    </row>
    <row r="34">
      <c r="A34" s="7" t="n">
        <v>3475</v>
      </c>
      <c r="B34" s="8" t="n">
        <v>43748.485</v>
      </c>
      <c r="C34" s="9" t="n">
        <v>43.748485</v>
      </c>
      <c r="D34" s="9" t="n">
        <v>136.69444524</v>
      </c>
      <c r="E34" s="9" t="n">
        <v>30</v>
      </c>
      <c r="F34" s="10" t="n">
        <v>0.103983227376</v>
      </c>
      <c r="G34" s="10" t="n">
        <v>0.08059694416099999</v>
      </c>
      <c r="H34" s="10" t="n">
        <v>1</v>
      </c>
      <c r="I34" s="10" t="n">
        <v>0.001</v>
      </c>
      <c r="J34" s="5" t="inlineStr">
        <is>
          <t>Cleaner sand</t>
        </is>
      </c>
      <c r="K34" s="11" t="n">
        <v>16.54855039121691</v>
      </c>
      <c r="L34" s="12" t="n">
        <v>1.1</v>
      </c>
      <c r="M34" s="12" t="n">
        <v>4.80695849110416</v>
      </c>
      <c r="N34" s="12" t="n">
        <v>16.50668667628458</v>
      </c>
      <c r="O34" s="12" t="n">
        <v>337.5600268794677</v>
      </c>
      <c r="P34" s="5" t="inlineStr">
        <is>
          <t>Normal</t>
        </is>
      </c>
      <c r="Q34" s="5" t="inlineStr">
        <is>
          <t>Turn Left</t>
        </is>
      </c>
      <c r="R34" s="12" t="n">
        <v>0.72</v>
      </c>
      <c r="S34" s="5" t="inlineStr">
        <is>
          <t>ACCEPTED</t>
        </is>
      </c>
      <c r="T34" s="5" t="inlineStr">
        <is>
          <t>Normal operation</t>
        </is>
      </c>
    </row>
    <row r="35">
      <c r="A35" s="7" t="n">
        <v>3480</v>
      </c>
      <c r="B35" s="8" t="n">
        <v>31236.811</v>
      </c>
      <c r="C35" s="9" t="n">
        <v>31.236811</v>
      </c>
      <c r="D35" s="9" t="n">
        <v>136.55644509</v>
      </c>
      <c r="E35" s="9" t="n">
        <v>30</v>
      </c>
      <c r="F35" s="10" t="n">
        <v>0.086571257493</v>
      </c>
      <c r="G35" s="10" t="n">
        <v>0.13969478517</v>
      </c>
      <c r="H35" s="10" t="n">
        <v>1</v>
      </c>
      <c r="I35" s="10" t="n">
        <v>0.001</v>
      </c>
      <c r="J35" s="5" t="inlineStr">
        <is>
          <t>Cleaner sand</t>
        </is>
      </c>
      <c r="K35" s="11" t="n">
        <v>13.20316924944197</v>
      </c>
      <c r="L35" s="12" t="n">
        <v>1.175082213080535</v>
      </c>
      <c r="M35" s="12" t="n">
        <v>4.586146003264286</v>
      </c>
      <c r="N35" s="12" t="n">
        <v>19.5532675993528</v>
      </c>
      <c r="O35" s="12" t="n">
        <v>318.9844695920097</v>
      </c>
      <c r="P35" s="5" t="inlineStr">
        <is>
          <t>Normal</t>
        </is>
      </c>
      <c r="Q35" s="5" t="inlineStr">
        <is>
          <t>Drop</t>
        </is>
      </c>
      <c r="R35" s="12" t="n">
        <v>0.8</v>
      </c>
      <c r="S35" s="5" t="inlineStr">
        <is>
          <t>ACCEPTED</t>
        </is>
      </c>
      <c r="T35" s="5" t="inlineStr">
        <is>
          <t>Normal operation</t>
        </is>
      </c>
    </row>
    <row r="36">
      <c r="A36" s="7" t="n">
        <v>3485</v>
      </c>
      <c r="B36" s="8" t="n">
        <v>30930.061</v>
      </c>
      <c r="C36" s="9" t="n">
        <v>30.930061</v>
      </c>
      <c r="D36" s="9" t="n">
        <v>136.65078105</v>
      </c>
      <c r="E36" s="9" t="n">
        <v>30</v>
      </c>
      <c r="F36" s="10" t="n">
        <v>0.086426790197</v>
      </c>
      <c r="G36" s="10" t="n">
        <v>0.114576758038</v>
      </c>
      <c r="H36" s="10" t="n">
        <v>1</v>
      </c>
      <c r="I36" s="10" t="n">
        <v>0.001</v>
      </c>
      <c r="J36" s="5" t="inlineStr">
        <is>
          <t>Cleaner sand</t>
        </is>
      </c>
      <c r="K36" s="11" t="n">
        <v>15.02700713144374</v>
      </c>
      <c r="L36" s="12" t="n">
        <v>2.120977882114226</v>
      </c>
      <c r="M36" s="12" t="n">
        <v>4.557769753809917</v>
      </c>
      <c r="N36" s="12" t="n">
        <v>18.81596240441787</v>
      </c>
      <c r="O36" s="12" t="n">
        <v>309.6786845989053</v>
      </c>
      <c r="P36" s="5" t="inlineStr">
        <is>
          <t>Normal</t>
        </is>
      </c>
      <c r="Q36" s="5" t="inlineStr">
        <is>
          <t>Drop</t>
        </is>
      </c>
      <c r="R36" s="12" t="n">
        <v>0.59</v>
      </c>
      <c r="S36" s="5" t="inlineStr">
        <is>
          <t>REDUCED</t>
        </is>
      </c>
      <c r="T36" s="5" t="inlineStr">
        <is>
          <t>Normal operation</t>
        </is>
      </c>
    </row>
    <row r="37">
      <c r="A37" s="7" t="n">
        <v>3490</v>
      </c>
      <c r="B37" s="8" t="n">
        <v>28597.029</v>
      </c>
      <c r="C37" s="9" t="n">
        <v>28.597029</v>
      </c>
      <c r="D37" s="9" t="n">
        <v>136.5683088</v>
      </c>
      <c r="E37" s="9" t="n">
        <v>30</v>
      </c>
      <c r="F37" s="10" t="n">
        <v>0.090819492345</v>
      </c>
      <c r="G37" s="10" t="n">
        <v>0.108599717223</v>
      </c>
      <c r="H37" s="10" t="n">
        <v>1</v>
      </c>
      <c r="I37" s="10" t="n">
        <v>0.001</v>
      </c>
      <c r="J37" s="5" t="inlineStr">
        <is>
          <t>Cleaner sand</t>
        </is>
      </c>
      <c r="K37" s="11" t="n">
        <v>12.55452352827603</v>
      </c>
      <c r="L37" s="12" t="n">
        <v>1.178581177166228</v>
      </c>
      <c r="M37" s="12" t="n">
        <v>4.228234391485776</v>
      </c>
      <c r="N37" s="12" t="n">
        <v>16.70118083815968</v>
      </c>
      <c r="O37" s="12" t="n">
        <v>300.0016687460249</v>
      </c>
      <c r="P37" s="5" t="inlineStr">
        <is>
          <t>Normal</t>
        </is>
      </c>
      <c r="Q37" s="5" t="inlineStr">
        <is>
          <t>Drop</t>
        </is>
      </c>
      <c r="R37" s="12" t="n">
        <v>0.77</v>
      </c>
      <c r="S37" s="5" t="inlineStr">
        <is>
          <t>ACCEPTED</t>
        </is>
      </c>
      <c r="T37" s="5" t="inlineStr">
        <is>
          <t>Normal operation</t>
        </is>
      </c>
    </row>
    <row r="38">
      <c r="A38" s="7" t="n">
        <v>3495</v>
      </c>
      <c r="B38" s="8" t="n">
        <v>17397.72</v>
      </c>
      <c r="C38" s="9" t="n">
        <v>17.39772</v>
      </c>
      <c r="D38" s="9" t="n">
        <v>136.58963889</v>
      </c>
      <c r="E38" s="9" t="n">
        <v>30</v>
      </c>
      <c r="F38" s="10" t="n">
        <v>0.06410714533</v>
      </c>
      <c r="G38" s="10" t="n">
        <v>0.128194534222</v>
      </c>
      <c r="H38" s="10" t="n">
        <v>1</v>
      </c>
      <c r="I38" s="10" t="n">
        <v>0.001</v>
      </c>
      <c r="J38" s="5" t="inlineStr">
        <is>
          <t>Cleaner sand</t>
        </is>
      </c>
      <c r="K38" s="11" t="n">
        <v>11.92443564160606</v>
      </c>
      <c r="L38" s="12" t="n">
        <v>1.549929756501458</v>
      </c>
      <c r="M38" s="12" t="n">
        <v>4.225165239977622</v>
      </c>
      <c r="N38" s="12" t="n">
        <v>15.71550862277853</v>
      </c>
      <c r="O38" s="12" t="n">
        <v>334.7505617639704</v>
      </c>
      <c r="P38" s="5" t="inlineStr">
        <is>
          <t>Normal</t>
        </is>
      </c>
      <c r="Q38" s="5" t="inlineStr">
        <is>
          <t>Turn Left</t>
        </is>
      </c>
      <c r="R38" s="12" t="n">
        <v>0.89</v>
      </c>
      <c r="S38" s="5" t="inlineStr">
        <is>
          <t>ACCEPTED</t>
        </is>
      </c>
      <c r="T38" s="5" t="inlineStr">
        <is>
          <t>WOB outside preferred band</t>
        </is>
      </c>
    </row>
    <row r="39">
      <c r="A39" s="7" t="n">
        <v>3500</v>
      </c>
      <c r="B39" s="8" t="n">
        <v>16961.916</v>
      </c>
      <c r="C39" s="9" t="n">
        <v>16.961916</v>
      </c>
      <c r="D39" s="9" t="n">
        <v>136.6165969</v>
      </c>
      <c r="E39" s="9" t="n">
        <v>47.8092185</v>
      </c>
      <c r="F39" s="10" t="n">
        <v>0.037509364914</v>
      </c>
      <c r="G39" s="10" t="n">
        <v>0.116320426281</v>
      </c>
      <c r="H39" s="10" t="n">
        <v>1</v>
      </c>
      <c r="I39" s="10" t="n">
        <v>0.001</v>
      </c>
      <c r="J39" s="5" t="inlineStr">
        <is>
          <t>Cleaner sand</t>
        </is>
      </c>
      <c r="K39" s="11" t="n">
        <v>11.5</v>
      </c>
      <c r="L39" s="12" t="n">
        <v>1.92952552852203</v>
      </c>
      <c r="M39" s="12" t="n">
        <v>3.722276011966973</v>
      </c>
      <c r="N39" s="12" t="n">
        <v>17.25653838676127</v>
      </c>
      <c r="O39" s="12" t="n">
        <v>326.0007853999552</v>
      </c>
      <c r="P39" s="5" t="inlineStr">
        <is>
          <t>Normal</t>
        </is>
      </c>
      <c r="Q39" s="5" t="inlineStr">
        <is>
          <t>Drop</t>
        </is>
      </c>
      <c r="R39" s="12" t="n">
        <v>0.8</v>
      </c>
      <c r="S39" s="5" t="inlineStr">
        <is>
          <t>ACCEPTED</t>
        </is>
      </c>
      <c r="T39" s="5" t="inlineStr">
        <is>
          <t>WOB outside preferred band</t>
        </is>
      </c>
    </row>
    <row r="40">
      <c r="A40" s="7" t="n">
        <v>3505</v>
      </c>
      <c r="B40" s="8" t="n">
        <v>27492.81</v>
      </c>
      <c r="C40" s="9" t="n">
        <v>27.49281</v>
      </c>
      <c r="D40" s="9" t="n">
        <v>136.52471974</v>
      </c>
      <c r="E40" s="9" t="n">
        <v>60.45506744</v>
      </c>
      <c r="F40" s="10" t="n">
        <v>0.07440895683</v>
      </c>
      <c r="G40" s="10" t="n">
        <v>0.144790128014</v>
      </c>
      <c r="H40" s="10" t="n">
        <v>1.000007899199</v>
      </c>
      <c r="I40" s="10" t="n">
        <v>0.001</v>
      </c>
      <c r="J40" s="5" t="inlineStr">
        <is>
          <t>Cleaner sand</t>
        </is>
      </c>
      <c r="K40" s="11" t="n">
        <v>12.24409137439403</v>
      </c>
      <c r="L40" s="12" t="n">
        <v>1.185511217116819</v>
      </c>
      <c r="M40" s="12" t="n">
        <v>4.840530747541646</v>
      </c>
      <c r="N40" s="12" t="n">
        <v>17.29344044289979</v>
      </c>
      <c r="O40" s="12" t="n">
        <v>320.3855376489033</v>
      </c>
      <c r="P40" s="5" t="inlineStr">
        <is>
          <t>Normal</t>
        </is>
      </c>
      <c r="Q40" s="5" t="inlineStr">
        <is>
          <t>Drop</t>
        </is>
      </c>
      <c r="R40" s="12" t="n">
        <v>0.79</v>
      </c>
      <c r="S40" s="5" t="inlineStr">
        <is>
          <t>ACCEPTED</t>
        </is>
      </c>
      <c r="T40" s="5" t="inlineStr">
        <is>
          <t>Normal operation</t>
        </is>
      </c>
    </row>
    <row r="41">
      <c r="A41" s="7" t="n">
        <v>3510</v>
      </c>
      <c r="B41" s="8" t="n">
        <v>36827.998</v>
      </c>
      <c r="C41" s="9" t="n">
        <v>36.827998</v>
      </c>
      <c r="D41" s="9" t="n">
        <v>136.56423129</v>
      </c>
      <c r="E41" s="9" t="n">
        <v>60.62106578</v>
      </c>
      <c r="F41" s="10" t="n">
        <v>0.09872456276</v>
      </c>
      <c r="G41" s="10" t="n">
        <v>0.094706889803</v>
      </c>
      <c r="H41" s="10" t="n">
        <v>1</v>
      </c>
      <c r="I41" s="10" t="n">
        <v>0.001</v>
      </c>
      <c r="J41" s="5" t="inlineStr">
        <is>
          <t>Cleaner sand</t>
        </is>
      </c>
      <c r="K41" s="11" t="n">
        <v>15.48608162371394</v>
      </c>
      <c r="L41" s="12" t="n">
        <v>1.71163399801152</v>
      </c>
      <c r="M41" s="12" t="n">
        <v>4.649096275840057</v>
      </c>
      <c r="N41" s="12" t="n">
        <v>18.10526655602906</v>
      </c>
      <c r="O41" s="12" t="n">
        <v>334.2895896310592</v>
      </c>
      <c r="P41" s="5" t="inlineStr">
        <is>
          <t>Normal</t>
        </is>
      </c>
      <c r="Q41" s="5" t="inlineStr">
        <is>
          <t>Drop</t>
        </is>
      </c>
      <c r="R41" s="12" t="n">
        <v>0.61</v>
      </c>
      <c r="S41" s="5" t="inlineStr">
        <is>
          <t>REDUCED</t>
        </is>
      </c>
      <c r="T41" s="5" t="inlineStr">
        <is>
          <t>Normal operation</t>
        </is>
      </c>
    </row>
    <row r="42">
      <c r="A42" s="7" t="n">
        <v>3515</v>
      </c>
      <c r="B42" s="8" t="n">
        <v>38973.617</v>
      </c>
      <c r="C42" s="9" t="n">
        <v>38.973617</v>
      </c>
      <c r="D42" s="9" t="n">
        <v>136.68178925</v>
      </c>
      <c r="E42" s="9" t="n">
        <v>60.43595816</v>
      </c>
      <c r="F42" s="10" t="n">
        <v>0.086612015051</v>
      </c>
      <c r="G42" s="10" t="n">
        <v>0.108479018179</v>
      </c>
      <c r="H42" s="10" t="n">
        <v>1</v>
      </c>
      <c r="I42" s="10" t="n">
        <v>0.001</v>
      </c>
      <c r="J42" s="5" t="inlineStr">
        <is>
          <t>Cleaner sand</t>
        </is>
      </c>
      <c r="K42" s="11" t="n">
        <v>16.42231270506799</v>
      </c>
      <c r="L42" s="12" t="n">
        <v>1.1</v>
      </c>
      <c r="M42" s="12" t="n">
        <v>4.736695678200377</v>
      </c>
      <c r="N42" s="12" t="n">
        <v>16.65356924252017</v>
      </c>
      <c r="O42" s="12" t="n">
        <v>324.3662153432371</v>
      </c>
      <c r="P42" s="5" t="inlineStr">
        <is>
          <t>Normal</t>
        </is>
      </c>
      <c r="Q42" s="5" t="inlineStr">
        <is>
          <t>Drop</t>
        </is>
      </c>
      <c r="R42" s="12" t="n">
        <v>0.9</v>
      </c>
      <c r="S42" s="5" t="inlineStr">
        <is>
          <t>ACCEPTED</t>
        </is>
      </c>
      <c r="T42" s="5" t="inlineStr">
        <is>
          <t>Normal operation</t>
        </is>
      </c>
    </row>
    <row r="43">
      <c r="A43" s="7" t="n">
        <v>3520</v>
      </c>
      <c r="B43" s="8" t="n">
        <v>42748.817</v>
      </c>
      <c r="C43" s="9" t="n">
        <v>42.748817</v>
      </c>
      <c r="D43" s="9" t="n">
        <v>136.70691682</v>
      </c>
      <c r="E43" s="9" t="n">
        <v>55.72175602</v>
      </c>
      <c r="F43" s="10" t="n">
        <v>0.060490959467</v>
      </c>
      <c r="G43" s="10" t="n">
        <v>0.193100160594</v>
      </c>
      <c r="H43" s="10" t="n">
        <v>1</v>
      </c>
      <c r="I43" s="10" t="n">
        <v>0.001</v>
      </c>
      <c r="J43" s="5" t="inlineStr">
        <is>
          <t>Cleaner sand</t>
        </is>
      </c>
      <c r="K43" s="11" t="n">
        <v>16.5495553322062</v>
      </c>
      <c r="L43" s="12" t="n">
        <v>1.365329854463905</v>
      </c>
      <c r="M43" s="12" t="n">
        <v>3.952926130890077</v>
      </c>
      <c r="N43" s="12" t="n">
        <v>17.90370377322994</v>
      </c>
      <c r="O43" s="12" t="n">
        <v>331.5930766567229</v>
      </c>
      <c r="P43" s="5" t="inlineStr">
        <is>
          <t>Normal</t>
        </is>
      </c>
      <c r="Q43" s="5" t="inlineStr">
        <is>
          <t>Drop</t>
        </is>
      </c>
      <c r="R43" s="12" t="n">
        <v>0.55</v>
      </c>
      <c r="S43" s="5" t="inlineStr">
        <is>
          <t>REDUCED</t>
        </is>
      </c>
      <c r="T43" s="5" t="inlineStr">
        <is>
          <t>Normal operation</t>
        </is>
      </c>
    </row>
    <row r="44">
      <c r="A44" s="7" t="n">
        <v>3525</v>
      </c>
      <c r="B44" s="8" t="n">
        <v>49323.529</v>
      </c>
      <c r="C44" s="9" t="n">
        <v>49.323529</v>
      </c>
      <c r="D44" s="9" t="n">
        <v>136.67630476</v>
      </c>
      <c r="E44" s="9" t="n">
        <v>55.76169576</v>
      </c>
      <c r="F44" s="10" t="n">
        <v>0.077220248426</v>
      </c>
      <c r="G44" s="10" t="n">
        <v>0.153450211869</v>
      </c>
      <c r="H44" s="10" t="n">
        <v>1</v>
      </c>
      <c r="I44" s="10" t="n">
        <v>0.001</v>
      </c>
      <c r="J44" s="5" t="inlineStr">
        <is>
          <t>Cleaner sand</t>
        </is>
      </c>
      <c r="K44" s="11" t="n">
        <v>17.47177049619019</v>
      </c>
      <c r="L44" s="12" t="n">
        <v>1.816693147729843</v>
      </c>
      <c r="M44" s="12" t="n">
        <v>2.681661761231348</v>
      </c>
      <c r="N44" s="12" t="n">
        <v>19.6437279337392</v>
      </c>
      <c r="O44" s="12" t="n">
        <v>298.7908839346391</v>
      </c>
      <c r="P44" s="5" t="inlineStr">
        <is>
          <t>Normal</t>
        </is>
      </c>
      <c r="Q44" s="5" t="inlineStr">
        <is>
          <t>Drop</t>
        </is>
      </c>
      <c r="R44" s="12" t="n">
        <v>0.51</v>
      </c>
      <c r="S44" s="5" t="inlineStr">
        <is>
          <t>REDUCED</t>
        </is>
      </c>
      <c r="T44" s="5" t="inlineStr">
        <is>
          <t>Normal operation</t>
        </is>
      </c>
    </row>
    <row r="45">
      <c r="A45" s="7" t="n">
        <v>3530</v>
      </c>
      <c r="B45" s="8" t="n">
        <v>52143.3529999999</v>
      </c>
      <c r="C45" s="9" t="n">
        <v>52.1433529999999</v>
      </c>
      <c r="D45" s="9" t="n">
        <v>136.62047634</v>
      </c>
      <c r="E45" s="9" t="n">
        <v>55.65536472</v>
      </c>
      <c r="F45" s="10" t="n">
        <v>0.075330780257</v>
      </c>
      <c r="G45" s="10" t="n">
        <v>0.124592334294</v>
      </c>
      <c r="H45" s="10" t="n">
        <v>1</v>
      </c>
      <c r="I45" s="10" t="n">
        <v>0.001</v>
      </c>
      <c r="J45" s="5" t="inlineStr">
        <is>
          <t>Cleaner sand</t>
        </is>
      </c>
      <c r="K45" s="11" t="n">
        <v>17.80494170069365</v>
      </c>
      <c r="L45" s="12" t="n">
        <v>1.1</v>
      </c>
      <c r="M45" s="12" t="n">
        <v>5.312547012737048</v>
      </c>
      <c r="N45" s="12" t="n">
        <v>18.07745236723983</v>
      </c>
      <c r="O45" s="12" t="n">
        <v>309.5199589693576</v>
      </c>
      <c r="P45" s="5" t="inlineStr">
        <is>
          <t>Normal</t>
        </is>
      </c>
      <c r="Q45" s="5" t="inlineStr">
        <is>
          <t>Drop</t>
        </is>
      </c>
      <c r="R45" s="12" t="n">
        <v>0.6</v>
      </c>
      <c r="S45" s="5" t="inlineStr">
        <is>
          <t>REDUCED</t>
        </is>
      </c>
      <c r="T45" s="5" t="inlineStr">
        <is>
          <t>Normal operation</t>
        </is>
      </c>
    </row>
    <row r="46">
      <c r="A46" s="7" t="n">
        <v>3535</v>
      </c>
      <c r="B46" s="8" t="n">
        <v>47116.2009999999</v>
      </c>
      <c r="C46" s="9" t="n">
        <v>47.1162009999999</v>
      </c>
      <c r="D46" s="9" t="n">
        <v>136.60969177</v>
      </c>
      <c r="E46" s="9" t="n">
        <v>60.87575532</v>
      </c>
      <c r="F46" s="10" t="n">
        <v>0.050825771786</v>
      </c>
      <c r="G46" s="10" t="n">
        <v>0.085855181253</v>
      </c>
      <c r="H46" s="10" t="n">
        <v>1</v>
      </c>
      <c r="I46" s="10" t="n">
        <v>0.001</v>
      </c>
      <c r="J46" s="5" t="inlineStr">
        <is>
          <t>Cleaner sand</t>
        </is>
      </c>
      <c r="K46" s="11" t="n">
        <v>15.70292143130768</v>
      </c>
      <c r="L46" s="12" t="n">
        <v>1.875832621600595</v>
      </c>
      <c r="M46" s="12" t="n">
        <v>4.082148252254692</v>
      </c>
      <c r="N46" s="12" t="n">
        <v>16.84405933493366</v>
      </c>
      <c r="O46" s="12" t="n">
        <v>290.7130478075333</v>
      </c>
      <c r="P46" s="5" t="inlineStr">
        <is>
          <t>Normal</t>
        </is>
      </c>
      <c r="Q46" s="5" t="inlineStr">
        <is>
          <t>Drop</t>
        </is>
      </c>
      <c r="R46" s="12" t="n">
        <v>0.76</v>
      </c>
      <c r="S46" s="5" t="inlineStr">
        <is>
          <t>ACCEPTED</t>
        </is>
      </c>
      <c r="T46" s="5" t="inlineStr">
        <is>
          <t>Normal operation</t>
        </is>
      </c>
    </row>
    <row r="47">
      <c r="A47" s="7" t="n">
        <v>3540</v>
      </c>
      <c r="B47" s="8" t="n">
        <v>45256.052</v>
      </c>
      <c r="C47" s="9" t="n">
        <v>45.256052</v>
      </c>
      <c r="D47" s="9" t="n">
        <v>136.60308033</v>
      </c>
      <c r="E47" s="9" t="n">
        <v>72.33687892</v>
      </c>
      <c r="F47" s="10" t="n">
        <v>0.066195214452</v>
      </c>
      <c r="G47" s="10" t="n">
        <v>0.096113033571</v>
      </c>
      <c r="H47" s="10" t="n">
        <v>1</v>
      </c>
      <c r="I47" s="10" t="n">
        <v>0.001</v>
      </c>
      <c r="J47" s="5" t="inlineStr">
        <is>
          <t>Cleaner sand</t>
        </is>
      </c>
      <c r="K47" s="11" t="n">
        <v>16.11947758288915</v>
      </c>
      <c r="L47" s="12" t="n">
        <v>1.650377478525926</v>
      </c>
      <c r="M47" s="12" t="n">
        <v>3.805293586835233</v>
      </c>
      <c r="N47" s="12" t="n">
        <v>16.55775213849577</v>
      </c>
      <c r="O47" s="12" t="n">
        <v>301.4773814208941</v>
      </c>
      <c r="P47" s="5" t="inlineStr">
        <is>
          <t>Normal</t>
        </is>
      </c>
      <c r="Q47" s="5" t="inlineStr">
        <is>
          <t>Drop</t>
        </is>
      </c>
      <c r="R47" s="12" t="n">
        <v>0.87</v>
      </c>
      <c r="S47" s="5" t="inlineStr">
        <is>
          <t>ACCEPTED</t>
        </is>
      </c>
      <c r="T47" s="5" t="inlineStr">
        <is>
          <t>Normal operation</t>
        </is>
      </c>
    </row>
    <row r="48">
      <c r="A48" s="7" t="n">
        <v>3545</v>
      </c>
      <c r="B48" s="8" t="n">
        <v>24169.525</v>
      </c>
      <c r="C48" s="9" t="n">
        <v>24.169525</v>
      </c>
      <c r="D48" s="9" t="n">
        <v>136.53146778</v>
      </c>
      <c r="E48" s="9" t="n">
        <v>72.31410998</v>
      </c>
      <c r="F48" s="10" t="n">
        <v>0.093641539309</v>
      </c>
      <c r="G48" s="10" t="n">
        <v>0.074818295406</v>
      </c>
      <c r="H48" s="10" t="n">
        <v>0.999958511136</v>
      </c>
      <c r="I48" s="10" t="n">
        <v>0.001</v>
      </c>
      <c r="J48" s="5" t="inlineStr">
        <is>
          <t>Cleaner sand</t>
        </is>
      </c>
      <c r="K48" s="11" t="n">
        <v>12.50041466841801</v>
      </c>
      <c r="L48" s="12" t="n">
        <v>1.930720077664402</v>
      </c>
      <c r="M48" s="12" t="n">
        <v>5.080493902123317</v>
      </c>
      <c r="N48" s="12" t="n">
        <v>16.2214460328326</v>
      </c>
      <c r="O48" s="12" t="n">
        <v>298.0615585852382</v>
      </c>
      <c r="P48" s="5" t="inlineStr">
        <is>
          <t>Normal</t>
        </is>
      </c>
      <c r="Q48" s="5" t="inlineStr">
        <is>
          <t>Drop</t>
        </is>
      </c>
      <c r="R48" s="12" t="n">
        <v>0.47</v>
      </c>
      <c r="S48" s="5" t="inlineStr">
        <is>
          <t>REJECTED</t>
        </is>
      </c>
      <c r="T48" s="5" t="inlineStr">
        <is>
          <t>WOB outside preferred band</t>
        </is>
      </c>
    </row>
    <row r="49">
      <c r="A49" s="7" t="n">
        <v>3550</v>
      </c>
      <c r="B49" s="8" t="n">
        <v>25216.4179999999</v>
      </c>
      <c r="C49" s="9" t="n">
        <v>25.2164179999999</v>
      </c>
      <c r="D49" s="9" t="n">
        <v>136.74885302</v>
      </c>
      <c r="E49" s="9" t="n">
        <v>72.2686377</v>
      </c>
      <c r="F49" s="10" t="n">
        <v>0.066022211957</v>
      </c>
      <c r="G49" s="10" t="n">
        <v>0.151842741668</v>
      </c>
      <c r="H49" s="10" t="n">
        <v>1</v>
      </c>
      <c r="I49" s="10" t="n">
        <v>0.001</v>
      </c>
      <c r="J49" s="5" t="inlineStr">
        <is>
          <t>Cleaner sand</t>
        </is>
      </c>
      <c r="K49" s="11" t="n">
        <v>14.21072192936654</v>
      </c>
      <c r="L49" s="12" t="n">
        <v>1.769717925691684</v>
      </c>
      <c r="M49" s="12" t="n">
        <v>4.242195821533903</v>
      </c>
      <c r="N49" s="12" t="n">
        <v>18.10922764985561</v>
      </c>
      <c r="O49" s="12" t="n">
        <v>303.4853756544944</v>
      </c>
      <c r="P49" s="5" t="inlineStr">
        <is>
          <t>Normal</t>
        </is>
      </c>
      <c r="Q49" s="5" t="inlineStr">
        <is>
          <t>Drop</t>
        </is>
      </c>
      <c r="R49" s="12" t="n">
        <v>0.85</v>
      </c>
      <c r="S49" s="5" t="inlineStr">
        <is>
          <t>ACCEPTED</t>
        </is>
      </c>
      <c r="T49" s="5" t="inlineStr">
        <is>
          <t>Normal operation</t>
        </is>
      </c>
    </row>
    <row r="50">
      <c r="A50" s="7" t="n">
        <v>3555</v>
      </c>
      <c r="B50" s="8" t="n">
        <v>35156.044</v>
      </c>
      <c r="C50" s="9" t="n">
        <v>35.156044</v>
      </c>
      <c r="D50" s="9" t="n">
        <v>136.38151513</v>
      </c>
      <c r="E50" s="9" t="n">
        <v>72.22326545999999</v>
      </c>
      <c r="F50" s="10" t="n">
        <v>0.070435349132</v>
      </c>
      <c r="G50" s="10" t="n">
        <v>0.183632666835</v>
      </c>
      <c r="H50" s="10" t="n">
        <v>1</v>
      </c>
      <c r="I50" s="10" t="n">
        <v>0.001</v>
      </c>
      <c r="J50" s="5" t="inlineStr">
        <is>
          <t>Cleaner sand</t>
        </is>
      </c>
      <c r="K50" s="11" t="n">
        <v>15.32533017759997</v>
      </c>
      <c r="L50" s="12" t="n">
        <v>2.328428810687184</v>
      </c>
      <c r="M50" s="12" t="n">
        <v>5.433746787519835</v>
      </c>
      <c r="N50" s="12" t="n">
        <v>15.64816034033251</v>
      </c>
      <c r="O50" s="12" t="n">
        <v>294.2512406909778</v>
      </c>
      <c r="P50" s="5" t="inlineStr">
        <is>
          <t>Normal</t>
        </is>
      </c>
      <c r="Q50" s="5" t="inlineStr">
        <is>
          <t>Drop</t>
        </is>
      </c>
      <c r="R50" s="12" t="n">
        <v>0.85</v>
      </c>
      <c r="S50" s="5" t="inlineStr">
        <is>
          <t>ACCEPTED</t>
        </is>
      </c>
      <c r="T50" s="5" t="inlineStr">
        <is>
          <t>Normal operation</t>
        </is>
      </c>
    </row>
    <row r="51">
      <c r="A51" s="7" t="n">
        <v>3560</v>
      </c>
      <c r="B51" s="8" t="n">
        <v>38720.898</v>
      </c>
      <c r="C51" s="9" t="n">
        <v>38.720898</v>
      </c>
      <c r="D51" s="9" t="n">
        <v>136.60325108</v>
      </c>
      <c r="E51" s="9" t="n">
        <v>67.00026562000001</v>
      </c>
      <c r="F51" s="10" t="n">
        <v>0.057836556677</v>
      </c>
      <c r="G51" s="10" t="n">
        <v>0.155624902502</v>
      </c>
      <c r="H51" s="10" t="n">
        <v>1</v>
      </c>
      <c r="I51" s="10" t="n">
        <v>0.001</v>
      </c>
      <c r="J51" s="5" t="inlineStr">
        <is>
          <t>Cleaner sand</t>
        </is>
      </c>
      <c r="K51" s="11" t="n">
        <v>13.87432548007657</v>
      </c>
      <c r="L51" s="12" t="n">
        <v>1.721360006297475</v>
      </c>
      <c r="M51" s="12" t="n">
        <v>5.109288779148938</v>
      </c>
      <c r="N51" s="12" t="n">
        <v>16.41173069817057</v>
      </c>
      <c r="O51" s="12" t="n">
        <v>296.5209880158998</v>
      </c>
      <c r="P51" s="5" t="inlineStr">
        <is>
          <t>Normal</t>
        </is>
      </c>
      <c r="Q51" s="5" t="inlineStr">
        <is>
          <t>Drop</t>
        </is>
      </c>
      <c r="R51" s="12" t="n">
        <v>0.72</v>
      </c>
      <c r="S51" s="5" t="inlineStr">
        <is>
          <t>ACCEPTED</t>
        </is>
      </c>
      <c r="T51" s="5" t="inlineStr">
        <is>
          <t>Normal operation</t>
        </is>
      </c>
    </row>
    <row r="52">
      <c r="A52" s="7" t="n">
        <v>3565</v>
      </c>
      <c r="B52" s="8" t="n">
        <v>50070.0629999999</v>
      </c>
      <c r="C52" s="9" t="n">
        <v>50.0700629999999</v>
      </c>
      <c r="D52" s="9" t="n">
        <v>136.68146141</v>
      </c>
      <c r="E52" s="9" t="n">
        <v>66.94876961999999</v>
      </c>
      <c r="F52" s="10" t="n">
        <v>0.046429117834</v>
      </c>
      <c r="G52" s="10" t="n">
        <v>0.241540435037</v>
      </c>
      <c r="H52" s="10" t="n">
        <v>0.995120274299</v>
      </c>
      <c r="I52" s="10" t="n">
        <v>0.001</v>
      </c>
      <c r="J52" s="5" t="inlineStr">
        <is>
          <t>Cleaner sand</t>
        </is>
      </c>
      <c r="K52" s="11" t="n">
        <v>18.04880649580337</v>
      </c>
      <c r="L52" s="12" t="n">
        <v>1.449591284848626</v>
      </c>
      <c r="M52" s="12" t="n">
        <v>5.192318423106601</v>
      </c>
      <c r="N52" s="12" t="n">
        <v>16.30877180531738</v>
      </c>
      <c r="O52" s="12" t="n">
        <v>293.7379477798968</v>
      </c>
      <c r="P52" s="5" t="inlineStr">
        <is>
          <t>Normal</t>
        </is>
      </c>
      <c r="Q52" s="5" t="inlineStr">
        <is>
          <t>Drop</t>
        </is>
      </c>
      <c r="R52" s="12" t="n">
        <v>0.82</v>
      </c>
      <c r="S52" s="5" t="inlineStr">
        <is>
          <t>ACCEPTED</t>
        </is>
      </c>
      <c r="T52" s="5" t="inlineStr">
        <is>
          <t>Normal operation</t>
        </is>
      </c>
    </row>
    <row r="53">
      <c r="A53" s="7" t="n">
        <v>3580</v>
      </c>
      <c r="B53" s="8" t="n">
        <v>35255.786</v>
      </c>
      <c r="C53" s="9" t="n">
        <v>35.255786</v>
      </c>
      <c r="D53" s="9" t="n">
        <v>136.56304287</v>
      </c>
      <c r="E53" s="9" t="n">
        <v>72.32547764</v>
      </c>
      <c r="F53" s="10" t="n">
        <v>0.050159946556</v>
      </c>
      <c r="G53" s="10" t="n">
        <v>0.208637022452</v>
      </c>
      <c r="H53" s="10" t="n">
        <v>1.000395106382</v>
      </c>
      <c r="I53" s="10" t="n">
        <v>0.001</v>
      </c>
      <c r="J53" s="5" t="inlineStr">
        <is>
          <t>Cleaner sand</t>
        </is>
      </c>
      <c r="K53" s="11" t="n">
        <v>14.61497431852732</v>
      </c>
      <c r="L53" s="12" t="n">
        <v>1.719925776485819</v>
      </c>
      <c r="M53" s="12" t="n">
        <v>3.64137110836802</v>
      </c>
      <c r="N53" s="12" t="n">
        <v>15.25771515142113</v>
      </c>
      <c r="O53" s="12" t="n">
        <v>297.1613627214965</v>
      </c>
      <c r="P53" s="5" t="inlineStr">
        <is>
          <t>Normal</t>
        </is>
      </c>
      <c r="Q53" s="5" t="inlineStr">
        <is>
          <t>Drop</t>
        </is>
      </c>
      <c r="R53" s="12" t="n">
        <v>0.5</v>
      </c>
      <c r="S53" s="5" t="inlineStr">
        <is>
          <t>REDUCED</t>
        </is>
      </c>
      <c r="T53" s="5" t="inlineStr">
        <is>
          <t>Normal operation</t>
        </is>
      </c>
    </row>
    <row r="54">
      <c r="A54" s="7" t="n">
        <v>3585</v>
      </c>
      <c r="B54" s="8" t="n">
        <v>40459.226</v>
      </c>
      <c r="C54" s="9" t="n">
        <v>40.459226</v>
      </c>
      <c r="D54" s="9" t="n">
        <v>136.68215807</v>
      </c>
      <c r="E54" s="9" t="n">
        <v>72.28860716</v>
      </c>
      <c r="F54" s="10" t="n">
        <v>0.054152831749</v>
      </c>
      <c r="G54" s="10" t="n">
        <v>0.098029687374</v>
      </c>
      <c r="H54" s="10" t="n">
        <v>1.000000409863</v>
      </c>
      <c r="I54" s="10" t="n">
        <v>0.001</v>
      </c>
      <c r="J54" s="5" t="inlineStr">
        <is>
          <t>Cleaner sand</t>
        </is>
      </c>
      <c r="K54" s="11" t="n">
        <v>15.28015974901176</v>
      </c>
      <c r="L54" s="12" t="n">
        <v>1.92621603422783</v>
      </c>
      <c r="M54" s="12" t="n">
        <v>5.733020513469361</v>
      </c>
      <c r="N54" s="12" t="n">
        <v>14.01510274622818</v>
      </c>
      <c r="O54" s="12" t="n">
        <v>268.6845680227148</v>
      </c>
      <c r="P54" s="5" t="inlineStr">
        <is>
          <t>Normal</t>
        </is>
      </c>
      <c r="Q54" s="5" t="inlineStr">
        <is>
          <t>Drop</t>
        </is>
      </c>
      <c r="R54" s="12" t="n">
        <v>0.49</v>
      </c>
      <c r="S54" s="5" t="inlineStr">
        <is>
          <t>REJECTED</t>
        </is>
      </c>
      <c r="T54" s="5" t="inlineStr">
        <is>
          <t>Normal operation</t>
        </is>
      </c>
    </row>
    <row r="55">
      <c r="A55" s="7" t="n">
        <v>3590</v>
      </c>
      <c r="B55" s="8" t="n">
        <v>53818.568</v>
      </c>
      <c r="C55" s="9" t="n">
        <v>53.818568</v>
      </c>
      <c r="D55" s="9" t="n">
        <v>136.38125559</v>
      </c>
      <c r="E55" s="9" t="n">
        <v>71.59396548000001</v>
      </c>
      <c r="F55" s="10" t="n">
        <v>0.041167096551</v>
      </c>
      <c r="G55" s="10" t="n">
        <v>0.212177893669</v>
      </c>
      <c r="H55" s="10" t="n">
        <v>1</v>
      </c>
      <c r="I55" s="10" t="n">
        <v>0.001</v>
      </c>
      <c r="J55" s="5" t="inlineStr">
        <is>
          <t>Cleaner sand</t>
        </is>
      </c>
      <c r="K55" s="11" t="n">
        <v>19.02582995336251</v>
      </c>
      <c r="L55" s="12" t="n">
        <v>1.683941434459595</v>
      </c>
      <c r="M55" s="12" t="n">
        <v>5.001678180843201</v>
      </c>
      <c r="N55" s="12" t="n">
        <v>16.10844816958186</v>
      </c>
      <c r="O55" s="12" t="n">
        <v>258.6325715303803</v>
      </c>
      <c r="P55" s="5" t="inlineStr">
        <is>
          <t>Normal</t>
        </is>
      </c>
      <c r="Q55" s="5" t="inlineStr">
        <is>
          <t>Drop</t>
        </is>
      </c>
      <c r="R55" s="12" t="n">
        <v>0.87</v>
      </c>
      <c r="S55" s="5" t="inlineStr">
        <is>
          <t>ACCEPTED</t>
        </is>
      </c>
      <c r="T55" s="5" t="inlineStr">
        <is>
          <t>Normal operation</t>
        </is>
      </c>
    </row>
    <row r="56">
      <c r="A56" s="7" t="n">
        <v>3595</v>
      </c>
      <c r="B56" s="8" t="n">
        <v>47348.517</v>
      </c>
      <c r="C56" s="9" t="n">
        <v>47.348517</v>
      </c>
      <c r="D56" s="9" t="n">
        <v>136.55213536</v>
      </c>
      <c r="E56" s="9" t="n">
        <v>47.8475248</v>
      </c>
      <c r="F56" s="10" t="n">
        <v>0.038702673856</v>
      </c>
      <c r="G56" s="10" t="n">
        <v>0.07451968459900001</v>
      </c>
      <c r="H56" s="10" t="n">
        <v>1</v>
      </c>
      <c r="I56" s="10" t="n">
        <v>0.001</v>
      </c>
      <c r="J56" s="5" t="inlineStr">
        <is>
          <t>Cleaner sand</t>
        </is>
      </c>
      <c r="K56" s="11" t="n">
        <v>18.25517088085034</v>
      </c>
      <c r="L56" s="12" t="n">
        <v>1.679889928689902</v>
      </c>
      <c r="M56" s="12" t="n">
        <v>4.526349316275541</v>
      </c>
      <c r="N56" s="12" t="n">
        <v>15.49854950786828</v>
      </c>
      <c r="O56" s="12" t="n">
        <v>266.6999117426041</v>
      </c>
      <c r="P56" s="5" t="inlineStr">
        <is>
          <t>Normal</t>
        </is>
      </c>
      <c r="Q56" s="5" t="inlineStr">
        <is>
          <t>Drop</t>
        </is>
      </c>
      <c r="R56" s="12" t="n">
        <v>0.67</v>
      </c>
      <c r="S56" s="5" t="inlineStr">
        <is>
          <t>REDUCED</t>
        </is>
      </c>
      <c r="T56" s="5" t="inlineStr">
        <is>
          <t>Normal operation</t>
        </is>
      </c>
    </row>
    <row r="57">
      <c r="A57" s="7" t="n">
        <v>3600</v>
      </c>
      <c r="B57" s="8" t="n">
        <v>47973.155</v>
      </c>
      <c r="C57" s="9" t="n">
        <v>47.973155</v>
      </c>
      <c r="D57" s="9" t="n">
        <v>136.53976623</v>
      </c>
      <c r="E57" s="9" t="n">
        <v>51.4830235</v>
      </c>
      <c r="F57" s="10" t="n">
        <v>0.025062359006</v>
      </c>
      <c r="G57" s="10" t="n">
        <v>0.049672503374</v>
      </c>
      <c r="H57" s="10" t="n">
        <v>1</v>
      </c>
      <c r="I57" s="10" t="n">
        <v>0.001</v>
      </c>
      <c r="J57" s="5" t="inlineStr">
        <is>
          <t>Cleaner sand</t>
        </is>
      </c>
      <c r="K57" s="11" t="n">
        <v>18.27033591466586</v>
      </c>
      <c r="L57" s="12" t="n">
        <v>1.31602407297469</v>
      </c>
      <c r="M57" s="12" t="n">
        <v>4.965453980660096</v>
      </c>
      <c r="N57" s="12" t="n">
        <v>16.1174406379492</v>
      </c>
      <c r="O57" s="12" t="n">
        <v>252.4147997615857</v>
      </c>
      <c r="P57" s="5" t="inlineStr">
        <is>
          <t>Normal</t>
        </is>
      </c>
      <c r="Q57" s="5" t="inlineStr">
        <is>
          <t>Drop</t>
        </is>
      </c>
      <c r="R57" s="12" t="n">
        <v>0.54</v>
      </c>
      <c r="S57" s="5" t="inlineStr">
        <is>
          <t>REDUCED</t>
        </is>
      </c>
      <c r="T57" s="5" t="inlineStr">
        <is>
          <t>Normal operation</t>
        </is>
      </c>
    </row>
    <row r="58">
      <c r="A58" s="7" t="n">
        <v>3605</v>
      </c>
      <c r="B58" s="8" t="n">
        <v>57163.252</v>
      </c>
      <c r="C58" s="9" t="n">
        <v>57.163252</v>
      </c>
      <c r="D58" s="9" t="n">
        <v>136.60841456</v>
      </c>
      <c r="E58" s="9" t="n">
        <v>55.67718</v>
      </c>
      <c r="F58" s="10" t="n">
        <v>0.03255305646</v>
      </c>
      <c r="G58" s="10" t="n">
        <v>0.053979295995</v>
      </c>
      <c r="H58" s="10" t="n">
        <v>1</v>
      </c>
      <c r="I58" s="10" t="n">
        <v>0.001</v>
      </c>
      <c r="J58" s="5" t="inlineStr">
        <is>
          <t>Cleaner sand</t>
        </is>
      </c>
      <c r="K58" s="11" t="n">
        <v>18.1900958641081</v>
      </c>
      <c r="L58" s="12" t="n">
        <v>1.335178550400035</v>
      </c>
      <c r="M58" s="12" t="n">
        <v>3.458604181104731</v>
      </c>
      <c r="N58" s="12" t="n">
        <v>14.66272098571213</v>
      </c>
      <c r="O58" s="12" t="n">
        <v>271.4692072145774</v>
      </c>
      <c r="P58" s="5" t="inlineStr">
        <is>
          <t>Normal</t>
        </is>
      </c>
      <c r="Q58" s="5" t="inlineStr">
        <is>
          <t>Drop</t>
        </is>
      </c>
      <c r="R58" s="12" t="n">
        <v>0.78</v>
      </c>
      <c r="S58" s="5" t="inlineStr">
        <is>
          <t>ACCEPTED</t>
        </is>
      </c>
      <c r="T58" s="5" t="inlineStr">
        <is>
          <t>Normal operation</t>
        </is>
      </c>
    </row>
    <row r="59">
      <c r="A59" s="7" t="n">
        <v>3610</v>
      </c>
      <c r="B59" s="8" t="n">
        <v>54784.334</v>
      </c>
      <c r="C59" s="9" t="n">
        <v>54.784334</v>
      </c>
      <c r="D59" s="9" t="n">
        <v>136.5063607</v>
      </c>
      <c r="E59" s="9" t="n">
        <v>62.11876134</v>
      </c>
      <c r="F59" s="10" t="n">
        <v>0.021621591034</v>
      </c>
      <c r="G59" s="10" t="n">
        <v>0.049450714804</v>
      </c>
      <c r="H59" s="10" t="n">
        <v>1</v>
      </c>
      <c r="I59" s="10" t="n">
        <v>0.001</v>
      </c>
      <c r="J59" s="5" t="inlineStr">
        <is>
          <t>Cleaner sand</t>
        </is>
      </c>
      <c r="K59" s="11" t="n">
        <v>18.28256654261324</v>
      </c>
      <c r="L59" s="12" t="n">
        <v>1.1</v>
      </c>
      <c r="M59" s="12" t="n">
        <v>5.23523884117122</v>
      </c>
      <c r="N59" s="12" t="n">
        <v>16.83274242894139</v>
      </c>
      <c r="O59" s="12" t="n">
        <v>250.0540815556384</v>
      </c>
      <c r="P59" s="5" t="inlineStr">
        <is>
          <t>Normal</t>
        </is>
      </c>
      <c r="Q59" s="5" t="inlineStr">
        <is>
          <t>Drop</t>
        </is>
      </c>
      <c r="R59" s="12" t="n">
        <v>0.89</v>
      </c>
      <c r="S59" s="5" t="inlineStr">
        <is>
          <t>ACCEPTED</t>
        </is>
      </c>
      <c r="T59" s="5" t="inlineStr">
        <is>
          <t>Normal operation</t>
        </is>
      </c>
    </row>
    <row r="60">
      <c r="A60" s="7" t="n">
        <v>3615</v>
      </c>
      <c r="B60" s="8" t="n">
        <v>31588.0589999999</v>
      </c>
      <c r="C60" s="9" t="n">
        <v>31.5880589999999</v>
      </c>
      <c r="D60" s="9" t="n">
        <v>136.51402396</v>
      </c>
      <c r="E60" s="9" t="n">
        <v>71.78788071999999</v>
      </c>
      <c r="F60" s="10" t="n">
        <v>0.037590961382</v>
      </c>
      <c r="G60" s="10" t="n">
        <v>0.360765948392</v>
      </c>
      <c r="H60" s="10" t="n">
        <v>1</v>
      </c>
      <c r="I60" s="10" t="n">
        <v>0.001</v>
      </c>
      <c r="J60" s="5" t="inlineStr">
        <is>
          <t>Transition</t>
        </is>
      </c>
      <c r="K60" s="11" t="n">
        <v>14.65674571341337</v>
      </c>
      <c r="L60" s="12" t="n">
        <v>2.5172926041616</v>
      </c>
      <c r="M60" s="12" t="n">
        <v>4.113416764637905</v>
      </c>
      <c r="N60" s="12" t="n">
        <v>13.99514218131042</v>
      </c>
      <c r="O60" s="12" t="n">
        <v>243.5029386208786</v>
      </c>
      <c r="P60" s="5" t="inlineStr">
        <is>
          <t>Normal</t>
        </is>
      </c>
      <c r="Q60" s="5" t="inlineStr">
        <is>
          <t>Hold</t>
        </is>
      </c>
      <c r="R60" s="12" t="n">
        <v>0.75</v>
      </c>
      <c r="S60" s="5" t="inlineStr">
        <is>
          <t>ACCEPTED</t>
        </is>
      </c>
      <c r="T60" s="5" t="inlineStr">
        <is>
          <t>High vibration detected</t>
        </is>
      </c>
    </row>
    <row r="61">
      <c r="A61" s="7" t="n">
        <v>3620</v>
      </c>
      <c r="B61" s="8" t="n">
        <v>26071.437</v>
      </c>
      <c r="C61" s="9" t="n">
        <v>26.071437</v>
      </c>
      <c r="D61" s="9" t="n">
        <v>136.53229421</v>
      </c>
      <c r="E61" s="9" t="n">
        <v>73.08689683999999</v>
      </c>
      <c r="F61" s="10" t="n">
        <v>0.056720140028</v>
      </c>
      <c r="G61" s="10" t="n">
        <v>0.208865467155</v>
      </c>
      <c r="H61" s="10" t="n">
        <v>0.999999999969</v>
      </c>
      <c r="I61" s="10" t="n">
        <v>0.001</v>
      </c>
      <c r="J61" s="5" t="inlineStr">
        <is>
          <t>Cleaner sand</t>
        </is>
      </c>
      <c r="K61" s="11" t="n">
        <v>14.28640131579645</v>
      </c>
      <c r="L61" s="12" t="n">
        <v>1.1</v>
      </c>
      <c r="M61" s="12" t="n">
        <v>3.883246375477958</v>
      </c>
      <c r="N61" s="12" t="n">
        <v>17.24987382251046</v>
      </c>
      <c r="O61" s="12" t="n">
        <v>240.7647727340987</v>
      </c>
      <c r="P61" s="5" t="inlineStr">
        <is>
          <t>Normal</t>
        </is>
      </c>
      <c r="Q61" s="5" t="inlineStr">
        <is>
          <t>Drop</t>
        </is>
      </c>
      <c r="R61" s="12" t="n">
        <v>0.59</v>
      </c>
      <c r="S61" s="5" t="inlineStr">
        <is>
          <t>REDUCED</t>
        </is>
      </c>
      <c r="T61" s="5" t="inlineStr">
        <is>
          <t>Normal operation</t>
        </is>
      </c>
    </row>
    <row r="62">
      <c r="A62" s="7" t="n">
        <v>3625</v>
      </c>
      <c r="B62" s="8" t="n">
        <v>17368.556</v>
      </c>
      <c r="C62" s="9" t="n">
        <v>17.368556</v>
      </c>
      <c r="D62" s="9" t="n">
        <v>136.68420024</v>
      </c>
      <c r="E62" s="9" t="n">
        <v>73.20736878</v>
      </c>
      <c r="F62" s="10" t="n">
        <v>0.042520075677</v>
      </c>
      <c r="G62" s="10" t="n">
        <v>0.191015705684</v>
      </c>
      <c r="H62" s="10" t="n">
        <v>0.999533422712</v>
      </c>
      <c r="I62" s="10" t="n">
        <v>0.001</v>
      </c>
      <c r="J62" s="5" t="inlineStr">
        <is>
          <t>Cleaner sand</t>
        </is>
      </c>
      <c r="K62" s="11" t="n">
        <v>11.5</v>
      </c>
      <c r="L62" s="12" t="n">
        <v>1.320476453080005</v>
      </c>
      <c r="M62" s="12" t="n">
        <v>3.775833249616531</v>
      </c>
      <c r="N62" s="12" t="n">
        <v>12.64156734691184</v>
      </c>
      <c r="O62" s="12" t="n">
        <v>249.038990283275</v>
      </c>
      <c r="P62" s="5" t="inlineStr">
        <is>
          <t>Normal</t>
        </is>
      </c>
      <c r="Q62" s="5" t="inlineStr">
        <is>
          <t>Hold</t>
        </is>
      </c>
      <c r="R62" s="12" t="n">
        <v>0.67</v>
      </c>
      <c r="S62" s="5" t="inlineStr">
        <is>
          <t>REDUCED</t>
        </is>
      </c>
      <c r="T62" s="5" t="inlineStr">
        <is>
          <t>WOB outside preferred band</t>
        </is>
      </c>
    </row>
    <row r="63">
      <c r="A63" s="7" t="n">
        <v>3630</v>
      </c>
      <c r="B63" s="8" t="n">
        <v>35515.373</v>
      </c>
      <c r="C63" s="9" t="n">
        <v>35.515373</v>
      </c>
      <c r="D63" s="9" t="n">
        <v>136.64313828</v>
      </c>
      <c r="E63" s="9" t="n">
        <v>72.34970454</v>
      </c>
      <c r="F63" s="10" t="n">
        <v>0.005167866387</v>
      </c>
      <c r="G63" s="10" t="n">
        <v>0.163397118935</v>
      </c>
      <c r="H63" s="10" t="n">
        <v>1</v>
      </c>
      <c r="I63" s="10" t="n">
        <v>0.001</v>
      </c>
      <c r="J63" s="5" t="inlineStr">
        <is>
          <t>Cleaner sand</t>
        </is>
      </c>
      <c r="K63" s="11" t="n">
        <v>14.86214128564678</v>
      </c>
      <c r="L63" s="12" t="n">
        <v>1.307980439871093</v>
      </c>
      <c r="M63" s="12" t="n">
        <v>5.912076770869684</v>
      </c>
      <c r="N63" s="12" t="n">
        <v>15.36796925001392</v>
      </c>
      <c r="O63" s="12" t="n">
        <v>236.722591647323</v>
      </c>
      <c r="P63" s="5" t="inlineStr">
        <is>
          <t>Normal</t>
        </is>
      </c>
      <c r="Q63" s="5" t="inlineStr">
        <is>
          <t>Drop</t>
        </is>
      </c>
      <c r="R63" s="12" t="n">
        <v>0.8100000000000001</v>
      </c>
      <c r="S63" s="5" t="inlineStr">
        <is>
          <t>ACCEPTED</t>
        </is>
      </c>
      <c r="T63" s="5" t="inlineStr">
        <is>
          <t>Normal operation</t>
        </is>
      </c>
    </row>
    <row r="64">
      <c r="A64" s="7" t="n">
        <v>3635</v>
      </c>
      <c r="B64" s="8" t="n">
        <v>37465.439</v>
      </c>
      <c r="C64" s="9" t="n">
        <v>37.465439</v>
      </c>
      <c r="D64" s="9" t="n">
        <v>136.49677138</v>
      </c>
      <c r="E64" s="9" t="n">
        <v>72.3229955</v>
      </c>
      <c r="F64" s="10" t="n">
        <v>0.027181720221</v>
      </c>
      <c r="G64" s="10" t="n">
        <v>0.176867886474</v>
      </c>
      <c r="H64" s="10" t="n">
        <v>1</v>
      </c>
      <c r="I64" s="10" t="n">
        <v>0.001</v>
      </c>
      <c r="J64" s="5" t="inlineStr">
        <is>
          <t>Cleaner sand</t>
        </is>
      </c>
      <c r="K64" s="11" t="n">
        <v>14.3001245996235</v>
      </c>
      <c r="L64" s="12" t="n">
        <v>2.098512944702776</v>
      </c>
      <c r="M64" s="12" t="n">
        <v>4.546586431247978</v>
      </c>
      <c r="N64" s="12" t="n">
        <v>15.31010140977596</v>
      </c>
      <c r="O64" s="12" t="n">
        <v>228.4074970093606</v>
      </c>
      <c r="P64" s="5" t="inlineStr">
        <is>
          <t>Normal</t>
        </is>
      </c>
      <c r="Q64" s="5" t="inlineStr">
        <is>
          <t>Drop</t>
        </is>
      </c>
      <c r="R64" s="12" t="n">
        <v>0.44</v>
      </c>
      <c r="S64" s="5" t="inlineStr">
        <is>
          <t>REJECTED</t>
        </is>
      </c>
      <c r="T64" s="5" t="inlineStr">
        <is>
          <t>Normal operation</t>
        </is>
      </c>
    </row>
    <row r="65">
      <c r="A65" s="7" t="n">
        <v>3640</v>
      </c>
      <c r="B65" s="8" t="n">
        <v>39125.127</v>
      </c>
      <c r="C65" s="9" t="n">
        <v>39.125127</v>
      </c>
      <c r="D65" s="9" t="n">
        <v>136.57933925</v>
      </c>
      <c r="E65" s="9" t="n">
        <v>66.27561932</v>
      </c>
      <c r="F65" s="10" t="n">
        <v>0.04760377155</v>
      </c>
      <c r="G65" s="10" t="n">
        <v>0.224023103968</v>
      </c>
      <c r="H65" s="10" t="n">
        <v>1</v>
      </c>
      <c r="I65" s="10" t="n">
        <v>0.001</v>
      </c>
      <c r="J65" s="5" t="inlineStr">
        <is>
          <t>Cleaner sand</t>
        </is>
      </c>
      <c r="K65" s="11" t="n">
        <v>14.51550546668637</v>
      </c>
      <c r="L65" s="12" t="n">
        <v>1.515474657636906</v>
      </c>
      <c r="M65" s="12" t="n">
        <v>6.304914126619495</v>
      </c>
      <c r="N65" s="12" t="n">
        <v>13.54709069056959</v>
      </c>
      <c r="O65" s="12" t="n">
        <v>248.0909124816083</v>
      </c>
      <c r="P65" s="5" t="inlineStr">
        <is>
          <t>Caution</t>
        </is>
      </c>
      <c r="Q65" s="5" t="inlineStr">
        <is>
          <t>Drop</t>
        </is>
      </c>
      <c r="R65" s="12" t="n">
        <v>0.52</v>
      </c>
      <c r="S65" s="5" t="inlineStr">
        <is>
          <t>REDUCED</t>
        </is>
      </c>
      <c r="T65" s="5" t="inlineStr">
        <is>
          <t>DLS exceeds normal range</t>
        </is>
      </c>
    </row>
    <row r="66">
      <c r="A66" s="7" t="n">
        <v>3645</v>
      </c>
      <c r="B66" s="8" t="n">
        <v>60931.909</v>
      </c>
      <c r="C66" s="9" t="n">
        <v>60.931909</v>
      </c>
      <c r="D66" s="9" t="n">
        <v>136.61320922</v>
      </c>
      <c r="E66" s="9" t="n">
        <v>65.14692458</v>
      </c>
      <c r="F66" s="10" t="n">
        <v>0.026774235755</v>
      </c>
      <c r="G66" s="10" t="n">
        <v>0.155633053419</v>
      </c>
      <c r="H66" s="10" t="n">
        <v>1</v>
      </c>
      <c r="I66" s="10" t="n">
        <v>0.001</v>
      </c>
      <c r="J66" s="5" t="inlineStr">
        <is>
          <t>Cleaner sand</t>
        </is>
      </c>
      <c r="K66" s="11" t="n">
        <v>20.53497673646366</v>
      </c>
      <c r="L66" s="12" t="n">
        <v>2.27139361561013</v>
      </c>
      <c r="M66" s="12" t="n">
        <v>4.677087481067585</v>
      </c>
      <c r="N66" s="12" t="n">
        <v>15.02230035451343</v>
      </c>
      <c r="O66" s="12" t="n">
        <v>219.5880501919676</v>
      </c>
      <c r="P66" s="5" t="inlineStr">
        <is>
          <t>Normal</t>
        </is>
      </c>
      <c r="Q66" s="5" t="inlineStr">
        <is>
          <t>Turn Right</t>
        </is>
      </c>
      <c r="R66" s="12" t="n">
        <v>0.65</v>
      </c>
      <c r="S66" s="5" t="inlineStr">
        <is>
          <t>REDUCED</t>
        </is>
      </c>
      <c r="T66" s="5" t="inlineStr">
        <is>
          <t>Normal operation</t>
        </is>
      </c>
    </row>
    <row r="67">
      <c r="A67" s="7" t="n">
        <v>3650</v>
      </c>
      <c r="B67" s="8" t="n">
        <v>51585.1859999999</v>
      </c>
      <c r="C67" s="9" t="n">
        <v>51.5851859999999</v>
      </c>
      <c r="D67" s="9" t="n">
        <v>136.6351062</v>
      </c>
      <c r="E67" s="9" t="n">
        <v>71.87670886000001</v>
      </c>
      <c r="F67" s="10" t="n">
        <v>0.106339428797</v>
      </c>
      <c r="G67" s="10" t="n">
        <v>0.625479086539</v>
      </c>
      <c r="H67" s="10" t="n">
        <v>1</v>
      </c>
      <c r="I67" s="10" t="n">
        <v>0.001</v>
      </c>
      <c r="J67" s="5" t="inlineStr">
        <is>
          <t>Shale-prone</t>
        </is>
      </c>
      <c r="K67" s="11" t="n">
        <v>19.35962644212141</v>
      </c>
      <c r="L67" s="12" t="n">
        <v>1.329989594120504</v>
      </c>
      <c r="M67" s="12" t="n">
        <v>3.767499010957434</v>
      </c>
      <c r="N67" s="12" t="n">
        <v>16.02323586238371</v>
      </c>
      <c r="O67" s="12" t="n">
        <v>225.3266018931542</v>
      </c>
      <c r="P67" s="5" t="inlineStr">
        <is>
          <t>Normal</t>
        </is>
      </c>
      <c r="Q67" s="5" t="inlineStr">
        <is>
          <t>Drop</t>
        </is>
      </c>
      <c r="R67" s="12" t="n">
        <v>0.73</v>
      </c>
      <c r="S67" s="5" t="inlineStr">
        <is>
          <t>ACCEPTED</t>
        </is>
      </c>
      <c r="T67" s="5" t="inlineStr">
        <is>
          <t>Normal operation</t>
        </is>
      </c>
    </row>
    <row r="68">
      <c r="A68" s="7" t="n">
        <v>3655</v>
      </c>
      <c r="B68" s="8" t="n">
        <v>36926.625</v>
      </c>
      <c r="C68" s="9" t="n">
        <v>36.926625</v>
      </c>
      <c r="D68" s="9" t="n">
        <v>136.42298689</v>
      </c>
      <c r="E68" s="9" t="n">
        <v>72.3824783</v>
      </c>
      <c r="F68" s="10" t="n">
        <v>0.044834783757</v>
      </c>
      <c r="G68" s="10" t="n">
        <v>0.387715598531</v>
      </c>
      <c r="H68" s="10" t="n">
        <v>1</v>
      </c>
      <c r="I68" s="10" t="n">
        <v>0.001</v>
      </c>
      <c r="J68" s="5" t="inlineStr">
        <is>
          <t>Transition</t>
        </is>
      </c>
      <c r="K68" s="11" t="n">
        <v>15.2353499045626</v>
      </c>
      <c r="L68" s="12" t="n">
        <v>1.796707139489663</v>
      </c>
      <c r="M68" s="12" t="n">
        <v>4.267680744958265</v>
      </c>
      <c r="N68" s="12" t="n">
        <v>11.3672704569366</v>
      </c>
      <c r="O68" s="12" t="n">
        <v>228.4334210957372</v>
      </c>
      <c r="P68" s="5" t="inlineStr">
        <is>
          <t>Normal</t>
        </is>
      </c>
      <c r="Q68" s="5" t="inlineStr">
        <is>
          <t>Turn Right</t>
        </is>
      </c>
      <c r="R68" s="12" t="n">
        <v>0.59</v>
      </c>
      <c r="S68" s="5" t="inlineStr">
        <is>
          <t>REDUCED</t>
        </is>
      </c>
      <c r="T68" s="5" t="inlineStr">
        <is>
          <t>Normal operation</t>
        </is>
      </c>
    </row>
    <row r="69">
      <c r="A69" s="7" t="n">
        <v>3660</v>
      </c>
      <c r="B69" s="8" t="n">
        <v>31738.087</v>
      </c>
      <c r="C69" s="9" t="n">
        <v>31.738087</v>
      </c>
      <c r="D69" s="9" t="n">
        <v>136.63382216</v>
      </c>
      <c r="E69" s="9" t="n">
        <v>72.35968312</v>
      </c>
      <c r="F69" s="10" t="n">
        <v>0.044974525777</v>
      </c>
      <c r="G69" s="10" t="n">
        <v>0.234647717171</v>
      </c>
      <c r="H69" s="10" t="n">
        <v>1</v>
      </c>
      <c r="I69" s="10" t="n">
        <v>0.001</v>
      </c>
      <c r="J69" s="5" t="inlineStr">
        <is>
          <t>Cleaner sand</t>
        </is>
      </c>
      <c r="K69" s="11" t="n">
        <v>15.35660857374522</v>
      </c>
      <c r="L69" s="12" t="n">
        <v>1.250679943902719</v>
      </c>
      <c r="M69" s="12" t="n">
        <v>6.176920878260764</v>
      </c>
      <c r="N69" s="12" t="n">
        <v>14.79197655423633</v>
      </c>
      <c r="O69" s="12" t="n">
        <v>202.6636922061369</v>
      </c>
      <c r="P69" s="5" t="inlineStr">
        <is>
          <t>Caution</t>
        </is>
      </c>
      <c r="Q69" s="5" t="inlineStr">
        <is>
          <t>Turn Right</t>
        </is>
      </c>
      <c r="R69" s="12" t="n">
        <v>0.5600000000000001</v>
      </c>
      <c r="S69" s="5" t="inlineStr">
        <is>
          <t>REDUCED</t>
        </is>
      </c>
      <c r="T69" s="5" t="inlineStr">
        <is>
          <t>DLS exceeds normal range</t>
        </is>
      </c>
    </row>
    <row r="70">
      <c r="A70" s="7" t="n">
        <v>3665</v>
      </c>
      <c r="B70" s="8" t="n">
        <v>48944.501</v>
      </c>
      <c r="C70" s="9" t="n">
        <v>48.944501</v>
      </c>
      <c r="D70" s="9" t="n">
        <v>136.60052591</v>
      </c>
      <c r="E70" s="9" t="n">
        <v>72.19360934000001</v>
      </c>
      <c r="F70" s="10" t="n">
        <v>0.040471388563</v>
      </c>
      <c r="G70" s="10" t="n">
        <v>0.262833372637</v>
      </c>
      <c r="H70" s="10" t="n">
        <v>1</v>
      </c>
      <c r="I70" s="10" t="n">
        <v>0.001</v>
      </c>
      <c r="J70" s="5" t="inlineStr">
        <is>
          <t>Transition</t>
        </is>
      </c>
      <c r="K70" s="11" t="n">
        <v>17.87934335721831</v>
      </c>
      <c r="L70" s="12" t="n">
        <v>2.71112307260896</v>
      </c>
      <c r="M70" s="12" t="n">
        <v>5.090778871333453</v>
      </c>
      <c r="N70" s="12" t="n">
        <v>10.78642959447055</v>
      </c>
      <c r="O70" s="12" t="n">
        <v>220.9822609119666</v>
      </c>
      <c r="P70" s="5" t="inlineStr">
        <is>
          <t>Normal</t>
        </is>
      </c>
      <c r="Q70" s="5" t="inlineStr">
        <is>
          <t>Turn Right</t>
        </is>
      </c>
      <c r="R70" s="12" t="n">
        <v>0.42</v>
      </c>
      <c r="S70" s="5" t="inlineStr">
        <is>
          <t>REJECTED</t>
        </is>
      </c>
      <c r="T70" s="5" t="inlineStr">
        <is>
          <t>High vibration detected</t>
        </is>
      </c>
    </row>
    <row r="71">
      <c r="A71" s="7" t="n">
        <v>3670</v>
      </c>
      <c r="B71" s="8" t="n">
        <v>55795.577</v>
      </c>
      <c r="C71" s="9" t="n">
        <v>55.79557699999999</v>
      </c>
      <c r="D71" s="9" t="n">
        <v>136.55585088</v>
      </c>
      <c r="E71" s="9" t="n">
        <v>72.29151406000001</v>
      </c>
      <c r="F71" s="10" t="n">
        <v>0.055925293413</v>
      </c>
      <c r="G71" s="10" t="n">
        <v>0.346865857672</v>
      </c>
      <c r="H71" s="10" t="n">
        <v>1</v>
      </c>
      <c r="I71" s="10" t="n">
        <v>0.001</v>
      </c>
      <c r="J71" s="5" t="inlineStr">
        <is>
          <t>Transition</t>
        </is>
      </c>
      <c r="K71" s="11" t="n">
        <v>18.13264862162952</v>
      </c>
      <c r="L71" s="12" t="n">
        <v>1.1</v>
      </c>
      <c r="M71" s="12" t="n">
        <v>4.803946144312663</v>
      </c>
      <c r="N71" s="12" t="n">
        <v>12.57854579002191</v>
      </c>
      <c r="O71" s="12" t="n">
        <v>202.9753826746555</v>
      </c>
      <c r="P71" s="5" t="inlineStr">
        <is>
          <t>Normal</t>
        </is>
      </c>
      <c r="Q71" s="5" t="inlineStr">
        <is>
          <t>Turn Right</t>
        </is>
      </c>
      <c r="R71" s="12" t="n">
        <v>0.42</v>
      </c>
      <c r="S71" s="5" t="inlineStr">
        <is>
          <t>REJECTED</t>
        </is>
      </c>
      <c r="T71" s="5" t="inlineStr">
        <is>
          <t>Normal operation</t>
        </is>
      </c>
    </row>
    <row r="72">
      <c r="A72" s="7" t="n">
        <v>3675</v>
      </c>
      <c r="B72" s="8" t="n">
        <v>48287.015</v>
      </c>
      <c r="C72" s="9" t="n">
        <v>48.287015</v>
      </c>
      <c r="D72" s="9" t="n">
        <v>136.60994448</v>
      </c>
      <c r="E72" s="9" t="n">
        <v>72.35778974</v>
      </c>
      <c r="F72" s="10" t="n">
        <v>0.05506627791</v>
      </c>
      <c r="G72" s="10" t="n">
        <v>0.361096590563</v>
      </c>
      <c r="H72" s="10" t="n">
        <v>1</v>
      </c>
      <c r="I72" s="10" t="n">
        <v>0.001</v>
      </c>
      <c r="J72" s="5" t="inlineStr">
        <is>
          <t>Transition</t>
        </is>
      </c>
      <c r="K72" s="11" t="n">
        <v>17.75817704288279</v>
      </c>
      <c r="L72" s="12" t="n">
        <v>1.811812148011243</v>
      </c>
      <c r="M72" s="12" t="n">
        <v>5.397520066498315</v>
      </c>
      <c r="N72" s="12" t="n">
        <v>15.73037302177607</v>
      </c>
      <c r="O72" s="12" t="n">
        <v>219.2531179322079</v>
      </c>
      <c r="P72" s="5" t="inlineStr">
        <is>
          <t>Normal</t>
        </is>
      </c>
      <c r="Q72" s="5" t="inlineStr">
        <is>
          <t>Drop</t>
        </is>
      </c>
      <c r="R72" s="12" t="n">
        <v>0.55</v>
      </c>
      <c r="S72" s="5" t="inlineStr">
        <is>
          <t>REDUCED</t>
        </is>
      </c>
      <c r="T72" s="5" t="inlineStr">
        <is>
          <t>Normal operation</t>
        </is>
      </c>
    </row>
    <row r="73">
      <c r="A73" s="7" t="n">
        <v>3680</v>
      </c>
      <c r="B73" s="8" t="n">
        <v>44576.612</v>
      </c>
      <c r="C73" s="9" t="n">
        <v>44.576612</v>
      </c>
      <c r="D73" s="9" t="n">
        <v>136.64468869</v>
      </c>
      <c r="E73" s="9" t="n">
        <v>66.8888268</v>
      </c>
      <c r="F73" s="10" t="n">
        <v>0.033129444601</v>
      </c>
      <c r="G73" s="10" t="n">
        <v>0.342980277824</v>
      </c>
      <c r="H73" s="10" t="n">
        <v>1</v>
      </c>
      <c r="I73" s="10" t="n">
        <v>0.001</v>
      </c>
      <c r="J73" s="5" t="inlineStr">
        <is>
          <t>Transition</t>
        </is>
      </c>
      <c r="K73" s="11" t="n">
        <v>18.25239464755615</v>
      </c>
      <c r="L73" s="12" t="n">
        <v>1.970550671656728</v>
      </c>
      <c r="M73" s="12" t="n">
        <v>5.697710325551671</v>
      </c>
      <c r="N73" s="12" t="n">
        <v>12.63468681679794</v>
      </c>
      <c r="O73" s="12" t="n">
        <v>199.0570250684388</v>
      </c>
      <c r="P73" s="5" t="inlineStr">
        <is>
          <t>Normal</t>
        </is>
      </c>
      <c r="Q73" s="5" t="inlineStr">
        <is>
          <t>Turn Right</t>
        </is>
      </c>
      <c r="R73" s="12" t="n">
        <v>0.6899999999999999</v>
      </c>
      <c r="S73" s="5" t="inlineStr">
        <is>
          <t>REDUCED</t>
        </is>
      </c>
      <c r="T73" s="5" t="inlineStr">
        <is>
          <t>Normal operation</t>
        </is>
      </c>
    </row>
    <row r="74">
      <c r="A74" s="7" t="n">
        <v>3685</v>
      </c>
      <c r="B74" s="8" t="n">
        <v>34623.502</v>
      </c>
      <c r="C74" s="9" t="n">
        <v>34.623502</v>
      </c>
      <c r="D74" s="9" t="n">
        <v>136.60525227</v>
      </c>
      <c r="E74" s="9" t="n">
        <v>66.92967264000001</v>
      </c>
      <c r="F74" s="10" t="n">
        <v>0.058048283855</v>
      </c>
      <c r="G74" s="10" t="n">
        <v>0.390985516925</v>
      </c>
      <c r="H74" s="10" t="n">
        <v>1</v>
      </c>
      <c r="I74" s="10" t="n">
        <v>0.001</v>
      </c>
      <c r="J74" s="5" t="inlineStr">
        <is>
          <t>Transition</t>
        </is>
      </c>
      <c r="K74" s="11" t="n">
        <v>14.847939857879</v>
      </c>
      <c r="L74" s="12" t="n">
        <v>1.862761557751234</v>
      </c>
      <c r="M74" s="12" t="n">
        <v>6.216829206660978</v>
      </c>
      <c r="N74" s="12" t="n">
        <v>11.64350621927872</v>
      </c>
      <c r="O74" s="12" t="n">
        <v>213.4358013151998</v>
      </c>
      <c r="P74" s="5" t="inlineStr">
        <is>
          <t>Caution</t>
        </is>
      </c>
      <c r="Q74" s="5" t="inlineStr">
        <is>
          <t>Turn Right</t>
        </is>
      </c>
      <c r="R74" s="12" t="n">
        <v>0.71</v>
      </c>
      <c r="S74" s="5" t="inlineStr">
        <is>
          <t>ACCEPTED</t>
        </is>
      </c>
      <c r="T74" s="5" t="inlineStr">
        <is>
          <t>DLS exceeds normal range</t>
        </is>
      </c>
    </row>
    <row r="75">
      <c r="A75" s="7" t="n">
        <v>3690</v>
      </c>
      <c r="B75" s="8" t="n">
        <v>37186.386</v>
      </c>
      <c r="C75" s="9" t="n">
        <v>37.186386</v>
      </c>
      <c r="D75" s="9" t="n">
        <v>136.67475435</v>
      </c>
      <c r="E75" s="9" t="n">
        <v>66.42999826</v>
      </c>
      <c r="F75" s="10" t="n">
        <v>0.031583966514</v>
      </c>
      <c r="G75" s="10" t="n">
        <v>0.226502680961</v>
      </c>
      <c r="H75" s="10" t="n">
        <v>1</v>
      </c>
      <c r="I75" s="10" t="n">
        <v>0.001</v>
      </c>
      <c r="J75" s="5" t="inlineStr">
        <is>
          <t>Cleaner sand</t>
        </is>
      </c>
      <c r="K75" s="11" t="n">
        <v>16.91977934768698</v>
      </c>
      <c r="L75" s="12" t="n">
        <v>1.569209047149923</v>
      </c>
      <c r="M75" s="12" t="n">
        <v>6.508181151869286</v>
      </c>
      <c r="N75" s="12" t="n">
        <v>12.69077783813306</v>
      </c>
      <c r="O75" s="12" t="n">
        <v>215.5637733319797</v>
      </c>
      <c r="P75" s="5" t="inlineStr">
        <is>
          <t>Caution</t>
        </is>
      </c>
      <c r="Q75" s="5" t="inlineStr">
        <is>
          <t>Turn Right</t>
        </is>
      </c>
      <c r="R75" s="12" t="n">
        <v>0.67</v>
      </c>
      <c r="S75" s="5" t="inlineStr">
        <is>
          <t>REDUCED</t>
        </is>
      </c>
      <c r="T75" s="5" t="inlineStr">
        <is>
          <t>DLS exceeds normal range</t>
        </is>
      </c>
    </row>
    <row r="76">
      <c r="A76" s="7" t="n">
        <v>3695</v>
      </c>
      <c r="B76" s="8" t="n">
        <v>46500.937</v>
      </c>
      <c r="C76" s="9" t="n">
        <v>46.500937</v>
      </c>
      <c r="D76" s="9" t="n">
        <v>136.66156562</v>
      </c>
      <c r="E76" s="9" t="n">
        <v>72.21365096000001</v>
      </c>
      <c r="F76" s="10" t="n">
        <v>0.025940354059</v>
      </c>
      <c r="G76" s="10" t="n">
        <v>0.163647581354</v>
      </c>
      <c r="H76" s="10" t="n">
        <v>1</v>
      </c>
      <c r="I76" s="10" t="n">
        <v>0.001</v>
      </c>
      <c r="J76" s="5" t="inlineStr">
        <is>
          <t>Cleaner sand</t>
        </is>
      </c>
      <c r="K76" s="11" t="n">
        <v>14.44853796172085</v>
      </c>
      <c r="L76" s="12" t="n">
        <v>1.596387857130621</v>
      </c>
      <c r="M76" s="12" t="n">
        <v>5.087882302472056</v>
      </c>
      <c r="N76" s="12" t="n">
        <v>15.41492183822853</v>
      </c>
      <c r="O76" s="12" t="n">
        <v>211.2958103441913</v>
      </c>
      <c r="P76" s="5" t="inlineStr">
        <is>
          <t>Normal</t>
        </is>
      </c>
      <c r="Q76" s="5" t="inlineStr">
        <is>
          <t>Drop</t>
        </is>
      </c>
      <c r="R76" s="12" t="n">
        <v>0.63</v>
      </c>
      <c r="S76" s="5" t="inlineStr">
        <is>
          <t>REDUCED</t>
        </is>
      </c>
      <c r="T76" s="5" t="inlineStr">
        <is>
          <t>Normal operation</t>
        </is>
      </c>
    </row>
    <row r="77">
      <c r="A77" s="7" t="n">
        <v>3700</v>
      </c>
      <c r="B77" s="8" t="n">
        <v>29632.597</v>
      </c>
      <c r="C77" s="9" t="n">
        <v>29.632597</v>
      </c>
      <c r="D77" s="9" t="n">
        <v>136.62551688</v>
      </c>
      <c r="E77" s="9" t="n">
        <v>71.57712432</v>
      </c>
      <c r="F77" s="10" t="n">
        <v>0.038539254571</v>
      </c>
      <c r="G77" s="10" t="n">
        <v>0.365891609346</v>
      </c>
      <c r="H77" s="10" t="n">
        <v>1</v>
      </c>
      <c r="I77" s="10" t="n">
        <v>0.001</v>
      </c>
      <c r="J77" s="5" t="inlineStr">
        <is>
          <t>Transition</t>
        </is>
      </c>
      <c r="K77" s="11" t="n">
        <v>14.78773303396727</v>
      </c>
      <c r="L77" s="12" t="n">
        <v>1.681467621269764</v>
      </c>
      <c r="M77" s="12" t="n">
        <v>4.341016609336512</v>
      </c>
      <c r="N77" s="12" t="n">
        <v>10.12400339005085</v>
      </c>
      <c r="O77" s="12" t="n">
        <v>203.5546719145939</v>
      </c>
      <c r="P77" s="5" t="inlineStr">
        <is>
          <t>Normal</t>
        </is>
      </c>
      <c r="Q77" s="5" t="inlineStr">
        <is>
          <t>Turn Right</t>
        </is>
      </c>
      <c r="R77" s="12" t="n">
        <v>0.54</v>
      </c>
      <c r="S77" s="5" t="inlineStr">
        <is>
          <t>REDUCED</t>
        </is>
      </c>
      <c r="T77" s="5" t="inlineStr">
        <is>
          <t>Normal operation</t>
        </is>
      </c>
    </row>
    <row r="78">
      <c r="A78" s="7" t="n">
        <v>3705</v>
      </c>
      <c r="B78" s="8" t="n">
        <v>40381.839</v>
      </c>
      <c r="C78" s="9" t="n">
        <v>40.381839</v>
      </c>
      <c r="D78" s="9" t="n">
        <v>136.59333392</v>
      </c>
      <c r="E78" s="9" t="n">
        <v>77.72846256</v>
      </c>
      <c r="F78" s="10" t="n">
        <v>0.042935350619</v>
      </c>
      <c r="G78" s="10" t="n">
        <v>0.360160648843</v>
      </c>
      <c r="H78" s="10" t="n">
        <v>1</v>
      </c>
      <c r="I78" s="10" t="n">
        <v>0.001</v>
      </c>
      <c r="J78" s="5" t="inlineStr">
        <is>
          <t>Transition</t>
        </is>
      </c>
      <c r="K78" s="11" t="n">
        <v>16.02989567461353</v>
      </c>
      <c r="L78" s="12" t="n">
        <v>1.587969019202041</v>
      </c>
      <c r="M78" s="12" t="n">
        <v>5.097080517667149</v>
      </c>
      <c r="N78" s="12" t="n">
        <v>10.9170341390903</v>
      </c>
      <c r="O78" s="12" t="n">
        <v>197.277457836494</v>
      </c>
      <c r="P78" s="5" t="inlineStr">
        <is>
          <t>Normal</t>
        </is>
      </c>
      <c r="Q78" s="5" t="inlineStr">
        <is>
          <t>Turn Right</t>
        </is>
      </c>
      <c r="R78" s="12" t="n">
        <v>0.62</v>
      </c>
      <c r="S78" s="5" t="inlineStr">
        <is>
          <t>REDUCED</t>
        </is>
      </c>
      <c r="T78" s="5" t="inlineStr">
        <is>
          <t>Normal operation</t>
        </is>
      </c>
    </row>
    <row r="79">
      <c r="A79" s="7" t="n">
        <v>3710</v>
      </c>
      <c r="B79" s="8" t="n">
        <v>44243.48</v>
      </c>
      <c r="C79" s="9" t="n">
        <v>44.24348000000001</v>
      </c>
      <c r="D79" s="9" t="n">
        <v>136.60284811</v>
      </c>
      <c r="E79" s="9" t="n">
        <v>74.40675243999999</v>
      </c>
      <c r="F79" s="10" t="n">
        <v>0.028845580434</v>
      </c>
      <c r="G79" s="10" t="n">
        <v>0.26786262152</v>
      </c>
      <c r="H79" s="10" t="n">
        <v>1</v>
      </c>
      <c r="I79" s="10" t="n">
        <v>0.001</v>
      </c>
      <c r="J79" s="5" t="inlineStr">
        <is>
          <t>Transition</t>
        </is>
      </c>
      <c r="K79" s="11" t="n">
        <v>16.35408055120562</v>
      </c>
      <c r="L79" s="12" t="n">
        <v>2.132300767229506</v>
      </c>
      <c r="M79" s="12" t="n">
        <v>5.661913561386839</v>
      </c>
      <c r="N79" s="12" t="n">
        <v>14.00894492515773</v>
      </c>
      <c r="O79" s="12" t="n">
        <v>192.568420468187</v>
      </c>
      <c r="P79" s="5" t="inlineStr">
        <is>
          <t>Normal</t>
        </is>
      </c>
      <c r="Q79" s="5" t="inlineStr">
        <is>
          <t>Turn Right</t>
        </is>
      </c>
      <c r="R79" s="12" t="n">
        <v>0.48</v>
      </c>
      <c r="S79" s="5" t="inlineStr">
        <is>
          <t>REJECTED</t>
        </is>
      </c>
      <c r="T79" s="5" t="inlineStr">
        <is>
          <t>Normal operation</t>
        </is>
      </c>
    </row>
    <row r="80">
      <c r="A80" s="7" t="n">
        <v>3715</v>
      </c>
      <c r="B80" s="8" t="n">
        <v>39579.177</v>
      </c>
      <c r="C80" s="9" t="n">
        <v>39.579177</v>
      </c>
      <c r="D80" s="9" t="n">
        <v>136.70490197</v>
      </c>
      <c r="E80" s="9" t="n">
        <v>75.35770562</v>
      </c>
      <c r="F80" s="10" t="n">
        <v>0.036167906075</v>
      </c>
      <c r="G80" s="10" t="n">
        <v>0.294875363506</v>
      </c>
      <c r="H80" s="10" t="n">
        <v>1</v>
      </c>
      <c r="I80" s="10" t="n">
        <v>0.001</v>
      </c>
      <c r="J80" s="5" t="inlineStr">
        <is>
          <t>Transition</t>
        </is>
      </c>
      <c r="K80" s="11" t="n">
        <v>15.886982482005</v>
      </c>
      <c r="L80" s="12" t="n">
        <v>2.743156270779762</v>
      </c>
      <c r="M80" s="12" t="n">
        <v>4.708355428551064</v>
      </c>
      <c r="N80" s="12" t="n">
        <v>14.25584349642604</v>
      </c>
      <c r="O80" s="12" t="n">
        <v>211.9820143021322</v>
      </c>
      <c r="P80" s="5" t="inlineStr">
        <is>
          <t>Normal</t>
        </is>
      </c>
      <c r="Q80" s="5" t="inlineStr">
        <is>
          <t>Turn Right</t>
        </is>
      </c>
      <c r="R80" s="12" t="n">
        <v>0.46</v>
      </c>
      <c r="S80" s="5" t="inlineStr">
        <is>
          <t>REJECTED</t>
        </is>
      </c>
      <c r="T80" s="5" t="inlineStr">
        <is>
          <t>High vibration detected</t>
        </is>
      </c>
    </row>
    <row r="81">
      <c r="A81" s="7" t="n">
        <v>3720</v>
      </c>
      <c r="B81" s="8" t="n">
        <v>52606.802</v>
      </c>
      <c r="C81" s="9" t="n">
        <v>52.606802</v>
      </c>
      <c r="D81" s="9" t="n">
        <v>136.43077309</v>
      </c>
      <c r="E81" s="9" t="n">
        <v>68.6351849</v>
      </c>
      <c r="F81" s="10" t="n">
        <v>0.032926237718</v>
      </c>
      <c r="G81" s="10" t="n">
        <v>0.290502779728</v>
      </c>
      <c r="H81" s="10" t="n">
        <v>1</v>
      </c>
      <c r="I81" s="10" t="n">
        <v>0.001</v>
      </c>
      <c r="J81" s="5" t="inlineStr">
        <is>
          <t>Transition</t>
        </is>
      </c>
      <c r="K81" s="11" t="n">
        <v>16.20371477575593</v>
      </c>
      <c r="L81" s="12" t="n">
        <v>1.386829025346161</v>
      </c>
      <c r="M81" s="12" t="n">
        <v>4.739150448340901</v>
      </c>
      <c r="N81" s="12" t="n">
        <v>11.48491657105239</v>
      </c>
      <c r="O81" s="12" t="n">
        <v>189.4158020650364</v>
      </c>
      <c r="P81" s="5" t="inlineStr">
        <is>
          <t>Normal</t>
        </is>
      </c>
      <c r="Q81" s="5" t="inlineStr">
        <is>
          <t>Turn Right</t>
        </is>
      </c>
      <c r="R81" s="12" t="n">
        <v>0.5600000000000001</v>
      </c>
      <c r="S81" s="5" t="inlineStr">
        <is>
          <t>REDUCED</t>
        </is>
      </c>
      <c r="T81" s="5" t="inlineStr">
        <is>
          <t>Normal operation</t>
        </is>
      </c>
    </row>
    <row r="82">
      <c r="A82" s="7" t="n">
        <v>3725</v>
      </c>
      <c r="B82" s="8" t="n">
        <v>51065.323</v>
      </c>
      <c r="C82" s="9" t="n">
        <v>51.065323</v>
      </c>
      <c r="D82" s="9" t="n">
        <v>136.74156541</v>
      </c>
      <c r="E82" s="9" t="n">
        <v>66.96102533999999</v>
      </c>
      <c r="F82" s="10" t="n">
        <v>0.040825294009</v>
      </c>
      <c r="G82" s="10" t="n">
        <v>0.293054655441</v>
      </c>
      <c r="H82" s="10" t="n">
        <v>1</v>
      </c>
      <c r="I82" s="10" t="n">
        <v>0.001</v>
      </c>
      <c r="J82" s="5" t="inlineStr">
        <is>
          <t>Transition</t>
        </is>
      </c>
      <c r="K82" s="11" t="n">
        <v>17.68810047697823</v>
      </c>
      <c r="L82" s="12" t="n">
        <v>1.1</v>
      </c>
      <c r="M82" s="12" t="n">
        <v>5.805243598021078</v>
      </c>
      <c r="N82" s="12" t="n">
        <v>9.787155362147891</v>
      </c>
      <c r="O82" s="12" t="n">
        <v>185.3817588220282</v>
      </c>
      <c r="P82" s="5" t="inlineStr">
        <is>
          <t>Normal</t>
        </is>
      </c>
      <c r="Q82" s="5" t="inlineStr">
        <is>
          <t>Turn Right</t>
        </is>
      </c>
      <c r="R82" s="12" t="n">
        <v>0.95</v>
      </c>
      <c r="S82" s="5" t="inlineStr">
        <is>
          <t>ACCEPTED</t>
        </is>
      </c>
      <c r="T82" s="5" t="inlineStr">
        <is>
          <t>Normal operation</t>
        </is>
      </c>
    </row>
    <row r="83">
      <c r="A83" s="7" t="n">
        <v>3730</v>
      </c>
      <c r="B83" s="8" t="n">
        <v>66499.772</v>
      </c>
      <c r="C83" s="9" t="n">
        <v>66.49977199999999</v>
      </c>
      <c r="D83" s="9" t="n">
        <v>136.43752796</v>
      </c>
      <c r="E83" s="9" t="n">
        <v>66.85174065999999</v>
      </c>
      <c r="F83" s="10" t="n">
        <v>0.041629135797</v>
      </c>
      <c r="G83" s="10" t="n">
        <v>0.308985114407</v>
      </c>
      <c r="H83" s="10" t="n">
        <v>1</v>
      </c>
      <c r="I83" s="10" t="n">
        <v>0.001</v>
      </c>
      <c r="J83" s="5" t="inlineStr">
        <is>
          <t>Transition</t>
        </is>
      </c>
      <c r="K83" s="11" t="n">
        <v>21.10361390700189</v>
      </c>
      <c r="L83" s="12" t="n">
        <v>1.616741796307885</v>
      </c>
      <c r="M83" s="12" t="n">
        <v>5.516465341351484</v>
      </c>
      <c r="N83" s="12" t="n">
        <v>13.9010671405872</v>
      </c>
      <c r="O83" s="12" t="n">
        <v>201.9522970096759</v>
      </c>
      <c r="P83" s="5" t="inlineStr">
        <is>
          <t>Normal</t>
        </is>
      </c>
      <c r="Q83" s="5" t="inlineStr">
        <is>
          <t>Turn Right</t>
        </is>
      </c>
      <c r="R83" s="12" t="n">
        <v>0.58</v>
      </c>
      <c r="S83" s="5" t="inlineStr">
        <is>
          <t>REDUCED</t>
        </is>
      </c>
      <c r="T83" s="5" t="inlineStr">
        <is>
          <t>Normal operation</t>
        </is>
      </c>
    </row>
    <row r="84">
      <c r="A84" s="7" t="n">
        <v>3735</v>
      </c>
      <c r="B84" s="8" t="n">
        <v>40711.114</v>
      </c>
      <c r="C84" s="9" t="n">
        <v>40.711114</v>
      </c>
      <c r="D84" s="9" t="n">
        <v>136.5403741</v>
      </c>
      <c r="E84" s="9" t="n">
        <v>77.81859122</v>
      </c>
      <c r="F84" s="10" t="n">
        <v>0.054674074222</v>
      </c>
      <c r="G84" s="10" t="n">
        <v>0.379354737015</v>
      </c>
      <c r="H84" s="10" t="n">
        <v>1</v>
      </c>
      <c r="I84" s="10" t="n">
        <v>0.001</v>
      </c>
      <c r="J84" s="5" t="inlineStr">
        <is>
          <t>Transition</t>
        </is>
      </c>
      <c r="K84" s="11" t="n">
        <v>17.48130344482054</v>
      </c>
      <c r="L84" s="12" t="n">
        <v>2.924057575450616</v>
      </c>
      <c r="M84" s="12" t="n">
        <v>5.606628892760887</v>
      </c>
      <c r="N84" s="12" t="n">
        <v>13.02779241031202</v>
      </c>
      <c r="O84" s="12" t="n">
        <v>187.0892908736839</v>
      </c>
      <c r="P84" s="5" t="inlineStr">
        <is>
          <t>Normal</t>
        </is>
      </c>
      <c r="Q84" s="5" t="inlineStr">
        <is>
          <t>Turn Right</t>
        </is>
      </c>
      <c r="R84" s="12" t="n">
        <v>0.92</v>
      </c>
      <c r="S84" s="5" t="inlineStr">
        <is>
          <t>ACCEPTED</t>
        </is>
      </c>
      <c r="T84" s="5" t="inlineStr">
        <is>
          <t>High vibration detected</t>
        </is>
      </c>
    </row>
    <row r="85">
      <c r="A85" s="7" t="n">
        <v>3740</v>
      </c>
      <c r="B85" s="8" t="n">
        <v>39286.239</v>
      </c>
      <c r="C85" s="9" t="n">
        <v>39.286239</v>
      </c>
      <c r="D85" s="9" t="n">
        <v>136.46460891</v>
      </c>
      <c r="E85" s="9" t="n">
        <v>48.13068474</v>
      </c>
      <c r="F85" s="10" t="n">
        <v>0.056659739552</v>
      </c>
      <c r="G85" s="10" t="n">
        <v>0.379345027658</v>
      </c>
      <c r="H85" s="10" t="n">
        <v>1</v>
      </c>
      <c r="I85" s="10" t="n">
        <v>0.001</v>
      </c>
      <c r="J85" s="5" t="inlineStr">
        <is>
          <t>Transition</t>
        </is>
      </c>
      <c r="K85" s="11" t="n">
        <v>15.22307385364953</v>
      </c>
      <c r="L85" s="12" t="n">
        <v>1.266199461694832</v>
      </c>
      <c r="M85" s="12" t="n">
        <v>4.998427584477376</v>
      </c>
      <c r="N85" s="12" t="n">
        <v>11.61619509793173</v>
      </c>
      <c r="O85" s="12" t="n">
        <v>185.5086706386078</v>
      </c>
      <c r="P85" s="5" t="inlineStr">
        <is>
          <t>Normal</t>
        </is>
      </c>
      <c r="Q85" s="5" t="inlineStr">
        <is>
          <t>Turn Right</t>
        </is>
      </c>
      <c r="R85" s="12" t="n">
        <v>0.62</v>
      </c>
      <c r="S85" s="5" t="inlineStr">
        <is>
          <t>REDUCED</t>
        </is>
      </c>
      <c r="T85" s="5" t="inlineStr">
        <is>
          <t>Normal operation</t>
        </is>
      </c>
    </row>
    <row r="86">
      <c r="A86" s="7" t="n">
        <v>3745</v>
      </c>
      <c r="B86" s="8" t="n">
        <v>70948.749</v>
      </c>
      <c r="C86" s="9" t="n">
        <v>70.94874899999999</v>
      </c>
      <c r="D86" s="9" t="n">
        <v>136.52523199</v>
      </c>
      <c r="E86" s="9" t="n">
        <v>70.586625</v>
      </c>
      <c r="F86" s="10" t="n">
        <v>0.071144798257</v>
      </c>
      <c r="G86" s="10" t="n">
        <v>0.387611986049</v>
      </c>
      <c r="H86" s="10" t="n">
        <v>1</v>
      </c>
      <c r="I86" s="10" t="n">
        <v>0.001</v>
      </c>
      <c r="J86" s="5" t="inlineStr">
        <is>
          <t>Transition</t>
        </is>
      </c>
      <c r="K86" s="11" t="n">
        <v>20.75627082056104</v>
      </c>
      <c r="L86" s="12" t="n">
        <v>2.463167234667593</v>
      </c>
      <c r="M86" s="12" t="n">
        <v>5.445562668046382</v>
      </c>
      <c r="N86" s="12" t="n">
        <v>9.455987673024952</v>
      </c>
      <c r="O86" s="12" t="n">
        <v>180.7386272978082</v>
      </c>
      <c r="P86" s="5" t="inlineStr">
        <is>
          <t>Normal</t>
        </is>
      </c>
      <c r="Q86" s="5" t="inlineStr">
        <is>
          <t>Turn Right</t>
        </is>
      </c>
      <c r="R86" s="12" t="n">
        <v>0.64</v>
      </c>
      <c r="S86" s="5" t="inlineStr">
        <is>
          <t>REDUCED</t>
        </is>
      </c>
      <c r="T86" s="5" t="inlineStr">
        <is>
          <t>WOB outside preferred band</t>
        </is>
      </c>
    </row>
    <row r="87">
      <c r="A87" s="7" t="n">
        <v>3750</v>
      </c>
      <c r="B87" s="8" t="n">
        <v>31209.191</v>
      </c>
      <c r="C87" s="9" t="n">
        <v>31.209191</v>
      </c>
      <c r="D87" s="9" t="n">
        <v>136.62090663</v>
      </c>
      <c r="E87" s="9" t="n">
        <v>71.33863798</v>
      </c>
      <c r="F87" s="10" t="n">
        <v>0.071399259481</v>
      </c>
      <c r="G87" s="10" t="n">
        <v>0.455446647629</v>
      </c>
      <c r="H87" s="10" t="n">
        <v>1</v>
      </c>
      <c r="I87" s="10" t="n">
        <v>0.001</v>
      </c>
      <c r="J87" s="5" t="inlineStr">
        <is>
          <t>Shale-prone</t>
        </is>
      </c>
      <c r="K87" s="11" t="n">
        <v>13.75404321947784</v>
      </c>
      <c r="L87" s="12" t="n">
        <v>2.482073398897456</v>
      </c>
      <c r="M87" s="12" t="n">
        <v>4.914981303433851</v>
      </c>
      <c r="N87" s="12" t="n">
        <v>10.22691929635692</v>
      </c>
      <c r="O87" s="12" t="n">
        <v>190.7171650259802</v>
      </c>
      <c r="P87" s="5" t="inlineStr">
        <is>
          <t>Normal</t>
        </is>
      </c>
      <c r="Q87" s="5" t="inlineStr">
        <is>
          <t>Turn Right</t>
        </is>
      </c>
      <c r="R87" s="12" t="n">
        <v>0.84</v>
      </c>
      <c r="S87" s="5" t="inlineStr">
        <is>
          <t>ACCEPTED</t>
        </is>
      </c>
      <c r="T87" s="5" t="inlineStr">
        <is>
          <t>Normal operation</t>
        </is>
      </c>
    </row>
    <row r="88">
      <c r="A88" s="7" t="n">
        <v>3755</v>
      </c>
      <c r="B88" s="8" t="n">
        <v>38222.4629999999</v>
      </c>
      <c r="C88" s="9" t="n">
        <v>38.2224629999999</v>
      </c>
      <c r="D88" s="9" t="n">
        <v>136.55723737</v>
      </c>
      <c r="E88" s="9" t="n">
        <v>71.47541561999999</v>
      </c>
      <c r="F88" s="10" t="n">
        <v>0.017176436602</v>
      </c>
      <c r="G88" s="10" t="n">
        <v>0.228459146634</v>
      </c>
      <c r="H88" s="10" t="n">
        <v>1</v>
      </c>
      <c r="I88" s="10" t="n">
        <v>0.001</v>
      </c>
      <c r="J88" s="5" t="inlineStr">
        <is>
          <t>Cleaner sand</t>
        </is>
      </c>
      <c r="K88" s="11" t="n">
        <v>16.46109477702812</v>
      </c>
      <c r="L88" s="12" t="n">
        <v>1.388741761563083</v>
      </c>
      <c r="M88" s="12" t="n">
        <v>6.390834691965381</v>
      </c>
      <c r="N88" s="12" t="n">
        <v>9.860736046890855</v>
      </c>
      <c r="O88" s="12" t="n">
        <v>195.2958383756986</v>
      </c>
      <c r="P88" s="5" t="inlineStr">
        <is>
          <t>Caution</t>
        </is>
      </c>
      <c r="Q88" s="5" t="inlineStr">
        <is>
          <t>Turn Right</t>
        </is>
      </c>
      <c r="R88" s="12" t="n">
        <v>0.45</v>
      </c>
      <c r="S88" s="5" t="inlineStr">
        <is>
          <t>REJECTED</t>
        </is>
      </c>
      <c r="T88" s="5" t="inlineStr">
        <is>
          <t>DLS exceeds normal range</t>
        </is>
      </c>
    </row>
    <row r="89">
      <c r="A89" s="7" t="n">
        <v>3760</v>
      </c>
      <c r="B89" s="8" t="n">
        <v>46129.405</v>
      </c>
      <c r="C89" s="9" t="n">
        <v>46.129405</v>
      </c>
      <c r="D89" s="9" t="n">
        <v>136.60813453</v>
      </c>
      <c r="E89" s="9" t="n">
        <v>65.6784248</v>
      </c>
      <c r="F89" s="10" t="n">
        <v>0.027820991564</v>
      </c>
      <c r="G89" s="10" t="n">
        <v>0.272348988072</v>
      </c>
      <c r="H89" s="10" t="n">
        <v>1</v>
      </c>
      <c r="I89" s="10" t="n">
        <v>0.001</v>
      </c>
      <c r="J89" s="5" t="inlineStr">
        <is>
          <t>Transition</t>
        </is>
      </c>
      <c r="K89" s="11" t="n">
        <v>17.32870140557791</v>
      </c>
      <c r="L89" s="12" t="n">
        <v>1.938801708800785</v>
      </c>
      <c r="M89" s="12" t="n">
        <v>6.531005524084388</v>
      </c>
      <c r="N89" s="12" t="n">
        <v>10.27785756105215</v>
      </c>
      <c r="O89" s="12" t="n">
        <v>199.3340594198055</v>
      </c>
      <c r="P89" s="5" t="inlineStr">
        <is>
          <t>Caution</t>
        </is>
      </c>
      <c r="Q89" s="5" t="inlineStr">
        <is>
          <t>Hold</t>
        </is>
      </c>
      <c r="R89" s="12" t="n">
        <v>0.5</v>
      </c>
      <c r="S89" s="5" t="inlineStr">
        <is>
          <t>REDUCED</t>
        </is>
      </c>
      <c r="T89" s="5" t="inlineStr">
        <is>
          <t>DLS exceeds normal range</t>
        </is>
      </c>
    </row>
    <row r="90">
      <c r="A90" s="7" t="n">
        <v>3765</v>
      </c>
      <c r="B90" s="8" t="n">
        <v>49690.284</v>
      </c>
      <c r="C90" s="9" t="n">
        <v>49.690284</v>
      </c>
      <c r="D90" s="9" t="n">
        <v>136.57927778</v>
      </c>
      <c r="E90" s="9" t="n">
        <v>65.60469286</v>
      </c>
      <c r="F90" s="10" t="n">
        <v>0.017025147829</v>
      </c>
      <c r="G90" s="10" t="n">
        <v>0.269027325251</v>
      </c>
      <c r="H90" s="10" t="n">
        <v>1</v>
      </c>
      <c r="I90" s="10" t="n">
        <v>0.001</v>
      </c>
      <c r="J90" s="5" t="inlineStr">
        <is>
          <t>Transition</t>
        </is>
      </c>
      <c r="K90" s="11" t="n">
        <v>17.12511275109198</v>
      </c>
      <c r="L90" s="12" t="n">
        <v>2.457914345332984</v>
      </c>
      <c r="M90" s="12" t="n">
        <v>4.24980620485576</v>
      </c>
      <c r="N90" s="12" t="n">
        <v>11.51259944742541</v>
      </c>
      <c r="O90" s="12" t="n">
        <v>207.3974822648175</v>
      </c>
      <c r="P90" s="5" t="inlineStr">
        <is>
          <t>Normal</t>
        </is>
      </c>
      <c r="Q90" s="5" t="inlineStr">
        <is>
          <t>Turn Right</t>
        </is>
      </c>
      <c r="R90" s="12" t="n">
        <v>0.9399999999999999</v>
      </c>
      <c r="S90" s="5" t="inlineStr">
        <is>
          <t>ACCEPTED</t>
        </is>
      </c>
      <c r="T90" s="5" t="inlineStr">
        <is>
          <t>Normal operation</t>
        </is>
      </c>
    </row>
    <row r="91">
      <c r="A91" s="7" t="n">
        <v>3770</v>
      </c>
      <c r="B91" s="8" t="n">
        <v>55013.203</v>
      </c>
      <c r="C91" s="9" t="n">
        <v>55.013203</v>
      </c>
      <c r="D91" s="9" t="n">
        <v>136.57203798</v>
      </c>
      <c r="E91" s="9" t="n">
        <v>65.68984166</v>
      </c>
      <c r="F91" s="10" t="n">
        <v>0.020829322057</v>
      </c>
      <c r="G91" s="10" t="n">
        <v>0.176783748557</v>
      </c>
      <c r="H91" s="10" t="n">
        <v>1</v>
      </c>
      <c r="I91" s="10" t="n">
        <v>0.001</v>
      </c>
      <c r="J91" s="5" t="inlineStr">
        <is>
          <t>Cleaner sand</t>
        </is>
      </c>
      <c r="K91" s="11" t="n">
        <v>19.14714031040908</v>
      </c>
      <c r="L91" s="12" t="n">
        <v>1.474227406916131</v>
      </c>
      <c r="M91" s="12" t="n">
        <v>5.006916997954024</v>
      </c>
      <c r="N91" s="12" t="n">
        <v>10.54808644413606</v>
      </c>
      <c r="O91" s="12" t="n">
        <v>204.3329026824113</v>
      </c>
      <c r="P91" s="5" t="inlineStr">
        <is>
          <t>Normal</t>
        </is>
      </c>
      <c r="Q91" s="5" t="inlineStr">
        <is>
          <t>Turn Right</t>
        </is>
      </c>
      <c r="R91" s="12" t="n">
        <v>0.68</v>
      </c>
      <c r="S91" s="5" t="inlineStr">
        <is>
          <t>REDUCED</t>
        </is>
      </c>
      <c r="T91" s="5" t="inlineStr">
        <is>
          <t>Normal operation</t>
        </is>
      </c>
    </row>
    <row r="92">
      <c r="A92" s="7" t="n">
        <v>3775</v>
      </c>
      <c r="B92" s="8" t="n">
        <v>40305.859</v>
      </c>
      <c r="C92" s="9" t="n">
        <v>40.305859</v>
      </c>
      <c r="D92" s="9" t="n">
        <v>136.51601149</v>
      </c>
      <c r="E92" s="9" t="n">
        <v>74.7920565</v>
      </c>
      <c r="F92" s="10" t="n">
        <v>0.043905555852</v>
      </c>
      <c r="G92" s="10" t="n">
        <v>0.291026942615</v>
      </c>
      <c r="H92" s="10" t="n">
        <v>1</v>
      </c>
      <c r="I92" s="10" t="n">
        <v>0.001</v>
      </c>
      <c r="J92" s="5" t="inlineStr">
        <is>
          <t>Transition</t>
        </is>
      </c>
      <c r="K92" s="11" t="n">
        <v>16.02595179051011</v>
      </c>
      <c r="L92" s="12" t="n">
        <v>1.560245623549843</v>
      </c>
      <c r="M92" s="12" t="n">
        <v>4.576888646685767</v>
      </c>
      <c r="N92" s="12" t="n">
        <v>7.782802103380023</v>
      </c>
      <c r="O92" s="12" t="n">
        <v>198.5294471541129</v>
      </c>
      <c r="P92" s="5" t="inlineStr">
        <is>
          <t>Normal</t>
        </is>
      </c>
      <c r="Q92" s="5" t="inlineStr">
        <is>
          <t>Build</t>
        </is>
      </c>
      <c r="R92" s="12" t="n">
        <v>0.42</v>
      </c>
      <c r="S92" s="5" t="inlineStr">
        <is>
          <t>REJECTED</t>
        </is>
      </c>
      <c r="T92" s="5" t="inlineStr">
        <is>
          <t>Normal operation</t>
        </is>
      </c>
    </row>
    <row r="93">
      <c r="A93" s="7" t="n">
        <v>3780</v>
      </c>
      <c r="B93" s="8" t="n">
        <v>31621.43</v>
      </c>
      <c r="C93" s="9" t="n">
        <v>31.62143</v>
      </c>
      <c r="D93" s="9" t="n">
        <v>136.49239335</v>
      </c>
      <c r="E93" s="9" t="n">
        <v>71.75827297999999</v>
      </c>
      <c r="F93" s="10" t="n">
        <v>0.063229538066</v>
      </c>
      <c r="G93" s="10" t="n">
        <v>0.436382869419</v>
      </c>
      <c r="H93" s="10" t="n">
        <v>1</v>
      </c>
      <c r="I93" s="10" t="n">
        <v>0.001</v>
      </c>
      <c r="J93" s="5" t="inlineStr">
        <is>
          <t>Transition</t>
        </is>
      </c>
      <c r="K93" s="11" t="n">
        <v>15.30026492115462</v>
      </c>
      <c r="L93" s="12" t="n">
        <v>1.374976352165165</v>
      </c>
      <c r="M93" s="12" t="n">
        <v>5.277494873290099</v>
      </c>
      <c r="N93" s="12" t="n">
        <v>10.75138310128838</v>
      </c>
      <c r="O93" s="12" t="n">
        <v>200.0211419327996</v>
      </c>
      <c r="P93" s="5" t="inlineStr">
        <is>
          <t>Normal</t>
        </is>
      </c>
      <c r="Q93" s="5" t="inlineStr">
        <is>
          <t>Turn Right</t>
        </is>
      </c>
      <c r="R93" s="12" t="n">
        <v>0.43</v>
      </c>
      <c r="S93" s="5" t="inlineStr">
        <is>
          <t>REJECTED</t>
        </is>
      </c>
      <c r="T93" s="5" t="inlineStr">
        <is>
          <t>Normal operation</t>
        </is>
      </c>
    </row>
    <row r="94">
      <c r="A94" s="7" t="n">
        <v>3785</v>
      </c>
      <c r="B94" s="8" t="n">
        <v>39829.291</v>
      </c>
      <c r="C94" s="9" t="n">
        <v>39.829291</v>
      </c>
      <c r="D94" s="9" t="n">
        <v>136.52513637</v>
      </c>
      <c r="E94" s="9" t="n">
        <v>71.46253915999999</v>
      </c>
      <c r="F94" s="10" t="n">
        <v>0.065711094949</v>
      </c>
      <c r="G94" s="10" t="n">
        <v>0.436370377139</v>
      </c>
      <c r="H94" s="10" t="n">
        <v>1</v>
      </c>
      <c r="I94" s="10" t="n">
        <v>0.001</v>
      </c>
      <c r="J94" s="5" t="inlineStr">
        <is>
          <t>Transition</t>
        </is>
      </c>
      <c r="K94" s="11" t="n">
        <v>15.1391699853873</v>
      </c>
      <c r="L94" s="12" t="n">
        <v>1.162769201960495</v>
      </c>
      <c r="M94" s="12" t="n">
        <v>5.753979664925439</v>
      </c>
      <c r="N94" s="12" t="n">
        <v>9.147556211082847</v>
      </c>
      <c r="O94" s="12" t="n">
        <v>208.8556641550873</v>
      </c>
      <c r="P94" s="5" t="inlineStr">
        <is>
          <t>Normal</t>
        </is>
      </c>
      <c r="Q94" s="5" t="inlineStr">
        <is>
          <t>Turn Right</t>
        </is>
      </c>
      <c r="R94" s="12" t="n">
        <v>0.9</v>
      </c>
      <c r="S94" s="5" t="inlineStr">
        <is>
          <t>ACCEPTED</t>
        </is>
      </c>
      <c r="T94" s="5" t="inlineStr">
        <is>
          <t>Normal operation</t>
        </is>
      </c>
    </row>
    <row r="95">
      <c r="A95" s="7" t="n">
        <v>3790</v>
      </c>
      <c r="B95" s="8" t="n">
        <v>41146.105</v>
      </c>
      <c r="C95" s="9" t="n">
        <v>41.14610500000001</v>
      </c>
      <c r="D95" s="9" t="n">
        <v>136.51550607</v>
      </c>
      <c r="E95" s="9" t="n">
        <v>71.44211706</v>
      </c>
      <c r="F95" s="10" t="n">
        <v>0.056422433662</v>
      </c>
      <c r="G95" s="10" t="n">
        <v>0.449360828132</v>
      </c>
      <c r="H95" s="10" t="n">
        <v>1</v>
      </c>
      <c r="I95" s="10" t="n">
        <v>0.001</v>
      </c>
      <c r="J95" s="5" t="inlineStr">
        <is>
          <t>Transition</t>
        </is>
      </c>
      <c r="K95" s="11" t="n">
        <v>15.75575150589627</v>
      </c>
      <c r="L95" s="12" t="n">
        <v>1.341854002917656</v>
      </c>
      <c r="M95" s="12" t="n">
        <v>4.684042391661815</v>
      </c>
      <c r="N95" s="12" t="n">
        <v>9.412216676485105</v>
      </c>
      <c r="O95" s="12" t="n">
        <v>218.4116717336416</v>
      </c>
      <c r="P95" s="5" t="inlineStr">
        <is>
          <t>Normal</t>
        </is>
      </c>
      <c r="Q95" s="5" t="inlineStr">
        <is>
          <t>Turn Right</t>
        </is>
      </c>
      <c r="R95" s="12" t="n">
        <v>0.88</v>
      </c>
      <c r="S95" s="5" t="inlineStr">
        <is>
          <t>ACCEPTED</t>
        </is>
      </c>
      <c r="T95" s="5" t="inlineStr">
        <is>
          <t>Normal operation</t>
        </is>
      </c>
    </row>
    <row r="96">
      <c r="A96" s="7" t="n">
        <v>3795</v>
      </c>
      <c r="B96" s="8" t="n">
        <v>45492.4779999999</v>
      </c>
      <c r="C96" s="9" t="n">
        <v>45.4924779999999</v>
      </c>
      <c r="D96" s="9" t="n">
        <v>136.50093085</v>
      </c>
      <c r="E96" s="9" t="n">
        <v>71.35513227999999</v>
      </c>
      <c r="F96" s="10" t="n">
        <v>0.05901722896</v>
      </c>
      <c r="G96" s="10" t="n">
        <v>0.424207152465</v>
      </c>
      <c r="H96" s="10" t="n">
        <v>1</v>
      </c>
      <c r="I96" s="10" t="n">
        <v>0.001</v>
      </c>
      <c r="J96" s="5" t="inlineStr">
        <is>
          <t>Transition</t>
        </is>
      </c>
      <c r="K96" s="11" t="n">
        <v>16.49069749271757</v>
      </c>
      <c r="L96" s="12" t="n">
        <v>1.1</v>
      </c>
      <c r="M96" s="12" t="n">
        <v>5.12911021960321</v>
      </c>
      <c r="N96" s="12" t="n">
        <v>10.20408097173346</v>
      </c>
      <c r="O96" s="12" t="n">
        <v>209.0561767949434</v>
      </c>
      <c r="P96" s="5" t="inlineStr">
        <is>
          <t>Normal</t>
        </is>
      </c>
      <c r="Q96" s="5" t="inlineStr">
        <is>
          <t>Turn Right</t>
        </is>
      </c>
      <c r="R96" s="12" t="n">
        <v>0.65</v>
      </c>
      <c r="S96" s="5" t="inlineStr">
        <is>
          <t>REDUCED</t>
        </is>
      </c>
      <c r="T96" s="5" t="inlineStr">
        <is>
          <t>Normal operation</t>
        </is>
      </c>
    </row>
    <row r="97">
      <c r="A97" s="7" t="n">
        <v>3800</v>
      </c>
      <c r="B97" s="8" t="n">
        <v>45979.692</v>
      </c>
      <c r="C97" s="9" t="n">
        <v>45.979692</v>
      </c>
      <c r="D97" s="9" t="n">
        <v>136.49738608</v>
      </c>
      <c r="E97" s="9" t="n">
        <v>65.63705252</v>
      </c>
      <c r="F97" s="10" t="n">
        <v>0.068953783054</v>
      </c>
      <c r="G97" s="10" t="n">
        <v>0.399520357333</v>
      </c>
      <c r="H97" s="10" t="n">
        <v>1</v>
      </c>
      <c r="I97" s="10" t="n">
        <v>0.001</v>
      </c>
      <c r="J97" s="5" t="inlineStr">
        <is>
          <t>Transition</t>
        </is>
      </c>
      <c r="K97" s="11" t="n">
        <v>15.50889988925522</v>
      </c>
      <c r="L97" s="12" t="n">
        <v>1.676700899447021</v>
      </c>
      <c r="M97" s="12" t="n">
        <v>5.086081133004487</v>
      </c>
      <c r="N97" s="12" t="n">
        <v>6.631070243106434</v>
      </c>
      <c r="O97" s="12" t="n">
        <v>205.377751793031</v>
      </c>
      <c r="P97" s="5" t="inlineStr">
        <is>
          <t>Normal</t>
        </is>
      </c>
      <c r="Q97" s="5" t="inlineStr">
        <is>
          <t>Build</t>
        </is>
      </c>
      <c r="R97" s="12" t="n">
        <v>0.49</v>
      </c>
      <c r="S97" s="5" t="inlineStr">
        <is>
          <t>REJECTED</t>
        </is>
      </c>
      <c r="T97" s="5" t="inlineStr">
        <is>
          <t>Normal operation</t>
        </is>
      </c>
    </row>
    <row r="98">
      <c r="A98" s="7" t="n">
        <v>3805</v>
      </c>
      <c r="B98" s="8" t="n">
        <v>45190.017</v>
      </c>
      <c r="C98" s="9" t="n">
        <v>45.190017</v>
      </c>
      <c r="D98" s="9" t="n">
        <v>136.5783489</v>
      </c>
      <c r="E98" s="9" t="n">
        <v>65.564576</v>
      </c>
      <c r="F98" s="10" t="n">
        <v>0.06947620986899999</v>
      </c>
      <c r="G98" s="10" t="n">
        <v>0.492746650075</v>
      </c>
      <c r="H98" s="10" t="n">
        <v>1</v>
      </c>
      <c r="I98" s="10" t="n">
        <v>0.001</v>
      </c>
      <c r="J98" s="5" t="inlineStr">
        <is>
          <t>Shale-prone</t>
        </is>
      </c>
      <c r="K98" s="11" t="n">
        <v>17.12329680371485</v>
      </c>
      <c r="L98" s="12" t="n">
        <v>1.282713116781265</v>
      </c>
      <c r="M98" s="12" t="n">
        <v>6.077517807167255</v>
      </c>
      <c r="N98" s="12" t="n">
        <v>7.808098027958416</v>
      </c>
      <c r="O98" s="12" t="n">
        <v>202.5786644544661</v>
      </c>
      <c r="P98" s="5" t="inlineStr">
        <is>
          <t>Caution</t>
        </is>
      </c>
      <c r="Q98" s="5" t="inlineStr">
        <is>
          <t>Turn Right</t>
        </is>
      </c>
      <c r="R98" s="12" t="n">
        <v>0.86</v>
      </c>
      <c r="S98" s="5" t="inlineStr">
        <is>
          <t>ACCEPTED</t>
        </is>
      </c>
      <c r="T98" s="5" t="inlineStr">
        <is>
          <t>DLS exceeds normal range</t>
        </is>
      </c>
    </row>
    <row r="99">
      <c r="A99" s="7" t="n">
        <v>3810</v>
      </c>
      <c r="B99" s="8" t="n">
        <v>48461.382</v>
      </c>
      <c r="C99" s="9" t="n">
        <v>48.461382</v>
      </c>
      <c r="D99" s="9" t="n">
        <v>136.53358508</v>
      </c>
      <c r="E99" s="9" t="n">
        <v>65.58179272</v>
      </c>
      <c r="F99" s="10" t="n">
        <v>0.07103397055299999</v>
      </c>
      <c r="G99" s="10" t="n">
        <v>0.543509387627</v>
      </c>
      <c r="H99" s="10" t="n">
        <v>1</v>
      </c>
      <c r="I99" s="10" t="n">
        <v>0.001</v>
      </c>
      <c r="J99" s="5" t="inlineStr">
        <is>
          <t>Shale-prone</t>
        </is>
      </c>
      <c r="K99" s="11" t="n">
        <v>17.68990657187521</v>
      </c>
      <c r="L99" s="12" t="n">
        <v>1.774555096777466</v>
      </c>
      <c r="M99" s="12" t="n">
        <v>5.989442785961844</v>
      </c>
      <c r="N99" s="12" t="n">
        <v>6.942327076312604</v>
      </c>
      <c r="O99" s="12" t="n">
        <v>200.6485731305611</v>
      </c>
      <c r="P99" s="5" t="inlineStr">
        <is>
          <t>Normal</t>
        </is>
      </c>
      <c r="Q99" s="5" t="inlineStr">
        <is>
          <t>Turn Right</t>
        </is>
      </c>
      <c r="R99" s="12" t="n">
        <v>0.58</v>
      </c>
      <c r="S99" s="5" t="inlineStr">
        <is>
          <t>REDUCED</t>
        </is>
      </c>
      <c r="T99" s="5" t="inlineStr">
        <is>
          <t>Normal operation</t>
        </is>
      </c>
    </row>
    <row r="100">
      <c r="A100" s="7" t="n">
        <v>3815</v>
      </c>
      <c r="B100" s="8" t="n">
        <v>33638.681</v>
      </c>
      <c r="C100" s="9" t="n">
        <v>33.638681</v>
      </c>
      <c r="D100" s="9" t="n">
        <v>136.36368883</v>
      </c>
      <c r="E100" s="9" t="n">
        <v>65.43861334</v>
      </c>
      <c r="F100" s="10" t="n">
        <v>0.089567993719</v>
      </c>
      <c r="G100" s="10" t="n">
        <v>0.447509022808</v>
      </c>
      <c r="H100" s="10" t="n">
        <v>1</v>
      </c>
      <c r="I100" s="10" t="n">
        <v>0.001</v>
      </c>
      <c r="J100" s="5" t="inlineStr">
        <is>
          <t>Transition</t>
        </is>
      </c>
      <c r="K100" s="11" t="n">
        <v>14.70774947308766</v>
      </c>
      <c r="L100" s="12" t="n">
        <v>1.1</v>
      </c>
      <c r="M100" s="12" t="n">
        <v>5.378645626212833</v>
      </c>
      <c r="N100" s="12" t="n">
        <v>5.373547452907259</v>
      </c>
      <c r="O100" s="12" t="n">
        <v>224.5040016651762</v>
      </c>
      <c r="P100" s="5" t="inlineStr">
        <is>
          <t>Normal</t>
        </is>
      </c>
      <c r="Q100" s="5" t="inlineStr">
        <is>
          <t>Build</t>
        </is>
      </c>
      <c r="R100" s="12" t="n">
        <v>0.63</v>
      </c>
      <c r="S100" s="5" t="inlineStr">
        <is>
          <t>REDUCED</t>
        </is>
      </c>
      <c r="T100" s="5" t="inlineStr">
        <is>
          <t>Normal operation</t>
        </is>
      </c>
    </row>
    <row r="101">
      <c r="A101" s="7" t="n">
        <v>3820</v>
      </c>
      <c r="B101" s="8" t="n">
        <v>23809.854</v>
      </c>
      <c r="C101" s="9" t="n">
        <v>23.809854</v>
      </c>
      <c r="D101" s="9" t="n">
        <v>136.40694322</v>
      </c>
      <c r="E101" s="9" t="n">
        <v>71.49315304</v>
      </c>
      <c r="F101" s="10" t="n">
        <v>0.06177637759</v>
      </c>
      <c r="G101" s="10" t="n">
        <v>0.401717612129</v>
      </c>
      <c r="H101" s="10" t="n">
        <v>1</v>
      </c>
      <c r="I101" s="10" t="n">
        <v>0.001</v>
      </c>
      <c r="J101" s="5" t="inlineStr">
        <is>
          <t>Transition</t>
        </is>
      </c>
      <c r="K101" s="11" t="n">
        <v>12.66031503052716</v>
      </c>
      <c r="L101" s="12" t="n">
        <v>1.822131313785084</v>
      </c>
      <c r="M101" s="12" t="n">
        <v>6.119364232130664</v>
      </c>
      <c r="N101" s="12" t="n">
        <v>7.641034389571516</v>
      </c>
      <c r="O101" s="12" t="n">
        <v>226.5010526127251</v>
      </c>
      <c r="P101" s="5" t="inlineStr">
        <is>
          <t>Caution</t>
        </is>
      </c>
      <c r="Q101" s="5" t="inlineStr">
        <is>
          <t>Build</t>
        </is>
      </c>
      <c r="R101" s="12" t="n">
        <v>0.78</v>
      </c>
      <c r="S101" s="5" t="inlineStr">
        <is>
          <t>ACCEPTED</t>
        </is>
      </c>
      <c r="T101" s="5" t="inlineStr">
        <is>
          <t>DLS exceeds normal range</t>
        </is>
      </c>
    </row>
    <row r="102">
      <c r="A102" s="7" t="n">
        <v>3825</v>
      </c>
      <c r="B102" s="8" t="n">
        <v>29839.424</v>
      </c>
      <c r="C102" s="9" t="n">
        <v>29.839424</v>
      </c>
      <c r="D102" s="9" t="n">
        <v>136.51695403</v>
      </c>
      <c r="E102" s="9" t="n">
        <v>70.84873062</v>
      </c>
      <c r="F102" s="10" t="n">
        <v>0.018961989696</v>
      </c>
      <c r="G102" s="10" t="n">
        <v>0.43794737865</v>
      </c>
      <c r="H102" s="10" t="n">
        <v>1</v>
      </c>
      <c r="I102" s="10" t="n">
        <v>0.001</v>
      </c>
      <c r="J102" s="5" t="inlineStr">
        <is>
          <t>Transition</t>
        </is>
      </c>
      <c r="K102" s="11" t="n">
        <v>12.58849974587235</v>
      </c>
      <c r="L102" s="12" t="n">
        <v>2.068429191188373</v>
      </c>
      <c r="M102" s="12" t="n">
        <v>5.562237391454667</v>
      </c>
      <c r="N102" s="12" t="n">
        <v>10.23388164854764</v>
      </c>
      <c r="O102" s="12" t="n">
        <v>229.5056423480732</v>
      </c>
      <c r="P102" s="5" t="inlineStr">
        <is>
          <t>Normal</t>
        </is>
      </c>
      <c r="Q102" s="5" t="inlineStr">
        <is>
          <t>Turn Right</t>
        </is>
      </c>
      <c r="R102" s="12" t="n">
        <v>0.59</v>
      </c>
      <c r="S102" s="5" t="inlineStr">
        <is>
          <t>REDUCED</t>
        </is>
      </c>
      <c r="T102" s="5" t="inlineStr">
        <is>
          <t>Normal operation</t>
        </is>
      </c>
    </row>
    <row r="103">
      <c r="A103" s="7" t="n">
        <v>3830</v>
      </c>
      <c r="B103" s="8" t="n">
        <v>27483.212</v>
      </c>
      <c r="C103" s="9" t="n">
        <v>27.483212</v>
      </c>
      <c r="D103" s="9" t="n">
        <v>136.62077686</v>
      </c>
      <c r="E103" s="9" t="n">
        <v>71.55141076000001</v>
      </c>
      <c r="F103" s="10" t="n">
        <v>0.075792397114</v>
      </c>
      <c r="G103" s="10" t="n">
        <v>0.693671084089</v>
      </c>
      <c r="H103" s="10" t="n">
        <v>1.00903837443</v>
      </c>
      <c r="I103" s="10" t="n">
        <v>0.001</v>
      </c>
      <c r="J103" s="5" t="inlineStr">
        <is>
          <t>Shale-prone</t>
        </is>
      </c>
      <c r="K103" s="11" t="n">
        <v>13.14986682075194</v>
      </c>
      <c r="L103" s="12" t="n">
        <v>1.1</v>
      </c>
      <c r="M103" s="12" t="n">
        <v>5.803731914076994</v>
      </c>
      <c r="N103" s="12" t="n">
        <v>4.355303776433178</v>
      </c>
      <c r="O103" s="12" t="n">
        <v>225.5780374199315</v>
      </c>
      <c r="P103" s="5" t="inlineStr">
        <is>
          <t>Normal</t>
        </is>
      </c>
      <c r="Q103" s="5" t="inlineStr">
        <is>
          <t>Build</t>
        </is>
      </c>
      <c r="R103" s="12" t="n">
        <v>0.75</v>
      </c>
      <c r="S103" s="5" t="inlineStr">
        <is>
          <t>ACCEPTED</t>
        </is>
      </c>
      <c r="T103" s="5" t="inlineStr">
        <is>
          <t>Normal operation</t>
        </is>
      </c>
    </row>
    <row r="104">
      <c r="A104" s="7" t="n">
        <v>3835</v>
      </c>
      <c r="B104" s="8" t="n">
        <v>35711.047</v>
      </c>
      <c r="C104" s="9" t="n">
        <v>35.711047</v>
      </c>
      <c r="D104" s="9" t="n">
        <v>136.67133935</v>
      </c>
      <c r="E104" s="9" t="n">
        <v>71.33131374</v>
      </c>
      <c r="F104" s="10" t="n">
        <v>0.279345581926</v>
      </c>
      <c r="G104" s="10" t="n">
        <v>1</v>
      </c>
      <c r="H104" s="10" t="n">
        <v>0.399762706428</v>
      </c>
      <c r="I104" s="10" t="n">
        <v>0.001</v>
      </c>
      <c r="J104" s="5" t="inlineStr">
        <is>
          <t>Shale-prone</t>
        </is>
      </c>
      <c r="K104" s="11" t="n">
        <v>14.74107442620953</v>
      </c>
      <c r="L104" s="12" t="n">
        <v>1.84328771922531</v>
      </c>
      <c r="M104" s="12" t="n">
        <v>7.381091408890077</v>
      </c>
      <c r="N104" s="12" t="n">
        <v>6.483986762729113</v>
      </c>
      <c r="O104" s="12" t="n">
        <v>244.1792369835777</v>
      </c>
      <c r="P104" s="5" t="inlineStr">
        <is>
          <t>Caution</t>
        </is>
      </c>
      <c r="Q104" s="5" t="inlineStr">
        <is>
          <t>Build</t>
        </is>
      </c>
      <c r="R104" s="12" t="n">
        <v>0.89</v>
      </c>
      <c r="S104" s="5" t="inlineStr">
        <is>
          <t>ACCEPTED</t>
        </is>
      </c>
      <c r="T104" s="5" t="inlineStr">
        <is>
          <t>DLS exceeds normal range</t>
        </is>
      </c>
    </row>
    <row r="105">
      <c r="A105" s="7" t="n">
        <v>3840</v>
      </c>
      <c r="B105" s="8" t="n">
        <v>55441.037</v>
      </c>
      <c r="C105" s="9" t="n">
        <v>55.44103699999999</v>
      </c>
      <c r="D105" s="9" t="n">
        <v>136.57365669</v>
      </c>
      <c r="E105" s="9" t="n">
        <v>65.49571158000001</v>
      </c>
      <c r="F105" s="10" t="n">
        <v>0.2152172972</v>
      </c>
      <c r="G105" s="10" t="n">
        <v>0.9999873966740001</v>
      </c>
      <c r="H105" s="10" t="n">
        <v>0.53481489162</v>
      </c>
      <c r="I105" s="10" t="n">
        <v>0.001</v>
      </c>
      <c r="J105" s="5" t="inlineStr">
        <is>
          <t>Shale-prone</t>
        </is>
      </c>
      <c r="K105" s="11" t="n">
        <v>17.91028353340526</v>
      </c>
      <c r="L105" s="12" t="n">
        <v>2.261557806311913</v>
      </c>
      <c r="M105" s="12" t="n">
        <v>7.135770089436749</v>
      </c>
      <c r="N105" s="12" t="n">
        <v>7.137204085493399</v>
      </c>
      <c r="O105" s="12" t="n">
        <v>228.6170102025075</v>
      </c>
      <c r="P105" s="5" t="inlineStr">
        <is>
          <t>Caution</t>
        </is>
      </c>
      <c r="Q105" s="5" t="inlineStr">
        <is>
          <t>Build</t>
        </is>
      </c>
      <c r="R105" s="12" t="n">
        <v>0.84</v>
      </c>
      <c r="S105" s="5" t="inlineStr">
        <is>
          <t>ACCEPTED</t>
        </is>
      </c>
      <c r="T105" s="5" t="inlineStr">
        <is>
          <t>DLS exceeds normal range</t>
        </is>
      </c>
    </row>
    <row r="106">
      <c r="A106" s="7" t="n">
        <v>3845</v>
      </c>
      <c r="B106" s="8" t="n">
        <v>69828.84</v>
      </c>
      <c r="C106" s="9" t="n">
        <v>69.82884</v>
      </c>
      <c r="D106" s="9" t="n">
        <v>136.59539658</v>
      </c>
      <c r="E106" s="9" t="n">
        <v>65.6936522</v>
      </c>
      <c r="F106" s="10" t="n">
        <v>0.270294667186</v>
      </c>
      <c r="G106" s="10" t="n">
        <v>1</v>
      </c>
      <c r="H106" s="10" t="n">
        <v>0.356510544643</v>
      </c>
      <c r="I106" s="10" t="n">
        <v>0.001</v>
      </c>
      <c r="J106" s="5" t="inlineStr">
        <is>
          <t>Shale-prone</t>
        </is>
      </c>
      <c r="K106" s="11" t="n">
        <v>21.19750322650727</v>
      </c>
      <c r="L106" s="12" t="n">
        <v>1.1</v>
      </c>
      <c r="M106" s="12" t="n">
        <v>5.044604146236898</v>
      </c>
      <c r="N106" s="12" t="n">
        <v>6.243046644851997</v>
      </c>
      <c r="O106" s="12" t="n">
        <v>246.4523519019972</v>
      </c>
      <c r="P106" s="5" t="inlineStr">
        <is>
          <t>Normal</t>
        </is>
      </c>
      <c r="Q106" s="5" t="inlineStr">
        <is>
          <t>Build</t>
        </is>
      </c>
      <c r="R106" s="12" t="n">
        <v>0.61</v>
      </c>
      <c r="S106" s="5" t="inlineStr">
        <is>
          <t>REDUCED</t>
        </is>
      </c>
      <c r="T106" s="5" t="inlineStr">
        <is>
          <t>Normal operation</t>
        </is>
      </c>
    </row>
    <row r="107">
      <c r="A107" s="7" t="n">
        <v>3850</v>
      </c>
      <c r="B107" s="8" t="n">
        <v>60725.977</v>
      </c>
      <c r="C107" s="9" t="n">
        <v>60.725977</v>
      </c>
      <c r="D107" s="9" t="n">
        <v>136.45007467</v>
      </c>
      <c r="E107" s="9" t="n">
        <v>65.6216644</v>
      </c>
      <c r="F107" s="10" t="n">
        <v>0.264957007905</v>
      </c>
      <c r="G107" s="10" t="n">
        <v>1</v>
      </c>
      <c r="H107" s="10" t="n">
        <v>0.351393473784</v>
      </c>
      <c r="I107" s="10" t="n">
        <v>0.001</v>
      </c>
      <c r="J107" s="5" t="inlineStr">
        <is>
          <t>Shale-prone</t>
        </is>
      </c>
      <c r="K107" s="11" t="n">
        <v>20.08862642240937</v>
      </c>
      <c r="L107" s="12" t="n">
        <v>2.479560469550475</v>
      </c>
      <c r="M107" s="12" t="n">
        <v>6.768717947194389</v>
      </c>
      <c r="N107" s="12" t="n">
        <v>5.939438722040957</v>
      </c>
      <c r="O107" s="12" t="n">
        <v>240.0366893503586</v>
      </c>
      <c r="P107" s="5" t="inlineStr">
        <is>
          <t>Caution</t>
        </is>
      </c>
      <c r="Q107" s="5" t="inlineStr">
        <is>
          <t>Build</t>
        </is>
      </c>
      <c r="R107" s="12" t="n">
        <v>0.5600000000000001</v>
      </c>
      <c r="S107" s="5" t="inlineStr">
        <is>
          <t>REDUCED</t>
        </is>
      </c>
      <c r="T107" s="5" t="inlineStr">
        <is>
          <t>DLS exceeds normal range</t>
        </is>
      </c>
    </row>
    <row r="108">
      <c r="A108" s="7" t="n">
        <v>3855</v>
      </c>
      <c r="B108" s="8" t="n">
        <v>36845.539</v>
      </c>
      <c r="C108" s="9" t="n">
        <v>36.845539</v>
      </c>
      <c r="D108" s="9" t="n">
        <v>136.50758327</v>
      </c>
      <c r="E108" s="9" t="n">
        <v>71.50251498</v>
      </c>
      <c r="F108" s="10" t="n">
        <v>0.221582889753</v>
      </c>
      <c r="G108" s="10" t="n">
        <v>1</v>
      </c>
      <c r="H108" s="10" t="n">
        <v>0.529283964005</v>
      </c>
      <c r="I108" s="10" t="n">
        <v>0.001</v>
      </c>
      <c r="J108" s="5" t="inlineStr">
        <is>
          <t>Shale-prone</t>
        </is>
      </c>
      <c r="K108" s="11" t="n">
        <v>17.17863245831312</v>
      </c>
      <c r="L108" s="12" t="n">
        <v>1.865319314589362</v>
      </c>
      <c r="M108" s="12" t="n">
        <v>6.774505749477258</v>
      </c>
      <c r="N108" s="12" t="n">
        <v>4.535932222330118</v>
      </c>
      <c r="O108" s="12" t="n">
        <v>237.9376543194089</v>
      </c>
      <c r="P108" s="5" t="inlineStr">
        <is>
          <t>Caution</t>
        </is>
      </c>
      <c r="Q108" s="5" t="inlineStr">
        <is>
          <t>Build</t>
        </is>
      </c>
      <c r="R108" s="12" t="n">
        <v>0.5600000000000001</v>
      </c>
      <c r="S108" s="5" t="inlineStr">
        <is>
          <t>REDUCED</t>
        </is>
      </c>
      <c r="T108" s="5" t="inlineStr">
        <is>
          <t>DLS exceeds normal range</t>
        </is>
      </c>
    </row>
    <row r="109">
      <c r="A109" s="7" t="n">
        <v>3860</v>
      </c>
      <c r="B109" s="8" t="n">
        <v>29158.2879999999</v>
      </c>
      <c r="C109" s="9" t="n">
        <v>29.1582879999999</v>
      </c>
      <c r="D109" s="9" t="n">
        <v>136.54500484</v>
      </c>
      <c r="E109" s="9" t="n">
        <v>71.56501948</v>
      </c>
      <c r="F109" s="10" t="n">
        <v>0.181004889101</v>
      </c>
      <c r="G109" s="10" t="n">
        <v>1</v>
      </c>
      <c r="H109" s="10" t="n">
        <v>0.60400105322</v>
      </c>
      <c r="I109" s="10" t="n">
        <v>0.001</v>
      </c>
      <c r="J109" s="5" t="inlineStr">
        <is>
          <t>Shale-prone</t>
        </is>
      </c>
      <c r="K109" s="11" t="n">
        <v>14.05317265948166</v>
      </c>
      <c r="L109" s="12" t="n">
        <v>1.314544190678379</v>
      </c>
      <c r="M109" s="12" t="n">
        <v>5.227026624017284</v>
      </c>
      <c r="N109" s="12" t="n">
        <v>6.665944565130172</v>
      </c>
      <c r="O109" s="12" t="n">
        <v>253.605469728233</v>
      </c>
      <c r="P109" s="5" t="inlineStr">
        <is>
          <t>Normal</t>
        </is>
      </c>
      <c r="Q109" s="5" t="inlineStr">
        <is>
          <t>Build</t>
        </is>
      </c>
      <c r="R109" s="12" t="n">
        <v>0.59</v>
      </c>
      <c r="S109" s="5" t="inlineStr">
        <is>
          <t>REDUCED</t>
        </is>
      </c>
      <c r="T109" s="5" t="inlineStr">
        <is>
          <t>Normal operation</t>
        </is>
      </c>
    </row>
    <row r="110">
      <c r="A110" s="7" t="n">
        <v>3865</v>
      </c>
      <c r="B110" s="8" t="n">
        <v>44807.529</v>
      </c>
      <c r="C110" s="9" t="n">
        <v>44.807529</v>
      </c>
      <c r="D110" s="9" t="n">
        <v>136.55223781</v>
      </c>
      <c r="E110" s="9" t="n">
        <v>71.31871443999999</v>
      </c>
      <c r="F110" s="10" t="n">
        <v>0.151296763648</v>
      </c>
      <c r="G110" s="10" t="n">
        <v>1</v>
      </c>
      <c r="H110" s="10" t="n">
        <v>0.817337784743</v>
      </c>
      <c r="I110" s="10" t="n">
        <v>0.001</v>
      </c>
      <c r="J110" s="5" t="inlineStr">
        <is>
          <t>Shale-prone</t>
        </is>
      </c>
      <c r="K110" s="11" t="n">
        <v>17.01437910213614</v>
      </c>
      <c r="L110" s="12" t="n">
        <v>1.632673151947724</v>
      </c>
      <c r="M110" s="12" t="n">
        <v>6.82069902937141</v>
      </c>
      <c r="N110" s="12" t="n">
        <v>5.517936933685523</v>
      </c>
      <c r="O110" s="12" t="n">
        <v>255.486686678984</v>
      </c>
      <c r="P110" s="5" t="inlineStr">
        <is>
          <t>Caution</t>
        </is>
      </c>
      <c r="Q110" s="5" t="inlineStr">
        <is>
          <t>Build</t>
        </is>
      </c>
      <c r="R110" s="12" t="n">
        <v>0.67</v>
      </c>
      <c r="S110" s="5" t="inlineStr">
        <is>
          <t>REDUCED</t>
        </is>
      </c>
      <c r="T110" s="5" t="inlineStr">
        <is>
          <t>DLS exceeds normal range</t>
        </is>
      </c>
    </row>
    <row r="111">
      <c r="A111" s="7" t="n">
        <v>3870</v>
      </c>
      <c r="B111" s="8" t="n">
        <v>58069.453</v>
      </c>
      <c r="C111" s="9" t="n">
        <v>58.069453</v>
      </c>
      <c r="D111" s="9" t="n">
        <v>136.56929232</v>
      </c>
      <c r="E111" s="9" t="n">
        <v>71.46392823999999</v>
      </c>
      <c r="F111" s="10" t="n">
        <v>0.147881452969</v>
      </c>
      <c r="G111" s="10" t="n">
        <v>1</v>
      </c>
      <c r="H111" s="10" t="n">
        <v>0.794250437916</v>
      </c>
      <c r="I111" s="10" t="n">
        <v>0.001</v>
      </c>
      <c r="J111" s="5" t="inlineStr">
        <is>
          <t>Shale-prone</t>
        </is>
      </c>
      <c r="K111" s="11" t="n">
        <v>19.12153743379997</v>
      </c>
      <c r="L111" s="12" t="n">
        <v>1.933580187135644</v>
      </c>
      <c r="M111" s="12" t="n">
        <v>7.415851686626893</v>
      </c>
      <c r="N111" s="12" t="n">
        <v>3.793240191832379</v>
      </c>
      <c r="O111" s="12" t="n">
        <v>258.7104081116314</v>
      </c>
      <c r="P111" s="5" t="inlineStr">
        <is>
          <t>Caution</t>
        </is>
      </c>
      <c r="Q111" s="5" t="inlineStr">
        <is>
          <t>Build</t>
        </is>
      </c>
      <c r="R111" s="12" t="n">
        <v>0.63</v>
      </c>
      <c r="S111" s="5" t="inlineStr">
        <is>
          <t>REDUCED</t>
        </is>
      </c>
      <c r="T111" s="5" t="inlineStr">
        <is>
          <t>DLS exceeds normal range</t>
        </is>
      </c>
    </row>
    <row r="112">
      <c r="A112" s="7" t="n">
        <v>3875</v>
      </c>
      <c r="B112" s="8" t="n">
        <v>42989.009</v>
      </c>
      <c r="C112" s="9" t="n">
        <v>42.989009</v>
      </c>
      <c r="D112" s="9" t="n">
        <v>136.58015202</v>
      </c>
      <c r="E112" s="9" t="n">
        <v>71.54680482000001</v>
      </c>
      <c r="F112" s="10" t="n">
        <v>0.006269834799</v>
      </c>
      <c r="G112" s="10" t="n">
        <v>1.000000000088</v>
      </c>
      <c r="H112" s="10" t="n">
        <v>1.013334866808</v>
      </c>
      <c r="I112" s="10" t="n">
        <v>0.001</v>
      </c>
      <c r="J112" s="5" t="inlineStr">
        <is>
          <t>Shale-prone</t>
        </is>
      </c>
      <c r="K112" s="11" t="n">
        <v>14.50359233913006</v>
      </c>
      <c r="L112" s="12" t="n">
        <v>1.697242641792082</v>
      </c>
      <c r="M112" s="12" t="n">
        <v>5.30708780456696</v>
      </c>
      <c r="N112" s="12" t="n">
        <v>8.331516599470618</v>
      </c>
      <c r="O112" s="12" t="n">
        <v>259.7329392780713</v>
      </c>
      <c r="P112" s="5" t="inlineStr">
        <is>
          <t>Normal</t>
        </is>
      </c>
      <c r="Q112" s="5" t="inlineStr">
        <is>
          <t>Build</t>
        </is>
      </c>
      <c r="R112" s="12" t="n">
        <v>0.47</v>
      </c>
      <c r="S112" s="5" t="inlineStr">
        <is>
          <t>REJECTED</t>
        </is>
      </c>
      <c r="T112" s="5" t="inlineStr">
        <is>
          <t>Normal operation</t>
        </is>
      </c>
    </row>
    <row r="113">
      <c r="A113" s="7" t="n">
        <v>3880</v>
      </c>
      <c r="B113" s="8" t="n">
        <v>63292.935</v>
      </c>
      <c r="C113" s="9" t="n">
        <v>63.292935</v>
      </c>
      <c r="D113" s="9" t="n">
        <v>136.57761126</v>
      </c>
      <c r="E113" s="9" t="n">
        <v>65.60065436000001</v>
      </c>
      <c r="F113" s="10" t="n">
        <v>0.056055725275</v>
      </c>
      <c r="G113" s="10" t="n">
        <v>0.782642128889</v>
      </c>
      <c r="H113" s="10" t="n">
        <v>1</v>
      </c>
      <c r="I113" s="10" t="n">
        <v>0.001</v>
      </c>
      <c r="J113" s="5" t="inlineStr">
        <is>
          <t>Shale-prone</t>
        </is>
      </c>
      <c r="K113" s="11" t="n">
        <v>20.1301807817377</v>
      </c>
      <c r="L113" s="12" t="n">
        <v>1.923990436298721</v>
      </c>
      <c r="M113" s="12" t="n">
        <v>5.49052584658246</v>
      </c>
      <c r="N113" s="12" t="n">
        <v>8.162856583095692</v>
      </c>
      <c r="O113" s="12" t="n">
        <v>262.3386556081051</v>
      </c>
      <c r="P113" s="5" t="inlineStr">
        <is>
          <t>Normal</t>
        </is>
      </c>
      <c r="Q113" s="5" t="inlineStr">
        <is>
          <t>Build</t>
        </is>
      </c>
      <c r="R113" s="12" t="n">
        <v>0.49</v>
      </c>
      <c r="S113" s="5" t="inlineStr">
        <is>
          <t>REJECTED</t>
        </is>
      </c>
      <c r="T113" s="5" t="inlineStr">
        <is>
          <t>Normal operation</t>
        </is>
      </c>
    </row>
    <row r="114">
      <c r="A114" s="7" t="n">
        <v>3885</v>
      </c>
      <c r="B114" s="8" t="n">
        <v>64154.2129999999</v>
      </c>
      <c r="C114" s="9" t="n">
        <v>64.1542129999999</v>
      </c>
      <c r="D114" s="9" t="n">
        <v>136.54103661</v>
      </c>
      <c r="E114" s="9" t="n">
        <v>65.68984166</v>
      </c>
      <c r="F114" s="10" t="n">
        <v>0.089573438368</v>
      </c>
      <c r="G114" s="10" t="n">
        <v>0.759587355097</v>
      </c>
      <c r="H114" s="10" t="n">
        <v>1</v>
      </c>
      <c r="I114" s="10" t="n">
        <v>0.001</v>
      </c>
      <c r="J114" s="5" t="inlineStr">
        <is>
          <t>Shale-prone</t>
        </is>
      </c>
      <c r="K114" s="11" t="n">
        <v>20.37533251811725</v>
      </c>
      <c r="L114" s="12" t="n">
        <v>1.20886993939111</v>
      </c>
      <c r="M114" s="12" t="n">
        <v>7.057847397056193</v>
      </c>
      <c r="N114" s="12" t="n">
        <v>7.122522591705711</v>
      </c>
      <c r="O114" s="12" t="n">
        <v>290.4054788329298</v>
      </c>
      <c r="P114" s="5" t="inlineStr">
        <is>
          <t>Caution</t>
        </is>
      </c>
      <c r="Q114" s="5" t="inlineStr">
        <is>
          <t>Build</t>
        </is>
      </c>
      <c r="R114" s="12" t="n">
        <v>0.59</v>
      </c>
      <c r="S114" s="5" t="inlineStr">
        <is>
          <t>REDUCED</t>
        </is>
      </c>
      <c r="T114" s="5" t="inlineStr">
        <is>
          <t>DLS exceeds normal range</t>
        </is>
      </c>
    </row>
    <row r="115">
      <c r="A115" s="7" t="n">
        <v>3890</v>
      </c>
      <c r="B115" s="8" t="n">
        <v>56690.941</v>
      </c>
      <c r="C115" s="9" t="n">
        <v>56.690941</v>
      </c>
      <c r="D115" s="9" t="n">
        <v>136.53868709</v>
      </c>
      <c r="E115" s="9" t="n">
        <v>65.59663718</v>
      </c>
      <c r="F115" s="10" t="n">
        <v>0.061272519987</v>
      </c>
      <c r="G115" s="10" t="n">
        <v>0.6912038606549999</v>
      </c>
      <c r="H115" s="10" t="n">
        <v>1</v>
      </c>
      <c r="I115" s="10" t="n">
        <v>0.001</v>
      </c>
      <c r="J115" s="5" t="inlineStr">
        <is>
          <t>Shale-prone</t>
        </is>
      </c>
      <c r="K115" s="11" t="n">
        <v>21.40568729228441</v>
      </c>
      <c r="L115" s="12" t="n">
        <v>1.742986803777678</v>
      </c>
      <c r="M115" s="12" t="n">
        <v>6.479888983222682</v>
      </c>
      <c r="N115" s="12" t="n">
        <v>7.491568720964991</v>
      </c>
      <c r="O115" s="12" t="n">
        <v>282.1640033184185</v>
      </c>
      <c r="P115" s="5" t="inlineStr">
        <is>
          <t>Caution</t>
        </is>
      </c>
      <c r="Q115" s="5" t="inlineStr">
        <is>
          <t>Build</t>
        </is>
      </c>
      <c r="R115" s="12" t="n">
        <v>0.71</v>
      </c>
      <c r="S115" s="5" t="inlineStr">
        <is>
          <t>ACCEPTED</t>
        </is>
      </c>
      <c r="T115" s="5" t="inlineStr">
        <is>
          <t>DLS exceeds normal range</t>
        </is>
      </c>
    </row>
    <row r="116">
      <c r="A116" s="7" t="n">
        <v>3895</v>
      </c>
      <c r="B116" s="8" t="n">
        <v>38115.807</v>
      </c>
      <c r="C116" s="9" t="n">
        <v>38.115807</v>
      </c>
      <c r="D116" s="9" t="n">
        <v>136.7166564</v>
      </c>
      <c r="E116" s="9" t="n">
        <v>80</v>
      </c>
      <c r="F116" s="10" t="n">
        <v>0.106132880235</v>
      </c>
      <c r="G116" s="10" t="n">
        <v>0.736869296436</v>
      </c>
      <c r="H116" s="10" t="n">
        <v>0.999999361565</v>
      </c>
      <c r="I116" s="10" t="n">
        <v>0.001</v>
      </c>
      <c r="J116" s="5" t="inlineStr">
        <is>
          <t>Shale-prone</t>
        </is>
      </c>
      <c r="K116" s="11" t="n">
        <v>15.3337153495043</v>
      </c>
      <c r="L116" s="12" t="n">
        <v>1.1</v>
      </c>
      <c r="M116" s="12" t="n">
        <v>6.722631395296411</v>
      </c>
      <c r="N116" s="12" t="n">
        <v>8.728793347326077</v>
      </c>
      <c r="O116" s="12" t="n">
        <v>281.3336669084747</v>
      </c>
      <c r="P116" s="5" t="inlineStr">
        <is>
          <t>Caution</t>
        </is>
      </c>
      <c r="Q116" s="5" t="inlineStr">
        <is>
          <t>Build</t>
        </is>
      </c>
      <c r="R116" s="12" t="n">
        <v>0.73</v>
      </c>
      <c r="S116" s="5" t="inlineStr">
        <is>
          <t>ACCEPTED</t>
        </is>
      </c>
      <c r="T116" s="5" t="inlineStr">
        <is>
          <t>DLS exceeds normal range</t>
        </is>
      </c>
    </row>
    <row r="117">
      <c r="A117" s="7" t="n">
        <v>3900</v>
      </c>
      <c r="B117" s="8" t="n">
        <v>31893.992</v>
      </c>
      <c r="C117" s="9" t="n">
        <v>31.893992</v>
      </c>
      <c r="D117" s="9" t="n">
        <v>136.4669516</v>
      </c>
      <c r="E117" s="9" t="n">
        <v>71.488133</v>
      </c>
      <c r="F117" s="10" t="n">
        <v>0.119349873438</v>
      </c>
      <c r="G117" s="10" t="n">
        <v>0.64863952384</v>
      </c>
      <c r="H117" s="10" t="n">
        <v>1.00000000042</v>
      </c>
      <c r="I117" s="10" t="n">
        <v>0.001</v>
      </c>
      <c r="J117" s="5" t="inlineStr">
        <is>
          <t>Shale-prone</t>
        </is>
      </c>
      <c r="K117" s="11" t="n">
        <v>14.68329731943157</v>
      </c>
      <c r="L117" s="12" t="n">
        <v>1.605499229939137</v>
      </c>
      <c r="M117" s="12" t="n">
        <v>6.572461271513606</v>
      </c>
      <c r="N117" s="12" t="n">
        <v>7.762229789105624</v>
      </c>
      <c r="O117" s="12" t="n">
        <v>278.9804578291938</v>
      </c>
      <c r="P117" s="5" t="inlineStr">
        <is>
          <t>Caution</t>
        </is>
      </c>
      <c r="Q117" s="5" t="inlineStr">
        <is>
          <t>Build</t>
        </is>
      </c>
      <c r="R117" s="12" t="n">
        <v>0.67</v>
      </c>
      <c r="S117" s="5" t="inlineStr">
        <is>
          <t>REDUCED</t>
        </is>
      </c>
      <c r="T117" s="5" t="inlineStr">
        <is>
          <t>DLS exceeds normal range</t>
        </is>
      </c>
    </row>
    <row r="118">
      <c r="A118" s="7" t="n">
        <v>3905</v>
      </c>
      <c r="B118" s="8" t="n">
        <v>28826.265</v>
      </c>
      <c r="C118" s="9" t="n">
        <v>28.826265</v>
      </c>
      <c r="D118" s="9" t="n">
        <v>136.61092117</v>
      </c>
      <c r="E118" s="9" t="n">
        <v>71.59817536</v>
      </c>
      <c r="F118" s="10" t="n">
        <v>0.116232220673</v>
      </c>
      <c r="G118" s="10" t="n">
        <v>0.636108402917</v>
      </c>
      <c r="H118" s="10" t="n">
        <v>1.000166441519</v>
      </c>
      <c r="I118" s="10" t="n">
        <v>0.001</v>
      </c>
      <c r="J118" s="5" t="inlineStr">
        <is>
          <t>Shale-prone</t>
        </is>
      </c>
      <c r="K118" s="11" t="n">
        <v>13.78281686661015</v>
      </c>
      <c r="L118" s="12" t="n">
        <v>1.217085255682253</v>
      </c>
      <c r="M118" s="12" t="n">
        <v>6.630866808852068</v>
      </c>
      <c r="N118" s="12" t="n">
        <v>8.784219360982094</v>
      </c>
      <c r="O118" s="12" t="n">
        <v>291.6531172324179</v>
      </c>
      <c r="P118" s="5" t="inlineStr">
        <is>
          <t>Caution</t>
        </is>
      </c>
      <c r="Q118" s="5" t="inlineStr">
        <is>
          <t>Build</t>
        </is>
      </c>
      <c r="R118" s="12" t="n">
        <v>0.8100000000000001</v>
      </c>
      <c r="S118" s="5" t="inlineStr">
        <is>
          <t>ACCEPTED</t>
        </is>
      </c>
      <c r="T118" s="5" t="inlineStr">
        <is>
          <t>DLS exceeds normal range</t>
        </is>
      </c>
    </row>
    <row r="119">
      <c r="A119" s="7" t="n">
        <v>3910</v>
      </c>
      <c r="B119" s="8" t="n">
        <v>26972.945</v>
      </c>
      <c r="C119" s="9" t="n">
        <v>26.972945</v>
      </c>
      <c r="D119" s="9" t="n">
        <v>136.56993434</v>
      </c>
      <c r="E119" s="9" t="n">
        <v>72.27709435999999</v>
      </c>
      <c r="F119" s="10" t="n">
        <v>0.08728696589399999</v>
      </c>
      <c r="G119" s="10" t="n">
        <v>0.929936987263</v>
      </c>
      <c r="H119" s="10" t="n">
        <v>1</v>
      </c>
      <c r="I119" s="10" t="n">
        <v>0.001</v>
      </c>
      <c r="J119" s="5" t="inlineStr">
        <is>
          <t>Shale-prone</t>
        </is>
      </c>
      <c r="K119" s="11" t="n">
        <v>12.30798496909482</v>
      </c>
      <c r="L119" s="12" t="n">
        <v>1.299590328131014</v>
      </c>
      <c r="M119" s="12" t="n">
        <v>5.275231975867207</v>
      </c>
      <c r="N119" s="12" t="n">
        <v>7.360677983154651</v>
      </c>
      <c r="O119" s="12" t="n">
        <v>290.4315983562511</v>
      </c>
      <c r="P119" s="5" t="inlineStr">
        <is>
          <t>Normal</t>
        </is>
      </c>
      <c r="Q119" s="5" t="inlineStr">
        <is>
          <t>Build</t>
        </is>
      </c>
      <c r="R119" s="12" t="n">
        <v>0.8100000000000001</v>
      </c>
      <c r="S119" s="5" t="inlineStr">
        <is>
          <t>ACCEPTED</t>
        </is>
      </c>
      <c r="T119" s="5" t="inlineStr">
        <is>
          <t>Normal operation</t>
        </is>
      </c>
    </row>
    <row r="120">
      <c r="A120" s="7" t="n">
        <v>3915</v>
      </c>
      <c r="B120" s="8" t="n">
        <v>21042.7329999999</v>
      </c>
      <c r="C120" s="9" t="n">
        <v>21.0427329999999</v>
      </c>
      <c r="D120" s="9" t="n">
        <v>136.5239821</v>
      </c>
      <c r="E120" s="9" t="n">
        <v>71.44429252</v>
      </c>
      <c r="F120" s="10" t="n">
        <v>0.062475335586</v>
      </c>
      <c r="G120" s="10" t="n">
        <v>0.758338368535</v>
      </c>
      <c r="H120" s="10" t="n">
        <v>1</v>
      </c>
      <c r="I120" s="10" t="n">
        <v>0.001</v>
      </c>
      <c r="J120" s="5" t="inlineStr">
        <is>
          <t>Shale-prone</t>
        </is>
      </c>
      <c r="K120" s="11" t="n">
        <v>13.52879158221629</v>
      </c>
      <c r="L120" s="12" t="n">
        <v>2.265685655853114</v>
      </c>
      <c r="M120" s="12" t="n">
        <v>7.192141679833245</v>
      </c>
      <c r="N120" s="12" t="n">
        <v>9.591392008935058</v>
      </c>
      <c r="O120" s="12" t="n">
        <v>289.1239902120247</v>
      </c>
      <c r="P120" s="5" t="inlineStr">
        <is>
          <t>Caution</t>
        </is>
      </c>
      <c r="Q120" s="5" t="inlineStr">
        <is>
          <t>Hold</t>
        </is>
      </c>
      <c r="R120" s="12" t="n">
        <v>0.64</v>
      </c>
      <c r="S120" s="5" t="inlineStr">
        <is>
          <t>REDUCED</t>
        </is>
      </c>
      <c r="T120" s="5" t="inlineStr">
        <is>
          <t>DLS exceeds normal range</t>
        </is>
      </c>
    </row>
    <row r="121">
      <c r="A121" s="7" t="n">
        <v>3920</v>
      </c>
      <c r="B121" s="8" t="n">
        <v>37453.208</v>
      </c>
      <c r="C121" s="9" t="n">
        <v>37.453208</v>
      </c>
      <c r="D121" s="9" t="n">
        <v>136.59152397</v>
      </c>
      <c r="E121" s="9" t="n">
        <v>65.66293664</v>
      </c>
      <c r="F121" s="10" t="n">
        <v>0.037360369223</v>
      </c>
      <c r="G121" s="10" t="n">
        <v>0.919411862135</v>
      </c>
      <c r="H121" s="10" t="n">
        <v>1</v>
      </c>
      <c r="I121" s="10" t="n">
        <v>0.001</v>
      </c>
      <c r="J121" s="5" t="inlineStr">
        <is>
          <t>Shale-prone</t>
        </is>
      </c>
      <c r="K121" s="11" t="n">
        <v>16.15614306089746</v>
      </c>
      <c r="L121" s="12" t="n">
        <v>2.194741959091192</v>
      </c>
      <c r="M121" s="12" t="n">
        <v>7.307614385776144</v>
      </c>
      <c r="N121" s="12" t="n">
        <v>8.441242896999688</v>
      </c>
      <c r="O121" s="12" t="n">
        <v>289.3661152476785</v>
      </c>
      <c r="P121" s="5" t="inlineStr">
        <is>
          <t>Caution</t>
        </is>
      </c>
      <c r="Q121" s="5" t="inlineStr">
        <is>
          <t>Build</t>
        </is>
      </c>
      <c r="R121" s="12" t="n">
        <v>0.47</v>
      </c>
      <c r="S121" s="5" t="inlineStr">
        <is>
          <t>REJECTED</t>
        </is>
      </c>
      <c r="T121" s="5" t="inlineStr">
        <is>
          <t>DLS exceeds normal range</t>
        </is>
      </c>
    </row>
    <row r="122">
      <c r="A122" s="7" t="n">
        <v>3925</v>
      </c>
      <c r="B122" s="8" t="n">
        <v>45694.986</v>
      </c>
      <c r="C122" s="9" t="n">
        <v>45.694986</v>
      </c>
      <c r="D122" s="9" t="n">
        <v>136.53255375</v>
      </c>
      <c r="E122" s="9" t="n">
        <v>65.58179272</v>
      </c>
      <c r="F122" s="10" t="n">
        <v>0.054432394666</v>
      </c>
      <c r="G122" s="10" t="n">
        <v>0.761076825759</v>
      </c>
      <c r="H122" s="10" t="n">
        <v>1</v>
      </c>
      <c r="I122" s="10" t="n">
        <v>0.001</v>
      </c>
      <c r="J122" s="5" t="inlineStr">
        <is>
          <t>Shale-prone</t>
        </is>
      </c>
      <c r="K122" s="11" t="n">
        <v>17.71108319371685</v>
      </c>
      <c r="L122" s="12" t="n">
        <v>1.958477679244517</v>
      </c>
      <c r="M122" s="12" t="n">
        <v>6.205860541639526</v>
      </c>
      <c r="N122" s="12" t="n">
        <v>8.414897284473103</v>
      </c>
      <c r="O122" s="12" t="n">
        <v>295.0514698136773</v>
      </c>
      <c r="P122" s="5" t="inlineStr">
        <is>
          <t>Caution</t>
        </is>
      </c>
      <c r="Q122" s="5" t="inlineStr">
        <is>
          <t>Build</t>
        </is>
      </c>
      <c r="R122" s="12" t="n">
        <v>0.6899999999999999</v>
      </c>
      <c r="S122" s="5" t="inlineStr">
        <is>
          <t>REDUCED</t>
        </is>
      </c>
      <c r="T122" s="5" t="inlineStr">
        <is>
          <t>DLS exceeds normal range</t>
        </is>
      </c>
    </row>
    <row r="123">
      <c r="A123" s="7" t="n">
        <v>3940</v>
      </c>
      <c r="B123" s="8" t="n">
        <v>34610.165</v>
      </c>
      <c r="C123" s="9" t="n">
        <v>34.610165</v>
      </c>
      <c r="D123" s="9" t="n">
        <v>136.36387324</v>
      </c>
      <c r="E123" s="9" t="n">
        <v>71.48474066</v>
      </c>
      <c r="F123" s="10" t="n">
        <v>0.088467270145</v>
      </c>
      <c r="G123" s="10" t="n">
        <v>0.382698020937</v>
      </c>
      <c r="H123" s="10" t="n">
        <v>1</v>
      </c>
      <c r="I123" s="10" t="n">
        <v>0.001</v>
      </c>
      <c r="J123" s="5" t="inlineStr">
        <is>
          <t>Transition</t>
        </is>
      </c>
      <c r="K123" s="11" t="n">
        <v>13.97192547945599</v>
      </c>
      <c r="L123" s="12" t="n">
        <v>1.124766745310436</v>
      </c>
      <c r="M123" s="12" t="n">
        <v>6.405527507570898</v>
      </c>
      <c r="N123" s="12" t="n">
        <v>6.926775255954636</v>
      </c>
      <c r="O123" s="12" t="n">
        <v>273.9466703351521</v>
      </c>
      <c r="P123" s="5" t="inlineStr">
        <is>
          <t>Caution</t>
        </is>
      </c>
      <c r="Q123" s="5" t="inlineStr">
        <is>
          <t>Hold</t>
        </is>
      </c>
      <c r="R123" s="12" t="n">
        <v>0.61</v>
      </c>
      <c r="S123" s="5" t="inlineStr">
        <is>
          <t>REDUCED</t>
        </is>
      </c>
      <c r="T123" s="5" t="inlineStr">
        <is>
          <t>DLS exceeds normal range</t>
        </is>
      </c>
    </row>
    <row r="124">
      <c r="A124" s="7" t="n">
        <v>3945</v>
      </c>
      <c r="B124" s="8" t="n">
        <v>51089.58</v>
      </c>
      <c r="C124" s="9" t="n">
        <v>51.08958000000001</v>
      </c>
      <c r="D124" s="9" t="n">
        <v>138.8842935</v>
      </c>
      <c r="E124" s="9" t="n">
        <v>70.73143044</v>
      </c>
      <c r="F124" s="10" t="n">
        <v>0.025875740233</v>
      </c>
      <c r="G124" s="10" t="n">
        <v>0.2559360056</v>
      </c>
      <c r="H124" s="10" t="n">
        <v>1</v>
      </c>
      <c r="I124" s="10" t="n">
        <v>0.001</v>
      </c>
      <c r="J124" s="5" t="inlineStr">
        <is>
          <t>Transition</t>
        </is>
      </c>
      <c r="K124" s="11" t="n">
        <v>19.31502806265601</v>
      </c>
      <c r="L124" s="12" t="n">
        <v>1.504959859649547</v>
      </c>
      <c r="M124" s="12" t="n">
        <v>5.231945845439274</v>
      </c>
      <c r="N124" s="12" t="n">
        <v>9.08930558637077</v>
      </c>
      <c r="O124" s="12" t="n">
        <v>310.7927761033718</v>
      </c>
      <c r="P124" s="5" t="inlineStr">
        <is>
          <t>Normal</t>
        </is>
      </c>
      <c r="Q124" s="5" t="inlineStr">
        <is>
          <t>Build</t>
        </is>
      </c>
      <c r="R124" s="12" t="n">
        <v>0.48</v>
      </c>
      <c r="S124" s="5" t="inlineStr">
        <is>
          <t>REJECTED</t>
        </is>
      </c>
      <c r="T124" s="5" t="inlineStr">
        <is>
          <t>Normal operation</t>
        </is>
      </c>
    </row>
    <row r="125">
      <c r="A125" s="7" t="n">
        <v>3950</v>
      </c>
      <c r="B125" s="8" t="n">
        <v>58211.3259999999</v>
      </c>
      <c r="C125" s="9" t="n">
        <v>58.2113259999999</v>
      </c>
      <c r="D125" s="9" t="n">
        <v>136.75095666</v>
      </c>
      <c r="E125" s="9" t="n">
        <v>59.95529056</v>
      </c>
      <c r="F125" s="10" t="n">
        <v>0.059274281376</v>
      </c>
      <c r="G125" s="10" t="n">
        <v>0.345554229599</v>
      </c>
      <c r="H125" s="10" t="n">
        <v>1</v>
      </c>
      <c r="I125" s="10" t="n">
        <v>0.001</v>
      </c>
      <c r="J125" s="5" t="inlineStr">
        <is>
          <t>Transition</t>
        </is>
      </c>
      <c r="K125" s="11" t="n">
        <v>17.82022579974968</v>
      </c>
      <c r="L125" s="12" t="n">
        <v>2.2544178729898</v>
      </c>
      <c r="M125" s="12" t="n">
        <v>6.884528657539506</v>
      </c>
      <c r="N125" s="12" t="n">
        <v>7.77312988753403</v>
      </c>
      <c r="O125" s="12" t="n">
        <v>306.7088180057361</v>
      </c>
      <c r="P125" s="5" t="inlineStr">
        <is>
          <t>Caution</t>
        </is>
      </c>
      <c r="Q125" s="5" t="inlineStr">
        <is>
          <t>Turn Left</t>
        </is>
      </c>
      <c r="R125" s="12" t="n">
        <v>0.9399999999999999</v>
      </c>
      <c r="S125" s="5" t="inlineStr">
        <is>
          <t>ACCEPTED</t>
        </is>
      </c>
      <c r="T125" s="5" t="inlineStr">
        <is>
          <t>DLS exceeds normal range</t>
        </is>
      </c>
    </row>
    <row r="126">
      <c r="A126" s="7" t="n">
        <v>3955</v>
      </c>
      <c r="B126" s="8" t="n">
        <v>86371.098</v>
      </c>
      <c r="C126" s="9" t="n">
        <v>86.371098</v>
      </c>
      <c r="D126" s="9" t="n">
        <v>131.2646772</v>
      </c>
      <c r="E126" s="9" t="n">
        <v>78.79977124</v>
      </c>
      <c r="F126" s="10" t="n">
        <v>0.190590669935</v>
      </c>
      <c r="G126" s="10" t="n">
        <v>0.166917416261</v>
      </c>
      <c r="H126" s="10" t="n">
        <v>1.000000299934</v>
      </c>
      <c r="I126" s="10" t="n">
        <v>96.627077624146</v>
      </c>
      <c r="J126" s="5" t="inlineStr">
        <is>
          <t>Cleaner sand</t>
        </is>
      </c>
      <c r="K126" s="11" t="n">
        <v>24.98812503624319</v>
      </c>
      <c r="L126" s="12" t="n">
        <v>1.729441287683553</v>
      </c>
      <c r="M126" s="12" t="n">
        <v>6.94683295352514</v>
      </c>
      <c r="N126" s="12" t="n">
        <v>8.163312040288044</v>
      </c>
      <c r="O126" s="12" t="n">
        <v>330.2894756960891</v>
      </c>
      <c r="P126" s="5" t="inlineStr">
        <is>
          <t>Caution</t>
        </is>
      </c>
      <c r="Q126" s="5" t="inlineStr">
        <is>
          <t>Turn Left</t>
        </is>
      </c>
      <c r="R126" s="12" t="n">
        <v>0.6</v>
      </c>
      <c r="S126" s="5" t="inlineStr">
        <is>
          <t>REDUCED</t>
        </is>
      </c>
      <c r="T126" s="5" t="inlineStr">
        <is>
          <t>DLS exceeds normal range</t>
        </is>
      </c>
    </row>
    <row r="127">
      <c r="A127" s="7" t="n">
        <v>3960</v>
      </c>
      <c r="B127" s="8" t="n">
        <v>32453.181</v>
      </c>
      <c r="C127" s="9" t="n">
        <v>32.453181</v>
      </c>
      <c r="D127" s="9" t="n">
        <v>115.07246836</v>
      </c>
      <c r="E127" s="9" t="n">
        <v>30</v>
      </c>
      <c r="F127" s="10" t="n">
        <v>0.220887929399</v>
      </c>
      <c r="G127" s="10" t="n">
        <v>0.255504085168</v>
      </c>
      <c r="H127" s="10" t="n">
        <v>0.967894914156</v>
      </c>
      <c r="I127" s="10" t="n">
        <v>29.314979559799</v>
      </c>
      <c r="J127" s="5" t="inlineStr">
        <is>
          <t>Transition</t>
        </is>
      </c>
      <c r="K127" s="11" t="n">
        <v>16.67505255354301</v>
      </c>
      <c r="L127" s="12" t="n">
        <v>2.79647147459103</v>
      </c>
      <c r="M127" s="12" t="n">
        <v>6.455264408522907</v>
      </c>
      <c r="N127" s="12" t="n">
        <v>8.0714995724624</v>
      </c>
      <c r="O127" s="12" t="n">
        <v>317.1796203114414</v>
      </c>
      <c r="P127" s="5" t="inlineStr">
        <is>
          <t>Caution</t>
        </is>
      </c>
      <c r="Q127" s="5" t="inlineStr">
        <is>
          <t>Turn Left</t>
        </is>
      </c>
      <c r="R127" s="12" t="n">
        <v>0.74</v>
      </c>
      <c r="S127" s="5" t="inlineStr">
        <is>
          <t>ACCEPTED</t>
        </is>
      </c>
      <c r="T127" s="5" t="inlineStr">
        <is>
          <t>High vibration detected</t>
        </is>
      </c>
    </row>
    <row r="128">
      <c r="A128" s="7" t="n">
        <v>3965</v>
      </c>
      <c r="B128" s="8" t="n">
        <v>32720.292</v>
      </c>
      <c r="C128" s="9" t="n">
        <v>32.720292</v>
      </c>
      <c r="D128" s="9" t="n">
        <v>136.59213184</v>
      </c>
      <c r="E128" s="9" t="n">
        <v>65.6470188</v>
      </c>
      <c r="F128" s="10" t="n">
        <v>0.222342725834</v>
      </c>
      <c r="G128" s="10" t="n">
        <v>0.262688137182</v>
      </c>
      <c r="H128" s="10" t="n">
        <v>1.002692643923</v>
      </c>
      <c r="I128" s="10" t="n">
        <v>25.999092722627</v>
      </c>
      <c r="J128" s="5" t="inlineStr">
        <is>
          <t>Transition</t>
        </is>
      </c>
      <c r="K128" s="11" t="n">
        <v>13.54318809229023</v>
      </c>
      <c r="L128" s="12" t="n">
        <v>1.852725741303242</v>
      </c>
      <c r="M128" s="12" t="n">
        <v>7.420097154296005</v>
      </c>
      <c r="N128" s="12" t="n">
        <v>7.883790782302633</v>
      </c>
      <c r="O128" s="12" t="n">
        <v>307.5664080551939</v>
      </c>
      <c r="P128" s="5" t="inlineStr">
        <is>
          <t>Caution</t>
        </is>
      </c>
      <c r="Q128" s="5" t="inlineStr">
        <is>
          <t>Build</t>
        </is>
      </c>
      <c r="R128" s="12" t="n">
        <v>0.67</v>
      </c>
      <c r="S128" s="5" t="inlineStr">
        <is>
          <t>REDUCED</t>
        </is>
      </c>
      <c r="T128" s="5" t="inlineStr">
        <is>
          <t>DLS exceeds normal range</t>
        </is>
      </c>
    </row>
    <row r="129">
      <c r="A129" s="7" t="n">
        <v>3970</v>
      </c>
      <c r="B129" s="8" t="n">
        <v>29672.6</v>
      </c>
      <c r="C129" s="9" t="n">
        <v>29.6726</v>
      </c>
      <c r="D129" s="9" t="n">
        <v>136.49705141</v>
      </c>
      <c r="E129" s="9" t="n">
        <v>65.74126631999999</v>
      </c>
      <c r="F129" s="10" t="n">
        <v>0.230255179488</v>
      </c>
      <c r="G129" s="10" t="n">
        <v>0.183799879788</v>
      </c>
      <c r="H129" s="10" t="n">
        <v>0.997732135576</v>
      </c>
      <c r="I129" s="10" t="n">
        <v>154.285112655435</v>
      </c>
      <c r="J129" s="5" t="inlineStr">
        <is>
          <t>Cleaner sand</t>
        </is>
      </c>
      <c r="K129" s="11" t="n">
        <v>13.4068902168309</v>
      </c>
      <c r="L129" s="12" t="n">
        <v>1.754104067080115</v>
      </c>
      <c r="M129" s="12" t="n">
        <v>6.268715911456364</v>
      </c>
      <c r="N129" s="12" t="n">
        <v>12.17050732219194</v>
      </c>
      <c r="O129" s="12" t="n">
        <v>321.2662673713932</v>
      </c>
      <c r="P129" s="5" t="inlineStr">
        <is>
          <t>Caution</t>
        </is>
      </c>
      <c r="Q129" s="5" t="inlineStr">
        <is>
          <t>Turn Left</t>
        </is>
      </c>
      <c r="R129" s="12" t="n">
        <v>0.48</v>
      </c>
      <c r="S129" s="5" t="inlineStr">
        <is>
          <t>REJECTED</t>
        </is>
      </c>
      <c r="T129" s="5" t="inlineStr">
        <is>
          <t>DLS exceeds normal range</t>
        </is>
      </c>
    </row>
    <row r="130">
      <c r="A130" s="7" t="n">
        <v>3975</v>
      </c>
      <c r="B130" s="8" t="n">
        <v>43582.5329999999</v>
      </c>
      <c r="C130" s="9" t="n">
        <v>43.5825329999999</v>
      </c>
      <c r="D130" s="9" t="n">
        <v>128.74723482</v>
      </c>
      <c r="E130" s="9" t="n">
        <v>74.93195588</v>
      </c>
      <c r="F130" s="10" t="n">
        <v>0.258917863372</v>
      </c>
      <c r="G130" s="10" t="n">
        <v>0.214524312775</v>
      </c>
      <c r="H130" s="10" t="n">
        <v>0.941853701055</v>
      </c>
      <c r="I130" s="10" t="n">
        <v>137.278572447442</v>
      </c>
      <c r="J130" s="5" t="inlineStr">
        <is>
          <t>Cleaner sand</t>
        </is>
      </c>
      <c r="K130" s="11" t="n">
        <v>16.63117681921205</v>
      </c>
      <c r="L130" s="12" t="n">
        <v>1.508532932540774</v>
      </c>
      <c r="M130" s="12" t="n">
        <v>7.002790631169008</v>
      </c>
      <c r="N130" s="12" t="n">
        <v>11.27745358335309</v>
      </c>
      <c r="O130" s="12" t="n">
        <v>313.4452290261181</v>
      </c>
      <c r="P130" s="5" t="inlineStr">
        <is>
          <t>Caution</t>
        </is>
      </c>
      <c r="Q130" s="5" t="inlineStr">
        <is>
          <t>Turn Left</t>
        </is>
      </c>
      <c r="R130" s="12" t="n">
        <v>0.43</v>
      </c>
      <c r="S130" s="5" t="inlineStr">
        <is>
          <t>REJECTED</t>
        </is>
      </c>
      <c r="T130" s="5" t="inlineStr">
        <is>
          <t>DLS exceeds normal range</t>
        </is>
      </c>
    </row>
    <row r="131">
      <c r="A131" s="7" t="n">
        <v>3980</v>
      </c>
      <c r="B131" s="8" t="n">
        <v>45641.4609999999</v>
      </c>
      <c r="C131" s="9" t="n">
        <v>45.6414609999999</v>
      </c>
      <c r="D131" s="9" t="n">
        <v>136.55958006</v>
      </c>
      <c r="E131" s="9" t="n">
        <v>70.81169367999999</v>
      </c>
      <c r="F131" s="10" t="n">
        <v>0.044943206865</v>
      </c>
      <c r="G131" s="10" t="n">
        <v>0.236283338219</v>
      </c>
      <c r="H131" s="10" t="n">
        <v>0.999994036244</v>
      </c>
      <c r="I131" s="10" t="n">
        <v>1.695416166934</v>
      </c>
      <c r="J131" s="5" t="inlineStr">
        <is>
          <t>Cleaner sand</t>
        </is>
      </c>
      <c r="K131" s="11" t="n">
        <v>16.40673118747677</v>
      </c>
      <c r="L131" s="12" t="n">
        <v>1.725435043343318</v>
      </c>
      <c r="M131" s="12" t="n">
        <v>5.750266572519745</v>
      </c>
      <c r="N131" s="12" t="n">
        <v>12.18159886005398</v>
      </c>
      <c r="O131" s="12" t="n">
        <v>330.6079047582036</v>
      </c>
      <c r="P131" s="5" t="inlineStr">
        <is>
          <t>Normal</t>
        </is>
      </c>
      <c r="Q131" s="5" t="inlineStr">
        <is>
          <t>Turn Left</t>
        </is>
      </c>
      <c r="R131" s="12" t="n">
        <v>0.74</v>
      </c>
      <c r="S131" s="5" t="inlineStr">
        <is>
          <t>ACCEPTED</t>
        </is>
      </c>
      <c r="T131" s="5" t="inlineStr">
        <is>
          <t>Normal operation</t>
        </is>
      </c>
    </row>
    <row r="132">
      <c r="A132" s="7" t="n">
        <v>3985</v>
      </c>
      <c r="B132" s="8" t="n">
        <v>45390.125</v>
      </c>
      <c r="C132" s="9" t="n">
        <v>45.390125</v>
      </c>
      <c r="D132" s="9" t="n">
        <v>136.49689432</v>
      </c>
      <c r="E132" s="9" t="n">
        <v>71.53937398000001</v>
      </c>
      <c r="F132" s="10" t="n">
        <v>0.213101326531</v>
      </c>
      <c r="G132" s="10" t="n">
        <v>0.09804532206</v>
      </c>
      <c r="H132" s="10" t="n">
        <v>1</v>
      </c>
      <c r="I132" s="10" t="n">
        <v>665.637021015042</v>
      </c>
      <c r="J132" s="5" t="inlineStr">
        <is>
          <t>Cleaner sand</t>
        </is>
      </c>
      <c r="K132" s="11" t="n">
        <v>15.3133172845036</v>
      </c>
      <c r="L132" s="12" t="n">
        <v>1.585289780173534</v>
      </c>
      <c r="M132" s="12" t="n">
        <v>6.56181144472086</v>
      </c>
      <c r="N132" s="12" t="n">
        <v>8.233765886342473</v>
      </c>
      <c r="O132" s="12" t="n">
        <v>330.5709040382492</v>
      </c>
      <c r="P132" s="5" t="inlineStr">
        <is>
          <t>Caution</t>
        </is>
      </c>
      <c r="Q132" s="5" t="inlineStr">
        <is>
          <t>Turn Left</t>
        </is>
      </c>
      <c r="R132" s="12" t="n">
        <v>0.54</v>
      </c>
      <c r="S132" s="5" t="inlineStr">
        <is>
          <t>REDUCED</t>
        </is>
      </c>
      <c r="T132" s="5" t="inlineStr">
        <is>
          <t>DLS exceeds normal range</t>
        </is>
      </c>
    </row>
    <row r="133">
      <c r="A133" s="7" t="n">
        <v>3990</v>
      </c>
      <c r="B133" s="8" t="n">
        <v>55678.462</v>
      </c>
      <c r="C133" s="9" t="n">
        <v>55.678462</v>
      </c>
      <c r="D133" s="9" t="n">
        <v>136.60668657</v>
      </c>
      <c r="E133" s="9" t="n">
        <v>74.2791383</v>
      </c>
      <c r="F133" s="10" t="n">
        <v>0.204407288022</v>
      </c>
      <c r="G133" s="10" t="n">
        <v>0.137021577546</v>
      </c>
      <c r="H133" s="10" t="n">
        <v>0.999495539187</v>
      </c>
      <c r="I133" s="10" t="n">
        <v>252.338113524113</v>
      </c>
      <c r="J133" s="5" t="inlineStr">
        <is>
          <t>Cleaner sand</t>
        </is>
      </c>
      <c r="K133" s="11" t="n">
        <v>18.82479136970409</v>
      </c>
      <c r="L133" s="12" t="n">
        <v>2.006973251577409</v>
      </c>
      <c r="M133" s="12" t="n">
        <v>6.455586875849696</v>
      </c>
      <c r="N133" s="12" t="n">
        <v>10.05456759114714</v>
      </c>
      <c r="O133" s="12" t="n">
        <v>338.8423558910504</v>
      </c>
      <c r="P133" s="5" t="inlineStr">
        <is>
          <t>Caution</t>
        </is>
      </c>
      <c r="Q133" s="5" t="inlineStr">
        <is>
          <t>Turn Left</t>
        </is>
      </c>
      <c r="R133" s="12" t="n">
        <v>0.53</v>
      </c>
      <c r="S133" s="5" t="inlineStr">
        <is>
          <t>REDUCED</t>
        </is>
      </c>
      <c r="T133" s="5" t="inlineStr">
        <is>
          <t>DLS exceeds normal range</t>
        </is>
      </c>
    </row>
    <row r="134">
      <c r="A134" s="7" t="n">
        <v>3995</v>
      </c>
      <c r="B134" s="8" t="n">
        <v>65754.122</v>
      </c>
      <c r="C134" s="9" t="n">
        <v>65.75412200000001</v>
      </c>
      <c r="D134" s="9" t="n">
        <v>136.50985766</v>
      </c>
      <c r="E134" s="9" t="n">
        <v>72.23918576</v>
      </c>
      <c r="F134" s="10" t="n">
        <v>0.209105034062</v>
      </c>
      <c r="G134" s="10" t="n">
        <v>0.108711489733</v>
      </c>
      <c r="H134" s="10" t="n">
        <v>0.999999999935</v>
      </c>
      <c r="I134" s="10" t="n">
        <v>495.149713882979</v>
      </c>
      <c r="J134" s="5" t="inlineStr">
        <is>
          <t>Cleaner sand</t>
        </is>
      </c>
      <c r="K134" s="11" t="n">
        <v>19.54705646065208</v>
      </c>
      <c r="L134" s="12" t="n">
        <v>2.128784135229346</v>
      </c>
      <c r="M134" s="12" t="n">
        <v>6.789494773058894</v>
      </c>
      <c r="N134" s="12" t="n">
        <v>8.418786107995921</v>
      </c>
      <c r="O134" s="12" t="n">
        <v>322.7678671676327</v>
      </c>
      <c r="P134" s="5" t="inlineStr">
        <is>
          <t>Caution</t>
        </is>
      </c>
      <c r="Q134" s="5" t="inlineStr">
        <is>
          <t>Turn Left</t>
        </is>
      </c>
      <c r="R134" s="12" t="n">
        <v>0.93</v>
      </c>
      <c r="S134" s="5" t="inlineStr">
        <is>
          <t>ACCEPTED</t>
        </is>
      </c>
      <c r="T134" s="5" t="inlineStr">
        <is>
          <t>DLS exceeds normal range</t>
        </is>
      </c>
    </row>
    <row r="135">
      <c r="A135" s="7" t="n">
        <v>4000</v>
      </c>
      <c r="B135" s="8" t="n">
        <v>72975.35799999999</v>
      </c>
      <c r="C135" s="9" t="n">
        <v>72.975358</v>
      </c>
      <c r="D135" s="9" t="n">
        <v>136.56864347</v>
      </c>
      <c r="E135" s="9" t="n">
        <v>66.87452354</v>
      </c>
      <c r="F135" s="10" t="n">
        <v>0.201056138116</v>
      </c>
      <c r="G135" s="10" t="n">
        <v>0.092304054535</v>
      </c>
      <c r="H135" s="10" t="n">
        <v>0.99999999999</v>
      </c>
      <c r="I135" s="10" t="n">
        <v>599.320789949992</v>
      </c>
      <c r="J135" s="5" t="inlineStr">
        <is>
          <t>Cleaner sand</t>
        </is>
      </c>
      <c r="K135" s="11" t="n">
        <v>22.41109407849758</v>
      </c>
      <c r="L135" s="12" t="n">
        <v>1.274865164351105</v>
      </c>
      <c r="M135" s="12" t="n">
        <v>6.327565139697489</v>
      </c>
      <c r="N135" s="12" t="n">
        <v>9.334350984903333</v>
      </c>
      <c r="O135" s="12" t="n">
        <v>332.235515384522</v>
      </c>
      <c r="P135" s="5" t="inlineStr">
        <is>
          <t>Caution</t>
        </is>
      </c>
      <c r="Q135" s="5" t="inlineStr">
        <is>
          <t>Turn Left</t>
        </is>
      </c>
      <c r="R135" s="12" t="n">
        <v>0.65</v>
      </c>
      <c r="S135" s="5" t="inlineStr">
        <is>
          <t>REDUCED</t>
        </is>
      </c>
      <c r="T135" s="5" t="inlineStr">
        <is>
          <t>DLS exceeds normal range</t>
        </is>
      </c>
    </row>
    <row r="136">
      <c r="A136" s="7" t="n">
        <v>4005</v>
      </c>
      <c r="B136" s="8" t="n">
        <v>77870.783</v>
      </c>
      <c r="C136" s="9" t="n">
        <v>77.87078299999999</v>
      </c>
      <c r="D136" s="9" t="n">
        <v>136.58421587</v>
      </c>
      <c r="E136" s="9" t="n">
        <v>66.82329486</v>
      </c>
      <c r="F136" s="10" t="n">
        <v>0.235363161685</v>
      </c>
      <c r="G136" s="10" t="n">
        <v>0.157579875697</v>
      </c>
      <c r="H136" s="10" t="n">
        <v>0.993248230415</v>
      </c>
      <c r="I136" s="10" t="n">
        <v>290.387764812498</v>
      </c>
      <c r="J136" s="5" t="inlineStr">
        <is>
          <t>Cleaner sand</t>
        </is>
      </c>
      <c r="K136" s="11" t="n">
        <v>21.91845194408729</v>
      </c>
      <c r="L136" s="12" t="n">
        <v>1.1</v>
      </c>
      <c r="M136" s="12" t="n">
        <v>6.531706021176636</v>
      </c>
      <c r="N136" s="12" t="n">
        <v>9.183597551316236</v>
      </c>
      <c r="O136" s="12" t="n">
        <v>319.2663900610798</v>
      </c>
      <c r="P136" s="5" t="inlineStr">
        <is>
          <t>Caution</t>
        </is>
      </c>
      <c r="Q136" s="5" t="inlineStr">
        <is>
          <t>Turn Left</t>
        </is>
      </c>
      <c r="R136" s="12" t="n">
        <v>0.42</v>
      </c>
      <c r="S136" s="5" t="inlineStr">
        <is>
          <t>REJECTED</t>
        </is>
      </c>
      <c r="T136" s="5" t="inlineStr">
        <is>
          <t>DLS exceeds normal range</t>
        </is>
      </c>
    </row>
    <row r="137">
      <c r="A137" s="7" t="n">
        <v>4010</v>
      </c>
      <c r="B137" s="8" t="n">
        <v>78076.674</v>
      </c>
      <c r="C137" s="9" t="n">
        <v>78.076674</v>
      </c>
      <c r="D137" s="9" t="n">
        <v>136.56951088</v>
      </c>
      <c r="E137" s="9" t="n">
        <v>66.98637153999999</v>
      </c>
      <c r="F137" s="10" t="n">
        <v>0.200750148355</v>
      </c>
      <c r="G137" s="10" t="n">
        <v>0.13436096709</v>
      </c>
      <c r="H137" s="10" t="n">
        <v>1.000000000001</v>
      </c>
      <c r="I137" s="10" t="n">
        <v>248.250024417707</v>
      </c>
      <c r="J137" s="5" t="inlineStr">
        <is>
          <t>Cleaner sand</t>
        </is>
      </c>
      <c r="K137" s="11" t="n">
        <v>24.42567839102657</v>
      </c>
      <c r="L137" s="12" t="n">
        <v>1.1</v>
      </c>
      <c r="M137" s="12" t="n">
        <v>7.311177506964694</v>
      </c>
      <c r="N137" s="12" t="n">
        <v>12.12703014263008</v>
      </c>
      <c r="O137" s="12" t="n">
        <v>340.7521376457294</v>
      </c>
      <c r="P137" s="5" t="inlineStr">
        <is>
          <t>Caution</t>
        </is>
      </c>
      <c r="Q137" s="5" t="inlineStr">
        <is>
          <t>Turn Left</t>
        </is>
      </c>
      <c r="R137" s="12" t="n">
        <v>0.59</v>
      </c>
      <c r="S137" s="5" t="inlineStr">
        <is>
          <t>REDUCED</t>
        </is>
      </c>
      <c r="T137" s="5" t="inlineStr">
        <is>
          <t>DLS exceeds normal range</t>
        </is>
      </c>
    </row>
    <row r="138">
      <c r="A138" s="7" t="n">
        <v>4015</v>
      </c>
      <c r="B138" s="8" t="n">
        <v>62886.437</v>
      </c>
      <c r="C138" s="9" t="n">
        <v>62.886437</v>
      </c>
      <c r="D138" s="9" t="n">
        <v>136.68314842</v>
      </c>
      <c r="E138" s="9" t="n">
        <v>59.76117934</v>
      </c>
      <c r="F138" s="10" t="n">
        <v>0.20031277512</v>
      </c>
      <c r="G138" s="10" t="n">
        <v>0.137424459561</v>
      </c>
      <c r="H138" s="10" t="n">
        <v>1.000017202253</v>
      </c>
      <c r="I138" s="10" t="n">
        <v>230.788416515323</v>
      </c>
      <c r="J138" s="5" t="inlineStr">
        <is>
          <t>Cleaner sand</t>
        </is>
      </c>
      <c r="K138" s="11" t="n">
        <v>19.29867759135147</v>
      </c>
      <c r="L138" s="12" t="n">
        <v>1.908915750187146</v>
      </c>
      <c r="M138" s="12" t="n">
        <v>6.314141414870719</v>
      </c>
      <c r="N138" s="12" t="n">
        <v>10.13888065722204</v>
      </c>
      <c r="O138" s="12" t="n">
        <v>339.5434680707018</v>
      </c>
      <c r="P138" s="5" t="inlineStr">
        <is>
          <t>Caution</t>
        </is>
      </c>
      <c r="Q138" s="5" t="inlineStr">
        <is>
          <t>Turn Left</t>
        </is>
      </c>
      <c r="R138" s="12" t="n">
        <v>0.72</v>
      </c>
      <c r="S138" s="5" t="inlineStr">
        <is>
          <t>ACCEPTED</t>
        </is>
      </c>
      <c r="T138" s="5" t="inlineStr">
        <is>
          <t>DLS exceeds normal range</t>
        </is>
      </c>
    </row>
    <row r="139">
      <c r="A139" s="7" t="n">
        <v>4020</v>
      </c>
      <c r="B139" s="8" t="n">
        <v>42217.174</v>
      </c>
      <c r="C139" s="9" t="n">
        <v>42.217174</v>
      </c>
      <c r="D139" s="9" t="n">
        <v>136.67893431</v>
      </c>
      <c r="E139" s="9" t="n">
        <v>72.18959133999999</v>
      </c>
      <c r="F139" s="10" t="n">
        <v>0.20462421762</v>
      </c>
      <c r="G139" s="10" t="n">
        <v>0.139343617066</v>
      </c>
      <c r="H139" s="10" t="n">
        <v>1.00004318624</v>
      </c>
      <c r="I139" s="10" t="n">
        <v>242.063412588112</v>
      </c>
      <c r="J139" s="5" t="inlineStr">
        <is>
          <t>Cleaner sand</t>
        </is>
      </c>
      <c r="K139" s="11" t="n">
        <v>15.9583448893106</v>
      </c>
      <c r="L139" s="12" t="n">
        <v>1.119350362974802</v>
      </c>
      <c r="M139" s="12" t="n">
        <v>5.39126064340504</v>
      </c>
      <c r="N139" s="12" t="n">
        <v>12.18128067705482</v>
      </c>
      <c r="O139" s="12" t="n">
        <v>339.7255335618677</v>
      </c>
      <c r="P139" s="5" t="inlineStr">
        <is>
          <t>Normal</t>
        </is>
      </c>
      <c r="Q139" s="5" t="inlineStr">
        <is>
          <t>Turn Left</t>
        </is>
      </c>
      <c r="R139" s="12" t="n">
        <v>0.58</v>
      </c>
      <c r="S139" s="5" t="inlineStr">
        <is>
          <t>REDUCED</t>
        </is>
      </c>
      <c r="T139" s="5" t="inlineStr">
        <is>
          <t>Normal operation</t>
        </is>
      </c>
    </row>
    <row r="140">
      <c r="A140" s="7" t="n">
        <v>4025</v>
      </c>
      <c r="B140" s="8" t="n">
        <v>31794.46</v>
      </c>
      <c r="C140" s="9" t="n">
        <v>31.79446</v>
      </c>
      <c r="D140" s="9" t="n">
        <v>136.62165793</v>
      </c>
      <c r="E140" s="9" t="n">
        <v>72.27350850000001</v>
      </c>
      <c r="F140" s="10" t="n">
        <v>0.214039681988</v>
      </c>
      <c r="G140" s="10" t="n">
        <v>0.113573257822</v>
      </c>
      <c r="H140" s="10" t="n">
        <v>0.999991945256</v>
      </c>
      <c r="I140" s="10" t="n">
        <v>490.272980512765</v>
      </c>
      <c r="J140" s="5" t="inlineStr">
        <is>
          <t>Cleaner sand</t>
        </is>
      </c>
      <c r="K140" s="11" t="n">
        <v>15.17696110709715</v>
      </c>
      <c r="L140" s="12" t="n">
        <v>1.1</v>
      </c>
      <c r="M140" s="12" t="n">
        <v>8.088914589098923</v>
      </c>
      <c r="N140" s="12" t="n">
        <v>11.71615300421594</v>
      </c>
      <c r="O140" s="12" t="n">
        <v>334.9903424059922</v>
      </c>
      <c r="P140" s="5" t="inlineStr">
        <is>
          <t>Caution</t>
        </is>
      </c>
      <c r="Q140" s="5" t="inlineStr">
        <is>
          <t>Turn Left</t>
        </is>
      </c>
      <c r="R140" s="12" t="n">
        <v>0.41</v>
      </c>
      <c r="S140" s="5" t="inlineStr">
        <is>
          <t>REJECTED</t>
        </is>
      </c>
      <c r="T140" s="5" t="inlineStr">
        <is>
          <t>DLS exceeds normal range</t>
        </is>
      </c>
    </row>
    <row r="141">
      <c r="A141" s="7" t="n">
        <v>4030</v>
      </c>
      <c r="B141" s="8" t="n">
        <v>27584.207</v>
      </c>
      <c r="C141" s="9" t="n">
        <v>27.584207</v>
      </c>
      <c r="D141" s="9" t="n">
        <v>136.70150063</v>
      </c>
      <c r="E141" s="9" t="n">
        <v>72.33692074000001</v>
      </c>
      <c r="F141" s="10" t="n">
        <v>0.224000360987</v>
      </c>
      <c r="G141" s="10" t="n">
        <v>0.104591850767</v>
      </c>
      <c r="H141" s="10" t="n">
        <v>0.999796014541</v>
      </c>
      <c r="I141" s="10" t="n">
        <v>709.158934777162</v>
      </c>
      <c r="J141" s="5" t="inlineStr">
        <is>
          <t>Cleaner sand</t>
        </is>
      </c>
      <c r="K141" s="11" t="n">
        <v>12.358222991794</v>
      </c>
      <c r="L141" s="12" t="n">
        <v>1.850403516220172</v>
      </c>
      <c r="M141" s="12" t="n">
        <v>7.806890646992235</v>
      </c>
      <c r="N141" s="12" t="n">
        <v>7.188502004033807</v>
      </c>
      <c r="O141" s="12" t="n">
        <v>339.1218810003106</v>
      </c>
      <c r="P141" s="5" t="inlineStr">
        <is>
          <t>Caution</t>
        </is>
      </c>
      <c r="Q141" s="5" t="inlineStr">
        <is>
          <t>Turn Left</t>
        </is>
      </c>
      <c r="R141" s="12" t="n">
        <v>0.64</v>
      </c>
      <c r="S141" s="5" t="inlineStr">
        <is>
          <t>REDUCED</t>
        </is>
      </c>
      <c r="T141" s="5" t="inlineStr">
        <is>
          <t>DLS exceeds normal range</t>
        </is>
      </c>
    </row>
    <row r="142">
      <c r="A142" s="7" t="n">
        <v>4035</v>
      </c>
      <c r="B142" s="8" t="n">
        <v>29556.685</v>
      </c>
      <c r="C142" s="9" t="n">
        <v>29.556685</v>
      </c>
      <c r="D142" s="9" t="n">
        <v>136.6364722</v>
      </c>
      <c r="E142" s="9" t="n">
        <v>72.19360934000001</v>
      </c>
      <c r="F142" s="10" t="n">
        <v>0.230225299611</v>
      </c>
      <c r="G142" s="10" t="n">
        <v>0.113885279475</v>
      </c>
      <c r="H142" s="10" t="n">
        <v>0.9999999999019999</v>
      </c>
      <c r="I142" s="10" t="n">
        <v>661.4133173310749</v>
      </c>
      <c r="J142" s="5" t="inlineStr">
        <is>
          <t>Cleaner sand</t>
        </is>
      </c>
      <c r="K142" s="11" t="n">
        <v>14.17932860565352</v>
      </c>
      <c r="L142" s="12" t="n">
        <v>2.881569763542067</v>
      </c>
      <c r="M142" s="12" t="n">
        <v>5.680151093289956</v>
      </c>
      <c r="N142" s="12" t="n">
        <v>2.658037388811089</v>
      </c>
      <c r="O142" s="12" t="n">
        <v>344.5</v>
      </c>
      <c r="P142" s="5" t="inlineStr">
        <is>
          <t>Normal</t>
        </is>
      </c>
      <c r="Q142" s="5" t="inlineStr">
        <is>
          <t>Build</t>
        </is>
      </c>
      <c r="R142" s="12" t="n">
        <v>0.46</v>
      </c>
      <c r="S142" s="5" t="inlineStr">
        <is>
          <t>REJECTED</t>
        </is>
      </c>
      <c r="T142" s="5" t="inlineStr">
        <is>
          <t>High vibration detected</t>
        </is>
      </c>
    </row>
    <row r="143">
      <c r="A143" s="7" t="n">
        <v>4040</v>
      </c>
      <c r="B143" s="8" t="n">
        <v>34031.7279999999</v>
      </c>
      <c r="C143" s="9" t="n">
        <v>34.0317279999999</v>
      </c>
      <c r="D143" s="9" t="n">
        <v>136.60969177</v>
      </c>
      <c r="E143" s="9" t="n">
        <v>71.51479694000001</v>
      </c>
      <c r="F143" s="10" t="n">
        <v>0.153503760973</v>
      </c>
      <c r="G143" s="10" t="n">
        <v>0.187056768754</v>
      </c>
      <c r="H143" s="10" t="n">
        <v>1.004728641376</v>
      </c>
      <c r="I143" s="10" t="n">
        <v>35.65380065566</v>
      </c>
      <c r="J143" s="5" t="inlineStr">
        <is>
          <t>Cleaner sand</t>
        </is>
      </c>
      <c r="K143" s="11" t="n">
        <v>16.08206861442314</v>
      </c>
      <c r="L143" s="12" t="n">
        <v>1.657025253345452</v>
      </c>
      <c r="M143" s="12" t="n">
        <v>7.277714492752335</v>
      </c>
      <c r="N143" s="12" t="n">
        <v>6.60586134321073</v>
      </c>
      <c r="O143" s="12" t="n">
        <v>331.5038136958804</v>
      </c>
      <c r="P143" s="5" t="inlineStr">
        <is>
          <t>Caution</t>
        </is>
      </c>
      <c r="Q143" s="5" t="inlineStr">
        <is>
          <t>Turn Left</t>
        </is>
      </c>
      <c r="R143" s="12" t="n">
        <v>0.74</v>
      </c>
      <c r="S143" s="5" t="inlineStr">
        <is>
          <t>ACCEPTED</t>
        </is>
      </c>
      <c r="T143" s="5" t="inlineStr">
        <is>
          <t>DLS exceeds normal range</t>
        </is>
      </c>
    </row>
    <row r="144">
      <c r="A144" s="7" t="n">
        <v>4045</v>
      </c>
      <c r="B144" s="8" t="n">
        <v>42810.41</v>
      </c>
      <c r="C144" s="9" t="n">
        <v>42.81041</v>
      </c>
      <c r="D144" s="9" t="n">
        <v>136.57820547</v>
      </c>
      <c r="E144" s="9" t="n">
        <v>69.63000234</v>
      </c>
      <c r="F144" s="10" t="n">
        <v>0.174020621916</v>
      </c>
      <c r="G144" s="10" t="n">
        <v>0.253722647227</v>
      </c>
      <c r="H144" s="10" t="n">
        <v>0.992155150922</v>
      </c>
      <c r="I144" s="10" t="n">
        <v>12.817196626397</v>
      </c>
      <c r="J144" s="5" t="inlineStr">
        <is>
          <t>Transition</t>
        </is>
      </c>
      <c r="K144" s="11" t="n">
        <v>14.78203210122181</v>
      </c>
      <c r="L144" s="12" t="n">
        <v>2.070860479481305</v>
      </c>
      <c r="M144" s="12" t="n">
        <v>6.335307768370868</v>
      </c>
      <c r="N144" s="12" t="n">
        <v>6.846774515603987</v>
      </c>
      <c r="O144" s="12" t="n">
        <v>335.123641663583</v>
      </c>
      <c r="P144" s="5" t="inlineStr">
        <is>
          <t>Caution</t>
        </is>
      </c>
      <c r="Q144" s="5" t="inlineStr">
        <is>
          <t>Turn Left</t>
        </is>
      </c>
      <c r="R144" s="12" t="n">
        <v>0.74</v>
      </c>
      <c r="S144" s="5" t="inlineStr">
        <is>
          <t>ACCEPTED</t>
        </is>
      </c>
      <c r="T144" s="5" t="inlineStr">
        <is>
          <t>DLS exceeds normal range</t>
        </is>
      </c>
    </row>
    <row r="145">
      <c r="A145" s="7" t="n">
        <v>4050</v>
      </c>
      <c r="B145" s="8" t="n">
        <v>48561.64</v>
      </c>
      <c r="C145" s="9" t="n">
        <v>48.56164</v>
      </c>
      <c r="D145" s="9" t="n">
        <v>135.21806561</v>
      </c>
      <c r="E145" s="9" t="n">
        <v>66.42999826</v>
      </c>
      <c r="F145" s="10" t="n">
        <v>0.210908789431</v>
      </c>
      <c r="G145" s="10" t="n">
        <v>0.160896767492</v>
      </c>
      <c r="H145" s="10" t="n">
        <v>1.000000004947</v>
      </c>
      <c r="I145" s="10" t="n">
        <v>164.661677688832</v>
      </c>
      <c r="J145" s="5" t="inlineStr">
        <is>
          <t>Cleaner sand</t>
        </is>
      </c>
      <c r="K145" s="11" t="n">
        <v>17.63192477269924</v>
      </c>
      <c r="L145" s="12" t="n">
        <v>1.700096385688307</v>
      </c>
      <c r="M145" s="12" t="n">
        <v>6.959968250095599</v>
      </c>
      <c r="N145" s="12" t="n">
        <v>4.478552147243057</v>
      </c>
      <c r="O145" s="12" t="n">
        <v>322.055345023532</v>
      </c>
      <c r="P145" s="5" t="inlineStr">
        <is>
          <t>Caution</t>
        </is>
      </c>
      <c r="Q145" s="5" t="inlineStr">
        <is>
          <t>Build</t>
        </is>
      </c>
      <c r="R145" s="12" t="n">
        <v>0.42</v>
      </c>
      <c r="S145" s="5" t="inlineStr">
        <is>
          <t>REJECTED</t>
        </is>
      </c>
      <c r="T145" s="5" t="inlineStr">
        <is>
          <t>DLS exceeds normal range</t>
        </is>
      </c>
    </row>
    <row r="146">
      <c r="A146" s="7" t="n">
        <v>4055</v>
      </c>
      <c r="B146" s="8" t="n">
        <v>48997.73</v>
      </c>
      <c r="C146" s="9" t="n">
        <v>48.99773</v>
      </c>
      <c r="D146" s="9" t="n">
        <v>135.54921133</v>
      </c>
      <c r="E146" s="9" t="n">
        <v>66.85668853999999</v>
      </c>
      <c r="F146" s="10" t="n">
        <v>0.228535420338</v>
      </c>
      <c r="G146" s="10" t="n">
        <v>0.239818519074</v>
      </c>
      <c r="H146" s="10" t="n">
        <v>1</v>
      </c>
      <c r="I146" s="10" t="n">
        <v>46.740324971876</v>
      </c>
      <c r="J146" s="5" t="inlineStr">
        <is>
          <t>Cleaner sand</t>
        </is>
      </c>
      <c r="K146" s="11" t="n">
        <v>17.78738009069836</v>
      </c>
      <c r="L146" s="12" t="n">
        <v>1.61154406993634</v>
      </c>
      <c r="M146" s="12" t="n">
        <v>6.995799467026375</v>
      </c>
      <c r="N146" s="12" t="n">
        <v>7.440761226688459</v>
      </c>
      <c r="O146" s="12" t="n">
        <v>323.2128248062572</v>
      </c>
      <c r="P146" s="5" t="inlineStr">
        <is>
          <t>Caution</t>
        </is>
      </c>
      <c r="Q146" s="5" t="inlineStr">
        <is>
          <t>Turn Left</t>
        </is>
      </c>
      <c r="R146" s="12" t="n">
        <v>0.5600000000000001</v>
      </c>
      <c r="S146" s="5" t="inlineStr">
        <is>
          <t>REDUCED</t>
        </is>
      </c>
      <c r="T146" s="5" t="inlineStr">
        <is>
          <t>DLS exceeds normal range</t>
        </is>
      </c>
    </row>
    <row r="147">
      <c r="A147" s="7" t="n">
        <v>4060</v>
      </c>
      <c r="B147" s="8" t="n">
        <v>54226.759</v>
      </c>
      <c r="C147" s="9" t="n">
        <v>54.226759</v>
      </c>
      <c r="D147" s="9" t="n">
        <v>136.46568122</v>
      </c>
      <c r="E147" s="9" t="n">
        <v>72.28152974</v>
      </c>
      <c r="F147" s="10" t="n">
        <v>0.156014219206</v>
      </c>
      <c r="G147" s="10" t="n">
        <v>0.258400143111</v>
      </c>
      <c r="H147" s="10" t="n">
        <v>1</v>
      </c>
      <c r="I147" s="10" t="n">
        <v>7.762621677646</v>
      </c>
      <c r="J147" s="5" t="inlineStr">
        <is>
          <t>Transition</t>
        </is>
      </c>
      <c r="K147" s="11" t="n">
        <v>19.27105168911255</v>
      </c>
      <c r="L147" s="12" t="n">
        <v>2.110347476664006</v>
      </c>
      <c r="M147" s="12" t="n">
        <v>6.583885655281081</v>
      </c>
      <c r="N147" s="12" t="n">
        <v>6.956019593802611</v>
      </c>
      <c r="O147" s="12" t="n">
        <v>331.6548180155115</v>
      </c>
      <c r="P147" s="5" t="inlineStr">
        <is>
          <t>Caution</t>
        </is>
      </c>
      <c r="Q147" s="5" t="inlineStr">
        <is>
          <t>Build</t>
        </is>
      </c>
      <c r="R147" s="12" t="n">
        <v>0.63</v>
      </c>
      <c r="S147" s="5" t="inlineStr">
        <is>
          <t>REDUCED</t>
        </is>
      </c>
      <c r="T147" s="5" t="inlineStr">
        <is>
          <t>DLS exceeds normal range</t>
        </is>
      </c>
    </row>
    <row r="148">
      <c r="A148" s="7" t="n">
        <v>4065</v>
      </c>
      <c r="B148" s="8" t="n">
        <v>71081.75199999999</v>
      </c>
      <c r="C148" s="9" t="n">
        <v>71.08175199999999</v>
      </c>
      <c r="D148" s="9" t="n">
        <v>143.72080091</v>
      </c>
      <c r="E148" s="9" t="n">
        <v>72.22793044000001</v>
      </c>
      <c r="F148" s="10" t="n">
        <v>0.087738425289</v>
      </c>
      <c r="G148" s="10" t="n">
        <v>0.29158569139</v>
      </c>
      <c r="H148" s="10" t="n">
        <v>1</v>
      </c>
      <c r="I148" s="10" t="n">
        <v>0.162924655105</v>
      </c>
      <c r="J148" s="5" t="inlineStr">
        <is>
          <t>Transition</t>
        </is>
      </c>
      <c r="K148" s="11" t="n">
        <v>20.35227584072122</v>
      </c>
      <c r="L148" s="12" t="n">
        <v>1.517765473347561</v>
      </c>
      <c r="M148" s="12" t="n">
        <v>6.155140409899423</v>
      </c>
      <c r="N148" s="12" t="n">
        <v>6.610855256524233</v>
      </c>
      <c r="O148" s="12" t="n">
        <v>340.3032950469868</v>
      </c>
      <c r="P148" s="5" t="inlineStr">
        <is>
          <t>Caution</t>
        </is>
      </c>
      <c r="Q148" s="5" t="inlineStr">
        <is>
          <t>Build</t>
        </is>
      </c>
      <c r="R148" s="12" t="n">
        <v>0.7</v>
      </c>
      <c r="S148" s="5" t="inlineStr">
        <is>
          <t>ACCEPTED</t>
        </is>
      </c>
      <c r="T148" s="5" t="inlineStr">
        <is>
          <t>DLS exceeds normal range</t>
        </is>
      </c>
    </row>
    <row r="149">
      <c r="A149" s="7" t="n">
        <v>4070</v>
      </c>
      <c r="B149" s="8" t="n">
        <v>72756.6259999999</v>
      </c>
      <c r="C149" s="9" t="n">
        <v>72.7566259999999</v>
      </c>
      <c r="D149" s="9" t="n">
        <v>159.34650906</v>
      </c>
      <c r="E149" s="9" t="n">
        <v>72.35976348</v>
      </c>
      <c r="F149" s="10" t="n">
        <v>0.019423712523</v>
      </c>
      <c r="G149" s="10" t="n">
        <v>0.503174812731</v>
      </c>
      <c r="H149" s="10" t="n">
        <v>1.000000022321</v>
      </c>
      <c r="I149" s="10" t="n">
        <v>-0.001124069812</v>
      </c>
      <c r="J149" s="5" t="inlineStr">
        <is>
          <t>Shale-prone</t>
        </is>
      </c>
      <c r="K149" s="11" t="n">
        <v>20.57681548947892</v>
      </c>
      <c r="L149" s="12" t="n">
        <v>1.791022233895232</v>
      </c>
      <c r="M149" s="12" t="n">
        <v>6.240209748510856</v>
      </c>
      <c r="N149" s="12" t="n">
        <v>6.223001513995225</v>
      </c>
      <c r="O149" s="12" t="n">
        <v>325.0986221523387</v>
      </c>
      <c r="P149" s="5" t="inlineStr">
        <is>
          <t>Caution</t>
        </is>
      </c>
      <c r="Q149" s="5" t="inlineStr">
        <is>
          <t>Build</t>
        </is>
      </c>
      <c r="R149" s="12" t="n">
        <v>0.5600000000000001</v>
      </c>
      <c r="S149" s="5" t="inlineStr">
        <is>
          <t>REDUCED</t>
        </is>
      </c>
      <c r="T149" s="5" t="inlineStr">
        <is>
          <t>DLS exceeds normal range</t>
        </is>
      </c>
    </row>
    <row r="150">
      <c r="A150" s="7" t="n">
        <v>4075</v>
      </c>
      <c r="B150" s="8" t="n">
        <v>83526.789</v>
      </c>
      <c r="C150" s="9" t="n">
        <v>83.52678900000001</v>
      </c>
      <c r="D150" s="9" t="n">
        <v>159.36615897</v>
      </c>
      <c r="E150" s="9" t="n">
        <v>72.14818954</v>
      </c>
      <c r="F150" s="10" t="n">
        <v>0.054682587226</v>
      </c>
      <c r="G150" s="10" t="n">
        <v>0.689640067439</v>
      </c>
      <c r="H150" s="10" t="n">
        <v>1.000097983836</v>
      </c>
      <c r="I150" s="10" t="n">
        <v>0.00226149794</v>
      </c>
      <c r="J150" s="5" t="inlineStr">
        <is>
          <t>Shale-prone</t>
        </is>
      </c>
      <c r="K150" s="11" t="n">
        <v>24.40007956932019</v>
      </c>
      <c r="L150" s="12" t="n">
        <v>1.817631925036047</v>
      </c>
      <c r="M150" s="12" t="n">
        <v>6.069926609890616</v>
      </c>
      <c r="N150" s="12" t="n">
        <v>6.746818612770031</v>
      </c>
      <c r="O150" s="12" t="n">
        <v>323.5146653079577</v>
      </c>
      <c r="P150" s="5" t="inlineStr">
        <is>
          <t>Caution</t>
        </is>
      </c>
      <c r="Q150" s="5" t="inlineStr">
        <is>
          <t>Turn Left</t>
        </is>
      </c>
      <c r="R150" s="12" t="n">
        <v>0.5600000000000001</v>
      </c>
      <c r="S150" s="5" t="inlineStr">
        <is>
          <t>REDUCED</t>
        </is>
      </c>
      <c r="T150" s="5" t="inlineStr">
        <is>
          <t>DLS exceeds normal range</t>
        </is>
      </c>
    </row>
    <row r="151">
      <c r="A151" s="7" t="n">
        <v>4080</v>
      </c>
      <c r="B151" s="8" t="n">
        <v>84496.549</v>
      </c>
      <c r="C151" s="9" t="n">
        <v>84.496549</v>
      </c>
      <c r="D151" s="9" t="n">
        <v>159.4581659</v>
      </c>
      <c r="E151" s="9" t="n">
        <v>68.67373720000001</v>
      </c>
      <c r="F151" s="10" t="n">
        <v>0.022857</v>
      </c>
      <c r="G151" s="10" t="n">
        <v>0.640100014644</v>
      </c>
      <c r="H151" s="10" t="n">
        <v>1</v>
      </c>
      <c r="I151" s="10" t="n">
        <v>0.001</v>
      </c>
      <c r="J151" s="5" t="inlineStr">
        <is>
          <t>Shale-prone</t>
        </is>
      </c>
      <c r="K151" s="11" t="n">
        <v>24.3534825138572</v>
      </c>
      <c r="L151" s="12" t="n">
        <v>1.332635677714906</v>
      </c>
      <c r="M151" s="12" t="n">
        <v>6.147407151031696</v>
      </c>
      <c r="N151" s="12" t="n">
        <v>10.73395987677084</v>
      </c>
      <c r="O151" s="12" t="n">
        <v>319.8375874316993</v>
      </c>
      <c r="P151" s="5" t="inlineStr">
        <is>
          <t>Caution</t>
        </is>
      </c>
      <c r="Q151" s="5" t="inlineStr">
        <is>
          <t>Turn Left</t>
        </is>
      </c>
      <c r="R151" s="12" t="n">
        <v>0.9399999999999999</v>
      </c>
      <c r="S151" s="5" t="inlineStr">
        <is>
          <t>ACCEPTED</t>
        </is>
      </c>
      <c r="T151" s="5" t="inlineStr">
        <is>
          <t>DLS exceeds normal range</t>
        </is>
      </c>
    </row>
    <row r="152" s="17">
      <c r="A152" s="7" t="n">
        <v>4085</v>
      </c>
      <c r="B152" s="8" t="n">
        <v>86658.55899999999</v>
      </c>
      <c r="C152" s="9" t="n">
        <v>86.658559</v>
      </c>
      <c r="D152" s="9" t="n">
        <v>159.23041955</v>
      </c>
      <c r="E152" s="9" t="n">
        <v>69.32349782</v>
      </c>
      <c r="F152" s="10" t="n">
        <v>0.022857</v>
      </c>
      <c r="G152" s="10" t="n">
        <v>0.6401</v>
      </c>
      <c r="H152" s="10" t="n">
        <v>1</v>
      </c>
      <c r="I152" s="10" t="n">
        <v>0.001</v>
      </c>
      <c r="J152" s="5" t="inlineStr">
        <is>
          <t>Shale-prone</t>
        </is>
      </c>
      <c r="K152" s="11" t="n">
        <v>24.70463108758448</v>
      </c>
      <c r="L152" s="12" t="n">
        <v>2.146100751272896</v>
      </c>
      <c r="M152" s="12" t="n">
        <v>6.768853620659976</v>
      </c>
      <c r="N152" s="12" t="n">
        <v>8.457635069489024</v>
      </c>
      <c r="O152" s="12" t="n">
        <v>316.417502204231</v>
      </c>
      <c r="P152" s="5" t="inlineStr">
        <is>
          <t>Caution</t>
        </is>
      </c>
      <c r="Q152" s="5" t="inlineStr">
        <is>
          <t>Turn Left</t>
        </is>
      </c>
      <c r="R152" s="12" t="n">
        <v>0.42</v>
      </c>
      <c r="S152" s="5" t="inlineStr">
        <is>
          <t>REJECTED</t>
        </is>
      </c>
      <c r="T152" s="5" t="inlineStr">
        <is>
          <t>DLS exceeds normal range</t>
        </is>
      </c>
    </row>
    <row r="153" s="17">
      <c r="A153" s="7" t="n">
        <v>4090</v>
      </c>
      <c r="B153" s="8" t="n">
        <v>39076.94294</v>
      </c>
      <c r="C153" s="9" t="n">
        <v>39.07694294</v>
      </c>
      <c r="D153" s="9" t="n">
        <v>139.35554984</v>
      </c>
      <c r="E153" s="9" t="n">
        <v>47.6052722</v>
      </c>
      <c r="F153" s="10" t="n">
        <v>0.04334181152789241</v>
      </c>
      <c r="G153" s="10" t="n">
        <v>0.1561290858820225</v>
      </c>
      <c r="H153" s="10" t="n">
        <v>0.9490906463841633</v>
      </c>
      <c r="I153" s="10" t="n">
        <v>0.204331</v>
      </c>
      <c r="J153" s="5" t="inlineStr">
        <is>
          <t>Cleaner sand</t>
        </is>
      </c>
      <c r="K153" s="11" t="n">
        <v>16.04929820955727</v>
      </c>
      <c r="L153" s="12" t="n">
        <v>1.57426971921925</v>
      </c>
      <c r="M153" s="12" t="n">
        <v>6.259465509397623</v>
      </c>
      <c r="N153" s="12" t="n">
        <v>9.861059659430342</v>
      </c>
      <c r="O153" s="12" t="n">
        <v>322.4057568076317</v>
      </c>
      <c r="P153" s="5" t="inlineStr">
        <is>
          <t>Caution</t>
        </is>
      </c>
      <c r="Q153" s="5" t="inlineStr">
        <is>
          <t>Turn Left</t>
        </is>
      </c>
      <c r="R153" s="12" t="n">
        <v>0.9399999999999999</v>
      </c>
      <c r="S153" s="5" t="inlineStr">
        <is>
          <t>ACCEPTED</t>
        </is>
      </c>
      <c r="T153" s="5" t="inlineStr">
        <is>
          <t>DLS exceeds normal range</t>
        </is>
      </c>
    </row>
    <row r="154" s="17">
      <c r="A154" s="7" t="n">
        <v>4095</v>
      </c>
      <c r="B154" s="8" t="n">
        <v>48569.669406</v>
      </c>
      <c r="C154" s="9" t="n">
        <v>48.569669406</v>
      </c>
      <c r="D154" s="9" t="n">
        <v>129.91283579</v>
      </c>
      <c r="E154" s="9" t="n">
        <v>41.84110762</v>
      </c>
      <c r="F154" s="10" t="n">
        <v>0.1562572064384809</v>
      </c>
      <c r="G154" s="10" t="n">
        <v>0.2006320495736077</v>
      </c>
      <c r="H154" s="10" t="n">
        <v>0.9133117067304989</v>
      </c>
      <c r="I154" s="10" t="n">
        <v>1.390471</v>
      </c>
      <c r="J154" s="5" t="inlineStr">
        <is>
          <t>Cleaner sand</t>
        </is>
      </c>
      <c r="K154" s="11" t="n">
        <v>16.76874297400316</v>
      </c>
      <c r="L154" s="12" t="n">
        <v>1.289684871848506</v>
      </c>
      <c r="M154" s="12" t="n">
        <v>7.386937684195937</v>
      </c>
      <c r="N154" s="12" t="n">
        <v>8.203664713866788</v>
      </c>
      <c r="O154" s="12" t="n">
        <v>302.0136031515374</v>
      </c>
      <c r="P154" s="5" t="inlineStr">
        <is>
          <t>Caution</t>
        </is>
      </c>
      <c r="Q154" s="5" t="inlineStr">
        <is>
          <t>Build</t>
        </is>
      </c>
      <c r="R154" s="12" t="n">
        <v>0.43</v>
      </c>
      <c r="S154" s="5" t="inlineStr">
        <is>
          <t>REJECTED</t>
        </is>
      </c>
      <c r="T154" s="5" t="inlineStr">
        <is>
          <t>DLS exceeds normal range</t>
        </is>
      </c>
    </row>
    <row r="155" s="17">
      <c r="A155" s="7" t="n">
        <v>4100</v>
      </c>
      <c r="B155" s="8" t="n">
        <v>64560.163381</v>
      </c>
      <c r="C155" s="9" t="n">
        <v>64.560163381</v>
      </c>
      <c r="D155" s="9" t="n">
        <v>147.19766705</v>
      </c>
      <c r="E155" s="9" t="n">
        <v>30.74440678</v>
      </c>
      <c r="F155" s="10" t="n">
        <v>0.07021754540072214</v>
      </c>
      <c r="G155" s="10" t="n">
        <v>0.2941481995448368</v>
      </c>
      <c r="H155" s="10" t="n">
        <v>0.926718048591569</v>
      </c>
      <c r="I155" s="10" t="n">
        <v>0.5261400000000001</v>
      </c>
      <c r="J155" s="5" t="inlineStr">
        <is>
          <t>Transition</t>
        </is>
      </c>
      <c r="K155" s="11" t="n">
        <v>20.62201905985905</v>
      </c>
      <c r="L155" s="12" t="n">
        <v>1.922889823349498</v>
      </c>
      <c r="M155" s="12" t="n">
        <v>8.040060156767538</v>
      </c>
      <c r="N155" s="12" t="n">
        <v>8.605568332541626</v>
      </c>
      <c r="O155" s="12" t="n">
        <v>327.1721714799275</v>
      </c>
      <c r="P155" s="5" t="inlineStr">
        <is>
          <t>Caution</t>
        </is>
      </c>
      <c r="Q155" s="5" t="inlineStr">
        <is>
          <t>Turn Left</t>
        </is>
      </c>
      <c r="R155" s="12" t="n">
        <v>0.5600000000000001</v>
      </c>
      <c r="S155" s="5" t="inlineStr">
        <is>
          <t>REDUCED</t>
        </is>
      </c>
      <c r="T155" s="5" t="inlineStr">
        <is>
          <t>DLS exceeds normal range</t>
        </is>
      </c>
    </row>
    <row r="156" s="17">
      <c r="A156" s="7" t="n">
        <v>4105</v>
      </c>
      <c r="B156" s="8" t="n">
        <v>49971.012714</v>
      </c>
      <c r="C156" s="9" t="n">
        <v>49.971012714</v>
      </c>
      <c r="D156" s="9" t="n">
        <v>136.80311737</v>
      </c>
      <c r="E156" s="9" t="n">
        <v>65.99223633999999</v>
      </c>
      <c r="F156" s="10" t="n">
        <v>0.04286401418029322</v>
      </c>
      <c r="G156" s="10" t="n">
        <v>0.04140302898813591</v>
      </c>
      <c r="H156" s="10" t="n">
        <v>0.9911855329168761</v>
      </c>
      <c r="I156" s="10" t="n">
        <v>0.055647</v>
      </c>
      <c r="J156" s="5" t="inlineStr">
        <is>
          <t>Cleaner sand</t>
        </is>
      </c>
      <c r="K156" s="11" t="n">
        <v>17.99957750995939</v>
      </c>
      <c r="L156" s="12" t="n">
        <v>1.219750688922392</v>
      </c>
      <c r="M156" s="12" t="n">
        <v>6.394931914161263</v>
      </c>
      <c r="N156" s="12" t="n">
        <v>11.41350066724984</v>
      </c>
      <c r="O156" s="12" t="n">
        <v>304.9393558255451</v>
      </c>
      <c r="P156" s="5" t="inlineStr">
        <is>
          <t>Caution</t>
        </is>
      </c>
      <c r="Q156" s="5" t="inlineStr">
        <is>
          <t>Turn Left</t>
        </is>
      </c>
      <c r="R156" s="12" t="n">
        <v>0.67</v>
      </c>
      <c r="S156" s="5" t="inlineStr">
        <is>
          <t>REDUCED</t>
        </is>
      </c>
      <c r="T156" s="5" t="inlineStr">
        <is>
          <t>DLS exceeds normal range</t>
        </is>
      </c>
    </row>
    <row r="157" s="17">
      <c r="A157" s="7" t="n">
        <v>4110</v>
      </c>
      <c r="B157" s="8" t="n">
        <v>60374.837386</v>
      </c>
      <c r="C157" s="9" t="n">
        <v>60.374837386</v>
      </c>
      <c r="D157" s="9" t="n">
        <v>131.52723606</v>
      </c>
      <c r="E157" s="9" t="n">
        <v>62.10400872</v>
      </c>
      <c r="F157" s="10" t="n">
        <v>0.1151540666788848</v>
      </c>
      <c r="G157" s="10" t="n">
        <v>0.1269332994673099</v>
      </c>
      <c r="H157" s="10" t="n">
        <v>0.9612846397489163</v>
      </c>
      <c r="I157" s="10" t="n">
        <v>0.479066</v>
      </c>
      <c r="J157" s="5" t="inlineStr">
        <is>
          <t>Cleaner sand</t>
        </is>
      </c>
      <c r="K157" s="11" t="n">
        <v>18.90564197848596</v>
      </c>
      <c r="L157" s="12" t="n">
        <v>1.673808767110873</v>
      </c>
      <c r="M157" s="12" t="n">
        <v>7.058952877293216</v>
      </c>
      <c r="N157" s="12" t="n">
        <v>8.640014592803077</v>
      </c>
      <c r="O157" s="12" t="n">
        <v>315.9058025647767</v>
      </c>
      <c r="P157" s="5" t="inlineStr">
        <is>
          <t>Caution</t>
        </is>
      </c>
      <c r="Q157" s="5" t="inlineStr">
        <is>
          <t>Turn Left</t>
        </is>
      </c>
      <c r="R157" s="12" t="n">
        <v>0.48</v>
      </c>
      <c r="S157" s="5" t="inlineStr">
        <is>
          <t>REJECTED</t>
        </is>
      </c>
      <c r="T157" s="5" t="inlineStr">
        <is>
          <t>DLS exceeds normal range</t>
        </is>
      </c>
    </row>
    <row r="158" s="17">
      <c r="A158" s="7" t="n">
        <v>4115</v>
      </c>
      <c r="B158" s="8" t="n">
        <v>58596.688146</v>
      </c>
      <c r="C158" s="9" t="n">
        <v>58.596688146</v>
      </c>
      <c r="D158" s="9" t="n">
        <v>158.80589407</v>
      </c>
      <c r="E158" s="9" t="n">
        <v>34.80155604</v>
      </c>
      <c r="F158" s="10" t="n">
        <v>0.07867580822296992</v>
      </c>
      <c r="G158" s="10" t="n">
        <v>0.3712568308327462</v>
      </c>
      <c r="H158" s="10" t="n">
        <v>0.8550980234261116</v>
      </c>
      <c r="I158" s="10" t="n">
        <v>1.124487</v>
      </c>
      <c r="J158" s="5" t="inlineStr">
        <is>
          <t>Transition</t>
        </is>
      </c>
      <c r="K158" s="11" t="n">
        <v>21.15872780653196</v>
      </c>
      <c r="L158" s="12" t="n">
        <v>1.65553169164434</v>
      </c>
      <c r="M158" s="12" t="n">
        <v>7.275375067577395</v>
      </c>
      <c r="N158" s="12" t="n">
        <v>10.24222902213838</v>
      </c>
      <c r="O158" s="12" t="n">
        <v>292.9509417199939</v>
      </c>
      <c r="P158" s="5" t="inlineStr">
        <is>
          <t>Caution</t>
        </is>
      </c>
      <c r="Q158" s="5" t="inlineStr">
        <is>
          <t>Hold</t>
        </is>
      </c>
      <c r="R158" s="12" t="n">
        <v>0.47</v>
      </c>
      <c r="S158" s="5" t="inlineStr">
        <is>
          <t>REJECTED</t>
        </is>
      </c>
      <c r="T158" s="5" t="inlineStr">
        <is>
          <t>DLS exceeds normal range</t>
        </is>
      </c>
    </row>
    <row r="159" s="17">
      <c r="A159" s="7" t="n">
        <v>4120</v>
      </c>
      <c r="B159" s="8" t="n">
        <v>49818.180938</v>
      </c>
      <c r="C159" s="9" t="n">
        <v>49.818180938</v>
      </c>
      <c r="D159" s="9" t="n">
        <v>133.35551778</v>
      </c>
      <c r="E159" s="9" t="n">
        <v>46.74231568</v>
      </c>
      <c r="F159" s="10" t="n">
        <v>0.06005967907276551</v>
      </c>
      <c r="G159" s="10" t="n">
        <v>0.07478950477800754</v>
      </c>
      <c r="H159" s="10" t="n">
        <v>1</v>
      </c>
      <c r="I159" s="10" t="n">
        <v>0.001</v>
      </c>
      <c r="J159" s="5" t="inlineStr">
        <is>
          <t>Cleaner sand</t>
        </is>
      </c>
      <c r="K159" s="11" t="n">
        <v>18.15222888868569</v>
      </c>
      <c r="L159" s="12" t="n">
        <v>2.192088827257473</v>
      </c>
      <c r="M159" s="12" t="n">
        <v>7.261168886503711</v>
      </c>
      <c r="N159" s="12" t="n">
        <v>11.21378580740428</v>
      </c>
      <c r="O159" s="12" t="n">
        <v>309.1834264199875</v>
      </c>
      <c r="P159" s="5" t="inlineStr">
        <is>
          <t>Caution</t>
        </is>
      </c>
      <c r="Q159" s="5" t="inlineStr">
        <is>
          <t>Turn Left</t>
        </is>
      </c>
      <c r="R159" s="12" t="n">
        <v>0.54</v>
      </c>
      <c r="S159" s="5" t="inlineStr">
        <is>
          <t>REDUCED</t>
        </is>
      </c>
      <c r="T159" s="5" t="inlineStr">
        <is>
          <t>DLS exceeds normal range</t>
        </is>
      </c>
    </row>
    <row r="160" s="17">
      <c r="A160" s="7" t="n">
        <v>4125</v>
      </c>
      <c r="B160" s="8" t="n">
        <v>58781.471517</v>
      </c>
      <c r="C160" s="9" t="n">
        <v>58.781471517</v>
      </c>
      <c r="D160" s="9" t="n">
        <v>112.71261457</v>
      </c>
      <c r="E160" s="9" t="n">
        <v>57.97280034</v>
      </c>
      <c r="F160" s="10" t="n">
        <v>0.1025019799941379</v>
      </c>
      <c r="G160" s="10" t="n">
        <v>0.2101786349474576</v>
      </c>
      <c r="H160" s="10" t="n">
        <v>0.9213194583623334</v>
      </c>
      <c r="I160" s="10" t="n">
        <v>0.855401</v>
      </c>
      <c r="J160" s="5" t="inlineStr">
        <is>
          <t>Cleaner sand</t>
        </is>
      </c>
      <c r="K160" s="11" t="n">
        <v>18.1356354564064</v>
      </c>
      <c r="L160" s="12" t="n">
        <v>1.892602134111177</v>
      </c>
      <c r="M160" s="12" t="n">
        <v>6.952013234721526</v>
      </c>
      <c r="N160" s="12" t="n">
        <v>11.70187780799761</v>
      </c>
      <c r="O160" s="12" t="n">
        <v>305.9478270123128</v>
      </c>
      <c r="P160" s="5" t="inlineStr">
        <is>
          <t>Caution</t>
        </is>
      </c>
      <c r="Q160" s="5" t="inlineStr">
        <is>
          <t>Turn Left</t>
        </is>
      </c>
      <c r="R160" s="12" t="n">
        <v>0.9399999999999999</v>
      </c>
      <c r="S160" s="5" t="inlineStr">
        <is>
          <t>ACCEPTED</t>
        </is>
      </c>
      <c r="T160" s="5" t="inlineStr">
        <is>
          <t>DLS exceeds normal range</t>
        </is>
      </c>
    </row>
    <row r="161" s="17">
      <c r="A161" s="7" t="n">
        <v>4130</v>
      </c>
      <c r="B161" s="8" t="n">
        <v>74568.870643</v>
      </c>
      <c r="C161" s="9" t="n">
        <v>74.568870643</v>
      </c>
      <c r="D161" s="9" t="n">
        <v>152.00012691</v>
      </c>
      <c r="E161" s="9" t="n">
        <v>34.20905848</v>
      </c>
      <c r="F161" s="10" t="n">
        <v>0.07722040157899215</v>
      </c>
      <c r="G161" s="10" t="n">
        <v>0.2669804600732469</v>
      </c>
      <c r="H161" s="10" t="n">
        <v>0.9538760545794301</v>
      </c>
      <c r="I161" s="10" t="n">
        <v>0.352057</v>
      </c>
      <c r="J161" s="5" t="inlineStr">
        <is>
          <t>Transition</t>
        </is>
      </c>
      <c r="K161" s="11" t="n">
        <v>22.88713669431238</v>
      </c>
      <c r="L161" s="12" t="n">
        <v>1.647736790214879</v>
      </c>
      <c r="M161" s="12" t="n">
        <v>7.492818255266424</v>
      </c>
      <c r="N161" s="12" t="n">
        <v>11.71181540767969</v>
      </c>
      <c r="O161" s="12" t="n">
        <v>299.7026639103631</v>
      </c>
      <c r="P161" s="5" t="inlineStr">
        <is>
          <t>Caution</t>
        </is>
      </c>
      <c r="Q161" s="5" t="inlineStr">
        <is>
          <t>Drop</t>
        </is>
      </c>
      <c r="R161" s="12" t="n">
        <v>0.61</v>
      </c>
      <c r="S161" s="5" t="inlineStr">
        <is>
          <t>REDUCED</t>
        </is>
      </c>
      <c r="T161" s="5" t="inlineStr">
        <is>
          <t>DLS exceeds normal range</t>
        </is>
      </c>
    </row>
    <row r="162" s="17">
      <c r="A162" s="7" t="n">
        <v>4135</v>
      </c>
      <c r="B162" s="8" t="n">
        <v>42209.384765</v>
      </c>
      <c r="C162" s="9" t="n">
        <v>42.209384765</v>
      </c>
      <c r="D162" s="9" t="n">
        <v>130.98591075</v>
      </c>
      <c r="E162" s="9" t="n">
        <v>55.65658816000001</v>
      </c>
      <c r="F162" s="10" t="n">
        <v>0.037613446160517</v>
      </c>
      <c r="G162" s="10" t="n">
        <v>0.06799726774924503</v>
      </c>
      <c r="H162" s="10" t="n">
        <v>0.9584951671428171</v>
      </c>
      <c r="I162" s="10" t="n">
        <v>0.187314</v>
      </c>
      <c r="J162" s="5" t="inlineStr">
        <is>
          <t>Cleaner sand</t>
        </is>
      </c>
      <c r="K162" s="11" t="n">
        <v>15.3042921265153</v>
      </c>
      <c r="L162" s="12" t="n">
        <v>2.06070548660814</v>
      </c>
      <c r="M162" s="12" t="n">
        <v>7.291635639057723</v>
      </c>
      <c r="N162" s="12" t="n">
        <v>12.84674564622055</v>
      </c>
      <c r="O162" s="12" t="n">
        <v>282.4574732823398</v>
      </c>
      <c r="P162" s="5" t="inlineStr">
        <is>
          <t>Caution</t>
        </is>
      </c>
      <c r="Q162" s="5" t="inlineStr">
        <is>
          <t>Hold</t>
        </is>
      </c>
      <c r="R162" s="12" t="n">
        <v>0.71</v>
      </c>
      <c r="S162" s="5" t="inlineStr">
        <is>
          <t>ACCEPTED</t>
        </is>
      </c>
      <c r="T162" s="5" t="inlineStr">
        <is>
          <t>DLS exceeds normal range</t>
        </is>
      </c>
    </row>
    <row r="163" s="17">
      <c r="A163" s="7" t="n">
        <v>4140</v>
      </c>
      <c r="B163" s="8" t="n">
        <v>53792.066566</v>
      </c>
      <c r="C163" s="9" t="n">
        <v>53.792066566</v>
      </c>
      <c r="D163" s="9" t="n">
        <v>151.52116633</v>
      </c>
      <c r="E163" s="9" t="n">
        <v>45.7382634</v>
      </c>
      <c r="F163" s="10" t="n">
        <v>0.0884228620453708</v>
      </c>
      <c r="G163" s="10" t="n">
        <v>0.08637752434272404</v>
      </c>
      <c r="H163" s="10" t="n">
        <v>0.9577598722518635</v>
      </c>
      <c r="I163" s="10" t="n">
        <v>0.381233</v>
      </c>
      <c r="J163" s="5" t="inlineStr">
        <is>
          <t>Cleaner sand</t>
        </is>
      </c>
      <c r="K163" s="11" t="n">
        <v>19.19636408140714</v>
      </c>
      <c r="L163" s="12" t="n">
        <v>2.341201699018483</v>
      </c>
      <c r="M163" s="12" t="n">
        <v>5.922611075330642</v>
      </c>
      <c r="N163" s="12" t="n">
        <v>13.62043566595415</v>
      </c>
      <c r="O163" s="12" t="n">
        <v>291.3574245802651</v>
      </c>
      <c r="P163" s="5" t="inlineStr">
        <is>
          <t>Normal</t>
        </is>
      </c>
      <c r="Q163" s="5" t="inlineStr">
        <is>
          <t>Drop</t>
        </is>
      </c>
      <c r="R163" s="12" t="n">
        <v>0.79</v>
      </c>
      <c r="S163" s="5" t="inlineStr">
        <is>
          <t>ACCEPTED</t>
        </is>
      </c>
      <c r="T163" s="5" t="inlineStr">
        <is>
          <t>Normal operation</t>
        </is>
      </c>
    </row>
    <row r="164" s="17">
      <c r="A164" s="7" t="n">
        <v>4145</v>
      </c>
      <c r="B164" s="8" t="n">
        <v>74066.15745899999</v>
      </c>
      <c r="C164" s="9" t="n">
        <v>74.066157459</v>
      </c>
      <c r="D164" s="9" t="n">
        <v>150.75433491</v>
      </c>
      <c r="E164" s="9" t="n">
        <v>35.89904486</v>
      </c>
      <c r="F164" s="10" t="n">
        <v>0.06220355069945006</v>
      </c>
      <c r="G164" s="10" t="n">
        <v>0.3160779103468571</v>
      </c>
      <c r="H164" s="10" t="n">
        <v>0.9551042988523011</v>
      </c>
      <c r="I164" s="10" t="n">
        <v>0.325783</v>
      </c>
      <c r="J164" s="5" t="inlineStr">
        <is>
          <t>Transition</t>
        </is>
      </c>
      <c r="K164" s="11" t="n">
        <v>23.29671883801117</v>
      </c>
      <c r="L164" s="12" t="n">
        <v>1.933327050112412</v>
      </c>
      <c r="M164" s="12" t="n">
        <v>7.614710321984973</v>
      </c>
      <c r="N164" s="12" t="n">
        <v>14.06229524508329</v>
      </c>
      <c r="O164" s="12" t="n">
        <v>273.4210887449927</v>
      </c>
      <c r="P164" s="5" t="inlineStr">
        <is>
          <t>Caution</t>
        </is>
      </c>
      <c r="Q164" s="5" t="inlineStr">
        <is>
          <t>Drop</t>
        </is>
      </c>
      <c r="R164" s="12" t="n">
        <v>0.8100000000000001</v>
      </c>
      <c r="S164" s="5" t="inlineStr">
        <is>
          <t>ACCEPTED</t>
        </is>
      </c>
      <c r="T164" s="5" t="inlineStr">
        <is>
          <t>DLS exceeds normal range</t>
        </is>
      </c>
    </row>
    <row r="165" s="17">
      <c r="A165" s="7" t="n">
        <v>4150</v>
      </c>
      <c r="B165" s="8" t="n">
        <v>55689.001789</v>
      </c>
      <c r="C165" s="9" t="n">
        <v>55.689001789</v>
      </c>
      <c r="D165" s="9" t="n">
        <v>128.42492029</v>
      </c>
      <c r="E165" s="9" t="n">
        <v>41.54050382</v>
      </c>
      <c r="F165" s="10" t="n">
        <v>0.06269101488244022</v>
      </c>
      <c r="G165" s="10" t="n">
        <v>0.1350906995355698</v>
      </c>
      <c r="H165" s="10" t="n">
        <v>0.9430018875928764</v>
      </c>
      <c r="I165" s="10" t="n">
        <v>0.370533</v>
      </c>
      <c r="J165" s="5" t="inlineStr">
        <is>
          <t>Cleaner sand</t>
        </is>
      </c>
      <c r="K165" s="11" t="n">
        <v>17.93748457168661</v>
      </c>
      <c r="L165" s="12" t="n">
        <v>1.665072783723256</v>
      </c>
      <c r="M165" s="12" t="n">
        <v>7.635602076914258</v>
      </c>
      <c r="N165" s="12" t="n">
        <v>12.21326473731314</v>
      </c>
      <c r="O165" s="12" t="n">
        <v>279.0539126754894</v>
      </c>
      <c r="P165" s="5" t="inlineStr">
        <is>
          <t>Caution</t>
        </is>
      </c>
      <c r="Q165" s="5" t="inlineStr">
        <is>
          <t>Turn Right</t>
        </is>
      </c>
      <c r="R165" s="12" t="n">
        <v>0.78</v>
      </c>
      <c r="S165" s="5" t="inlineStr">
        <is>
          <t>ACCEPTED</t>
        </is>
      </c>
      <c r="T165" s="5" t="inlineStr">
        <is>
          <t>DLS exceeds normal range</t>
        </is>
      </c>
    </row>
    <row r="166" s="17">
      <c r="A166" s="7" t="n">
        <v>4155</v>
      </c>
      <c r="B166" s="8" t="n">
        <v>46622.155225</v>
      </c>
      <c r="C166" s="9" t="n">
        <v>46.622155225</v>
      </c>
      <c r="D166" s="9" t="n">
        <v>134.64926321</v>
      </c>
      <c r="E166" s="9" t="n">
        <v>53.83998476</v>
      </c>
      <c r="F166" s="10" t="n">
        <v>0.1161023686420749</v>
      </c>
      <c r="G166" s="10" t="n">
        <v>0.3114050308599508</v>
      </c>
      <c r="H166" s="10" t="n">
        <v>0.902440392438068</v>
      </c>
      <c r="I166" s="10" t="n">
        <v>1.133871</v>
      </c>
      <c r="J166" s="5" t="inlineStr">
        <is>
          <t>Transition</t>
        </is>
      </c>
      <c r="K166" s="11" t="n">
        <v>18.05395384820912</v>
      </c>
      <c r="L166" s="12" t="n">
        <v>1.1</v>
      </c>
      <c r="M166" s="12" t="n">
        <v>6.321263515392742</v>
      </c>
      <c r="N166" s="12" t="n">
        <v>13.51295131386904</v>
      </c>
      <c r="O166" s="12" t="n">
        <v>288.1565972567132</v>
      </c>
      <c r="P166" s="5" t="inlineStr">
        <is>
          <t>Caution</t>
        </is>
      </c>
      <c r="Q166" s="5" t="inlineStr">
        <is>
          <t>Drop</t>
        </is>
      </c>
      <c r="R166" s="12" t="n">
        <v>0.59</v>
      </c>
      <c r="S166" s="5" t="inlineStr">
        <is>
          <t>REDUCED</t>
        </is>
      </c>
      <c r="T166" s="5" t="inlineStr">
        <is>
          <t>DLS exceeds normal range</t>
        </is>
      </c>
    </row>
    <row r="167" s="17">
      <c r="A167" s="7" t="n">
        <v>4160</v>
      </c>
      <c r="B167" s="8" t="n">
        <v>59103.333806</v>
      </c>
      <c r="C167" s="9" t="n">
        <v>59.103333806</v>
      </c>
      <c r="D167" s="9" t="n">
        <v>151.25978223</v>
      </c>
      <c r="E167" s="9" t="n">
        <v>30</v>
      </c>
      <c r="F167" s="10" t="n">
        <v>0.08816202539278656</v>
      </c>
      <c r="G167" s="10" t="n">
        <v>0.3184431652265493</v>
      </c>
      <c r="H167" s="10" t="n">
        <v>0.9132289093992405</v>
      </c>
      <c r="I167" s="10" t="n">
        <v>0.785933</v>
      </c>
      <c r="J167" s="5" t="inlineStr">
        <is>
          <t>Transition</t>
        </is>
      </c>
      <c r="K167" s="11" t="n">
        <v>19.79891731638222</v>
      </c>
      <c r="L167" s="12" t="n">
        <v>1.138094305093067</v>
      </c>
      <c r="M167" s="12" t="n">
        <v>6.968104306742014</v>
      </c>
      <c r="N167" s="12" t="n">
        <v>15.82308791421164</v>
      </c>
      <c r="O167" s="12" t="n">
        <v>282.072417229327</v>
      </c>
      <c r="P167" s="5" t="inlineStr">
        <is>
          <t>Caution</t>
        </is>
      </c>
      <c r="Q167" s="5" t="inlineStr">
        <is>
          <t>Drop</t>
        </is>
      </c>
      <c r="R167" s="12" t="n">
        <v>0.46</v>
      </c>
      <c r="S167" s="5" t="inlineStr">
        <is>
          <t>REJECTED</t>
        </is>
      </c>
      <c r="T167" s="5" t="inlineStr">
        <is>
          <t>DLS exceeds normal range</t>
        </is>
      </c>
    </row>
    <row r="168" s="17">
      <c r="A168" s="7" t="n">
        <v>4165</v>
      </c>
      <c r="B168" s="8" t="n">
        <v>46906.944067</v>
      </c>
      <c r="C168" s="9" t="n">
        <v>46.906944067</v>
      </c>
      <c r="D168" s="9" t="n">
        <v>127.81256981</v>
      </c>
      <c r="E168" s="9" t="n">
        <v>43.31915352</v>
      </c>
      <c r="F168" s="10" t="n">
        <v>0.07250111036984996</v>
      </c>
      <c r="G168" s="10" t="n">
        <v>0.2694101865822929</v>
      </c>
      <c r="H168" s="10" t="n">
        <v>0.952976217705153</v>
      </c>
      <c r="I168" s="10" t="n">
        <v>0.389629</v>
      </c>
      <c r="J168" s="5" t="inlineStr">
        <is>
          <t>Transition</t>
        </is>
      </c>
      <c r="K168" s="11" t="n">
        <v>17.96501670610823</v>
      </c>
      <c r="L168" s="12" t="n">
        <v>1.510439894866213</v>
      </c>
      <c r="M168" s="12" t="n">
        <v>7.490017130672851</v>
      </c>
      <c r="N168" s="12" t="n">
        <v>15.82048079021282</v>
      </c>
      <c r="O168" s="12" t="n">
        <v>270.4732662918611</v>
      </c>
      <c r="P168" s="5" t="inlineStr">
        <is>
          <t>Caution</t>
        </is>
      </c>
      <c r="Q168" s="5" t="inlineStr">
        <is>
          <t>Drop</t>
        </is>
      </c>
      <c r="R168" s="12" t="n">
        <v>0.55</v>
      </c>
      <c r="S168" s="5" t="inlineStr">
        <is>
          <t>REDUCED</t>
        </is>
      </c>
      <c r="T168" s="5" t="inlineStr">
        <is>
          <t>DLS exceeds normal range</t>
        </is>
      </c>
    </row>
    <row r="169" s="17">
      <c r="A169" s="7" t="n">
        <v>4170</v>
      </c>
      <c r="B169" s="8" t="n">
        <v>50815.881795</v>
      </c>
      <c r="C169" s="9" t="n">
        <v>50.815881795</v>
      </c>
      <c r="D169" s="9" t="n">
        <v>131.80066145</v>
      </c>
      <c r="E169" s="9" t="n">
        <v>52.76063926</v>
      </c>
      <c r="F169" s="10" t="n">
        <v>0.03786974429339588</v>
      </c>
      <c r="G169" s="10" t="n">
        <v>0.178626931726888</v>
      </c>
      <c r="H169" s="10" t="n">
        <v>0.9660538443260561</v>
      </c>
      <c r="I169" s="10" t="n">
        <v>0.115408</v>
      </c>
      <c r="J169" s="5" t="inlineStr">
        <is>
          <t>Cleaner sand</t>
        </is>
      </c>
      <c r="K169" s="11" t="n">
        <v>19.75868771522552</v>
      </c>
      <c r="L169" s="12" t="n">
        <v>1.361339020941951</v>
      </c>
      <c r="M169" s="12" t="n">
        <v>6.781240664968369</v>
      </c>
      <c r="N169" s="12" t="n">
        <v>13.26026541203655</v>
      </c>
      <c r="O169" s="12" t="n">
        <v>256.7736931449969</v>
      </c>
      <c r="P169" s="5" t="inlineStr">
        <is>
          <t>Caution</t>
        </is>
      </c>
      <c r="Q169" s="5" t="inlineStr">
        <is>
          <t>Drop</t>
        </is>
      </c>
      <c r="R169" s="12" t="n">
        <v>0.52</v>
      </c>
      <c r="S169" s="5" t="inlineStr">
        <is>
          <t>REDUCED</t>
        </is>
      </c>
      <c r="T169" s="5" t="inlineStr">
        <is>
          <t>DLS exceeds normal range</t>
        </is>
      </c>
    </row>
    <row r="170" s="17">
      <c r="A170" s="7" t="n">
        <v>4175</v>
      </c>
      <c r="B170" s="8" t="n">
        <v>73434.099392</v>
      </c>
      <c r="C170" s="9" t="n">
        <v>73.43409939200001</v>
      </c>
      <c r="D170" s="9" t="n">
        <v>101.47886279</v>
      </c>
      <c r="E170" s="9" t="n">
        <v>42.73248616</v>
      </c>
      <c r="F170" s="10" t="n">
        <v>0.1186708848568898</v>
      </c>
      <c r="G170" s="10" t="n">
        <v>0.2297149281497281</v>
      </c>
      <c r="H170" s="10" t="n">
        <v>0.913251822296502</v>
      </c>
      <c r="I170" s="10" t="n">
        <v>1.059542</v>
      </c>
      <c r="J170" s="5" t="inlineStr">
        <is>
          <t>Cleaner sand</t>
        </is>
      </c>
      <c r="K170" s="11" t="n">
        <v>21.77648599501114</v>
      </c>
      <c r="L170" s="12" t="n">
        <v>1.568384061537131</v>
      </c>
      <c r="M170" s="12" t="n">
        <v>7.812149474419038</v>
      </c>
      <c r="N170" s="12" t="n">
        <v>15.88944982201496</v>
      </c>
      <c r="O170" s="12" t="n">
        <v>269.1734635470153</v>
      </c>
      <c r="P170" s="5" t="inlineStr">
        <is>
          <t>Caution</t>
        </is>
      </c>
      <c r="Q170" s="5" t="inlineStr">
        <is>
          <t>Drop</t>
        </is>
      </c>
      <c r="R170" s="12" t="n">
        <v>0.47</v>
      </c>
      <c r="S170" s="5" t="inlineStr">
        <is>
          <t>REJECTED</t>
        </is>
      </c>
      <c r="T170" s="5" t="inlineStr">
        <is>
          <t>DLS exceeds normal range</t>
        </is>
      </c>
    </row>
    <row r="171" s="17">
      <c r="A171" s="7" t="n">
        <v>4180</v>
      </c>
      <c r="B171" s="8" t="n">
        <v>36707.15998</v>
      </c>
      <c r="C171" s="9" t="n">
        <v>36.70715998</v>
      </c>
      <c r="D171" s="9" t="n">
        <v>132.15304164</v>
      </c>
      <c r="E171" s="9" t="n">
        <v>61.46190116</v>
      </c>
      <c r="F171" s="10" t="n">
        <v>0.04578562363825321</v>
      </c>
      <c r="G171" s="10" t="n">
        <v>0.1799037880933119</v>
      </c>
      <c r="H171" s="10" t="n">
        <v>0.9167064347894147</v>
      </c>
      <c r="I171" s="10" t="n">
        <v>0.368529</v>
      </c>
      <c r="J171" s="5" t="inlineStr">
        <is>
          <t>Cleaner sand</t>
        </is>
      </c>
      <c r="K171" s="11" t="n">
        <v>14.51325949825529</v>
      </c>
      <c r="L171" s="12" t="n">
        <v>1.687758463199582</v>
      </c>
      <c r="M171" s="12" t="n">
        <v>8.800000000000001</v>
      </c>
      <c r="N171" s="12" t="n">
        <v>13.24837637996499</v>
      </c>
      <c r="O171" s="12" t="n">
        <v>259.1139674344897</v>
      </c>
      <c r="P171" s="5" t="inlineStr">
        <is>
          <t>Caution</t>
        </is>
      </c>
      <c r="Q171" s="5" t="inlineStr">
        <is>
          <t>Drop</t>
        </is>
      </c>
      <c r="R171" s="12" t="n">
        <v>0.41</v>
      </c>
      <c r="S171" s="5" t="inlineStr">
        <is>
          <t>REJECTED</t>
        </is>
      </c>
      <c r="T171" s="5" t="inlineStr">
        <is>
          <t>DLS exceeds normal range</t>
        </is>
      </c>
    </row>
    <row r="172" s="17">
      <c r="A172" s="7" t="n">
        <v>4185</v>
      </c>
      <c r="B172" s="8" t="n">
        <v>36285.242097</v>
      </c>
      <c r="C172" s="9" t="n">
        <v>36.285242097</v>
      </c>
      <c r="D172" s="9" t="n">
        <v>146.96716138</v>
      </c>
      <c r="E172" s="9" t="n">
        <v>30</v>
      </c>
      <c r="F172" s="10" t="n">
        <v>0.111358684198097</v>
      </c>
      <c r="G172" s="10" t="n">
        <v>0.1617319573569552</v>
      </c>
      <c r="H172" s="10" t="n">
        <v>0.9434926773771145</v>
      </c>
      <c r="I172" s="10" t="n">
        <v>0.628614</v>
      </c>
      <c r="J172" s="5" t="inlineStr">
        <is>
          <t>Cleaner sand</t>
        </is>
      </c>
      <c r="K172" s="11" t="n">
        <v>14.29988140951978</v>
      </c>
      <c r="L172" s="12" t="n">
        <v>1.919549449634798</v>
      </c>
      <c r="M172" s="12" t="n">
        <v>6.334340103394904</v>
      </c>
      <c r="N172" s="12" t="n">
        <v>16.26862782942588</v>
      </c>
      <c r="O172" s="12" t="n">
        <v>231.937524536658</v>
      </c>
      <c r="P172" s="5" t="inlineStr">
        <is>
          <t>Caution</t>
        </is>
      </c>
      <c r="Q172" s="5" t="inlineStr">
        <is>
          <t>Drop</t>
        </is>
      </c>
      <c r="R172" s="12" t="n">
        <v>0.91</v>
      </c>
      <c r="S172" s="5" t="inlineStr">
        <is>
          <t>ACCEPTED</t>
        </is>
      </c>
      <c r="T172" s="5" t="inlineStr">
        <is>
          <t>DLS exceeds normal range</t>
        </is>
      </c>
    </row>
    <row r="173" s="17">
      <c r="A173" s="7" t="n">
        <v>4190</v>
      </c>
      <c r="B173" s="8" t="n">
        <v>55277.043244</v>
      </c>
      <c r="C173" s="9" t="n">
        <v>55.277043244</v>
      </c>
      <c r="D173" s="9" t="n">
        <v>150.81730751</v>
      </c>
      <c r="E173" s="9" t="n">
        <v>40.6713481</v>
      </c>
      <c r="F173" s="10" t="n">
        <v>0.1198382025267564</v>
      </c>
      <c r="G173" s="10" t="n">
        <v>0.3638228458941118</v>
      </c>
      <c r="H173" s="10" t="n">
        <v>0.9237906055709315</v>
      </c>
      <c r="I173" s="10" t="n">
        <v>0.925614</v>
      </c>
      <c r="J173" s="5" t="inlineStr">
        <is>
          <t>Transition</t>
        </is>
      </c>
      <c r="K173" s="11" t="n">
        <v>17.8665885192534</v>
      </c>
      <c r="L173" s="12" t="n">
        <v>1.625455598751045</v>
      </c>
      <c r="M173" s="12" t="n">
        <v>5.862579202419261</v>
      </c>
      <c r="N173" s="12" t="n">
        <v>19.06225283111232</v>
      </c>
      <c r="O173" s="12" t="n">
        <v>259.2166237553094</v>
      </c>
      <c r="P173" s="5" t="inlineStr">
        <is>
          <t>Normal</t>
        </is>
      </c>
      <c r="Q173" s="5" t="inlineStr">
        <is>
          <t>Drop</t>
        </is>
      </c>
      <c r="R173" s="12" t="n">
        <v>0.91</v>
      </c>
      <c r="S173" s="5" t="inlineStr">
        <is>
          <t>ACCEPTED</t>
        </is>
      </c>
      <c r="T173" s="5" t="inlineStr">
        <is>
          <t>Normal operation</t>
        </is>
      </c>
    </row>
    <row r="174" s="17">
      <c r="A174" s="7" t="n">
        <v>4195</v>
      </c>
      <c r="B174" s="8" t="n">
        <v>50950.232194</v>
      </c>
      <c r="C174" s="9" t="n">
        <v>50.95023219399999</v>
      </c>
      <c r="D174" s="9" t="n">
        <v>137.53790926</v>
      </c>
      <c r="E174" s="9" t="n">
        <v>64.14185549999999</v>
      </c>
      <c r="F174" s="10" t="n">
        <v>0.0590581058265849</v>
      </c>
      <c r="G174" s="10" t="n">
        <v>0.1775030163715949</v>
      </c>
      <c r="H174" s="10" t="n">
        <v>0.9449763743632087</v>
      </c>
      <c r="I174" s="10" t="n">
        <v>0.331232</v>
      </c>
      <c r="J174" s="5" t="inlineStr">
        <is>
          <t>Cleaner sand</t>
        </is>
      </c>
      <c r="K174" s="11" t="n">
        <v>17.80950296711873</v>
      </c>
      <c r="L174" s="12" t="n">
        <v>1.898385805474839</v>
      </c>
      <c r="M174" s="12" t="n">
        <v>7.21449200370764</v>
      </c>
      <c r="N174" s="12" t="n">
        <v>15.75043842948803</v>
      </c>
      <c r="O174" s="12" t="n">
        <v>247.4378383163585</v>
      </c>
      <c r="P174" s="5" t="inlineStr">
        <is>
          <t>Caution</t>
        </is>
      </c>
      <c r="Q174" s="5" t="inlineStr">
        <is>
          <t>Drop</t>
        </is>
      </c>
      <c r="R174" s="12" t="n">
        <v>0.43</v>
      </c>
      <c r="S174" s="5" t="inlineStr">
        <is>
          <t>REJECTED</t>
        </is>
      </c>
      <c r="T174" s="5" t="inlineStr">
        <is>
          <t>DLS exceeds normal range</t>
        </is>
      </c>
    </row>
    <row r="175" s="17">
      <c r="A175" s="7" t="n">
        <v>4200</v>
      </c>
      <c r="B175" s="8" t="n">
        <v>67255.969075</v>
      </c>
      <c r="C175" s="9" t="n">
        <v>67.255969075</v>
      </c>
      <c r="D175" s="9" t="n">
        <v>140.91428561</v>
      </c>
      <c r="E175" s="9" t="n">
        <v>44.55343064</v>
      </c>
      <c r="F175" s="10" t="n">
        <v>0.1085659953246132</v>
      </c>
      <c r="G175" s="10" t="n">
        <v>0.09340681963060936</v>
      </c>
      <c r="H175" s="10" t="n">
        <v>0.961056284722914</v>
      </c>
      <c r="I175" s="10" t="n">
        <v>0.435529</v>
      </c>
      <c r="J175" s="5" t="inlineStr">
        <is>
          <t>Cleaner sand</t>
        </is>
      </c>
      <c r="K175" s="11" t="n">
        <v>21.22673430661199</v>
      </c>
      <c r="L175" s="12" t="n">
        <v>1.691592463256959</v>
      </c>
      <c r="M175" s="12" t="n">
        <v>7.552445393090657</v>
      </c>
      <c r="N175" s="12" t="n">
        <v>16.28562225539382</v>
      </c>
      <c r="O175" s="12" t="n">
        <v>256.045674446033</v>
      </c>
      <c r="P175" s="5" t="inlineStr">
        <is>
          <t>Caution</t>
        </is>
      </c>
      <c r="Q175" s="5" t="inlineStr">
        <is>
          <t>Drop</t>
        </is>
      </c>
      <c r="R175" s="12" t="n">
        <v>0.5</v>
      </c>
      <c r="S175" s="5" t="inlineStr">
        <is>
          <t>REDUCED</t>
        </is>
      </c>
      <c r="T175" s="5" t="inlineStr">
        <is>
          <t>DLS exceeds normal range</t>
        </is>
      </c>
    </row>
    <row r="176" s="17">
      <c r="A176" s="7" t="n">
        <v>4205</v>
      </c>
      <c r="B176" s="8" t="n">
        <v>63807.310595</v>
      </c>
      <c r="C176" s="9" t="n">
        <v>63.807310595</v>
      </c>
      <c r="D176" s="9" t="n">
        <v>163.11145094</v>
      </c>
      <c r="E176" s="9" t="n">
        <v>30</v>
      </c>
      <c r="F176" s="10" t="n">
        <v>0.1048154464067683</v>
      </c>
      <c r="G176" s="10" t="n">
        <v>0.2505282576598953</v>
      </c>
      <c r="H176" s="10" t="n">
        <v>0.8720761533163588</v>
      </c>
      <c r="I176" s="10" t="n">
        <v>1.363774</v>
      </c>
      <c r="J176" s="5" t="inlineStr">
        <is>
          <t>Transition</t>
        </is>
      </c>
      <c r="K176" s="11" t="n">
        <v>20.52799025279664</v>
      </c>
      <c r="L176" s="12" t="n">
        <v>1.1</v>
      </c>
      <c r="M176" s="12" t="n">
        <v>6.793996321353678</v>
      </c>
      <c r="N176" s="12" t="n">
        <v>18.75102418317275</v>
      </c>
      <c r="O176" s="12" t="n">
        <v>229.471413111826</v>
      </c>
      <c r="P176" s="5" t="inlineStr">
        <is>
          <t>Caution</t>
        </is>
      </c>
      <c r="Q176" s="5" t="inlineStr">
        <is>
          <t>Drop</t>
        </is>
      </c>
      <c r="R176" s="12" t="n">
        <v>0.48</v>
      </c>
      <c r="S176" s="5" t="inlineStr">
        <is>
          <t>REJECTED</t>
        </is>
      </c>
      <c r="T176" s="5" t="inlineStr">
        <is>
          <t>DLS exceeds normal range</t>
        </is>
      </c>
    </row>
    <row r="177" s="17">
      <c r="A177" s="7" t="n">
        <v>4210</v>
      </c>
      <c r="B177" s="8" t="n">
        <v>41581.272106</v>
      </c>
      <c r="C177" s="9" t="n">
        <v>41.581272106</v>
      </c>
      <c r="D177" s="9" t="n">
        <v>118.49449643</v>
      </c>
      <c r="E177" s="9" t="n">
        <v>60.2277782</v>
      </c>
      <c r="F177" s="10" t="n">
        <v>0.07156875947016664</v>
      </c>
      <c r="G177" s="10" t="n">
        <v>0.250985368747298</v>
      </c>
      <c r="H177" s="10" t="n">
        <v>0.8928389094747219</v>
      </c>
      <c r="I177" s="10" t="n">
        <v>0.781309</v>
      </c>
      <c r="J177" s="5" t="inlineStr">
        <is>
          <t>Transition</t>
        </is>
      </c>
      <c r="K177" s="11" t="n">
        <v>16.99063354364711</v>
      </c>
      <c r="L177" s="12" t="n">
        <v>1.19972565702881</v>
      </c>
      <c r="M177" s="12" t="n">
        <v>8.144527519952348</v>
      </c>
      <c r="N177" s="12" t="n">
        <v>15.95283553887798</v>
      </c>
      <c r="O177" s="12" t="n">
        <v>205.1326213979651</v>
      </c>
      <c r="P177" s="5" t="inlineStr">
        <is>
          <t>Caution</t>
        </is>
      </c>
      <c r="Q177" s="5" t="inlineStr">
        <is>
          <t>Drop</t>
        </is>
      </c>
      <c r="R177" s="12" t="n">
        <v>0.55</v>
      </c>
      <c r="S177" s="5" t="inlineStr">
        <is>
          <t>REDUCED</t>
        </is>
      </c>
      <c r="T177" s="5" t="inlineStr">
        <is>
          <t>DLS exceeds normal range</t>
        </is>
      </c>
    </row>
    <row r="178" s="17">
      <c r="A178" s="7" t="n">
        <v>4215</v>
      </c>
      <c r="B178" s="8" t="n">
        <v>65818.903082</v>
      </c>
      <c r="C178" s="9" t="n">
        <v>65.81890308200001</v>
      </c>
      <c r="D178" s="9" t="n">
        <v>155.39648784</v>
      </c>
      <c r="E178" s="9" t="n">
        <v>45.71592086</v>
      </c>
      <c r="F178" s="10" t="n">
        <v>0.1517431134540879</v>
      </c>
      <c r="G178" s="10" t="n">
        <v>0.0826032501384161</v>
      </c>
      <c r="H178" s="10" t="n">
        <v>0.9577615044025228</v>
      </c>
      <c r="I178" s="10" t="n">
        <v>0.680994</v>
      </c>
      <c r="J178" s="5" t="inlineStr">
        <is>
          <t>Cleaner sand</t>
        </is>
      </c>
      <c r="K178" s="11" t="n">
        <v>20.63427670825109</v>
      </c>
      <c r="L178" s="12" t="n">
        <v>1.589397097696408</v>
      </c>
      <c r="M178" s="12" t="n">
        <v>5.913999241140523</v>
      </c>
      <c r="N178" s="12" t="n">
        <v>17.02516932620135</v>
      </c>
      <c r="O178" s="12" t="n">
        <v>236.2490337318076</v>
      </c>
      <c r="P178" s="5" t="inlineStr">
        <is>
          <t>Normal</t>
        </is>
      </c>
      <c r="Q178" s="5" t="inlineStr">
        <is>
          <t>Drop</t>
        </is>
      </c>
      <c r="R178" s="12" t="n">
        <v>0.51</v>
      </c>
      <c r="S178" s="5" t="inlineStr">
        <is>
          <t>REDUCED</t>
        </is>
      </c>
      <c r="T178" s="5" t="inlineStr">
        <is>
          <t>Normal operation</t>
        </is>
      </c>
    </row>
    <row r="179" s="17">
      <c r="A179" s="7" t="n">
        <v>4220</v>
      </c>
      <c r="B179" s="8" t="n">
        <v>62059.339215</v>
      </c>
      <c r="C179" s="9" t="n">
        <v>62.059339215</v>
      </c>
      <c r="D179" s="9" t="n">
        <v>113.59690833</v>
      </c>
      <c r="E179" s="9" t="n">
        <v>51.42568418</v>
      </c>
      <c r="F179" s="10" t="n">
        <v>0.1118272987204367</v>
      </c>
      <c r="G179" s="10" t="n">
        <v>0.3365823403561112</v>
      </c>
      <c r="H179" s="10" t="n">
        <v>0.8759955556636538</v>
      </c>
      <c r="I179" s="10" t="n">
        <v>1.406475</v>
      </c>
      <c r="J179" s="5" t="inlineStr">
        <is>
          <t>Transition</t>
        </is>
      </c>
      <c r="K179" s="11" t="n">
        <v>21.38334379060693</v>
      </c>
      <c r="L179" s="12" t="n">
        <v>1.1</v>
      </c>
      <c r="M179" s="12" t="n">
        <v>7.541918796649924</v>
      </c>
      <c r="N179" s="12" t="n">
        <v>18.51239770030956</v>
      </c>
      <c r="O179" s="12" t="n">
        <v>233.0255262914799</v>
      </c>
      <c r="P179" s="5" t="inlineStr">
        <is>
          <t>Caution</t>
        </is>
      </c>
      <c r="Q179" s="5" t="inlineStr">
        <is>
          <t>Drop</t>
        </is>
      </c>
      <c r="R179" s="12" t="n">
        <v>0.92</v>
      </c>
      <c r="S179" s="5" t="inlineStr">
        <is>
          <t>ACCEPTED</t>
        </is>
      </c>
      <c r="T179" s="5" t="inlineStr">
        <is>
          <t>DLS exceeds normal range</t>
        </is>
      </c>
    </row>
    <row r="180" s="17">
      <c r="A180" s="7" t="n">
        <v>4225</v>
      </c>
      <c r="B180" s="8" t="n">
        <v>51525.489691</v>
      </c>
      <c r="C180" s="9" t="n">
        <v>51.525489691</v>
      </c>
      <c r="D180" s="9" t="n">
        <v>128.08617961</v>
      </c>
      <c r="E180" s="9" t="n">
        <v>57.20356818</v>
      </c>
      <c r="F180" s="10" t="n">
        <v>0.06816132687015489</v>
      </c>
      <c r="G180" s="10" t="n">
        <v>0.03079981201786602</v>
      </c>
      <c r="H180" s="10" t="n">
        <v>0.9090526445166991</v>
      </c>
      <c r="I180" s="10" t="n">
        <v>0.661531</v>
      </c>
      <c r="J180" s="5" t="inlineStr">
        <is>
          <t>Cleaner sand</t>
        </is>
      </c>
      <c r="K180" s="11" t="n">
        <v>17.72775013804032</v>
      </c>
      <c r="L180" s="12" t="n">
        <v>1.95396507769814</v>
      </c>
      <c r="M180" s="12" t="n">
        <v>6.505330205135409</v>
      </c>
      <c r="N180" s="12" t="n">
        <v>16.80172597585845</v>
      </c>
      <c r="O180" s="12" t="n">
        <v>209.9579156073876</v>
      </c>
      <c r="P180" s="5" t="inlineStr">
        <is>
          <t>Caution</t>
        </is>
      </c>
      <c r="Q180" s="5" t="inlineStr">
        <is>
          <t>Drop</t>
        </is>
      </c>
      <c r="R180" s="12" t="n">
        <v>0.45</v>
      </c>
      <c r="S180" s="5" t="inlineStr">
        <is>
          <t>REJECTED</t>
        </is>
      </c>
      <c r="T180" s="5" t="inlineStr">
        <is>
          <t>DLS exceeds normal range</t>
        </is>
      </c>
    </row>
    <row r="181" s="17">
      <c r="A181" s="7" t="n">
        <v>4230</v>
      </c>
      <c r="B181" s="8" t="n">
        <v>45608.067401</v>
      </c>
      <c r="C181" s="9" t="n">
        <v>45.608067401</v>
      </c>
      <c r="D181" s="9" t="n">
        <v>150.9005857</v>
      </c>
      <c r="E181" s="9" t="n">
        <v>65.46379225999999</v>
      </c>
      <c r="F181" s="10" t="n">
        <v>0.08539243948779426</v>
      </c>
      <c r="G181" s="10" t="n">
        <v>0.09756153932397289</v>
      </c>
      <c r="H181" s="10" t="n">
        <v>0.9192585294414942</v>
      </c>
      <c r="I181" s="10" t="n">
        <v>0.676081</v>
      </c>
      <c r="J181" s="5" t="inlineStr">
        <is>
          <t>Cleaner sand</t>
        </is>
      </c>
      <c r="K181" s="11" t="n">
        <v>19.62423420312585</v>
      </c>
      <c r="L181" s="12" t="n">
        <v>2.410067907848412</v>
      </c>
      <c r="M181" s="12" t="n">
        <v>8.367690934587163</v>
      </c>
      <c r="N181" s="12" t="n">
        <v>17.20880995088179</v>
      </c>
      <c r="O181" s="12" t="n">
        <v>213.9470116383406</v>
      </c>
      <c r="P181" s="5" t="inlineStr">
        <is>
          <t>Caution</t>
        </is>
      </c>
      <c r="Q181" s="5" t="inlineStr">
        <is>
          <t>Drop</t>
        </is>
      </c>
      <c r="R181" s="12" t="n">
        <v>0.52</v>
      </c>
      <c r="S181" s="5" t="inlineStr">
        <is>
          <t>REDUCED</t>
        </is>
      </c>
      <c r="T181" s="5" t="inlineStr">
        <is>
          <t>DLS exceeds normal range</t>
        </is>
      </c>
    </row>
    <row r="182" s="17">
      <c r="A182" s="7" t="n">
        <v>4235</v>
      </c>
      <c r="B182" s="8" t="n">
        <v>36160.348609</v>
      </c>
      <c r="C182" s="9" t="n">
        <v>36.160348609</v>
      </c>
      <c r="D182" s="9" t="n">
        <v>129.03433387</v>
      </c>
      <c r="E182" s="9" t="n">
        <v>53.50516318</v>
      </c>
      <c r="F182" s="10" t="n">
        <v>0.03965193757023479</v>
      </c>
      <c r="G182" s="10" t="n">
        <v>0.05836771979289639</v>
      </c>
      <c r="H182" s="10" t="n">
        <v>0.9748938789448279</v>
      </c>
      <c r="I182" s="10" t="n">
        <v>0.128212</v>
      </c>
      <c r="J182" s="5" t="inlineStr">
        <is>
          <t>Cleaner sand</t>
        </is>
      </c>
      <c r="K182" s="11" t="n">
        <v>15.79209257340579</v>
      </c>
      <c r="L182" s="12" t="n">
        <v>2.257193307331685</v>
      </c>
      <c r="M182" s="12" t="n">
        <v>8.588105280172886</v>
      </c>
      <c r="N182" s="12" t="n">
        <v>18.37228571406699</v>
      </c>
      <c r="O182" s="12" t="n">
        <v>248.2734448135286</v>
      </c>
      <c r="P182" s="5" t="inlineStr">
        <is>
          <t>Caution</t>
        </is>
      </c>
      <c r="Q182" s="5" t="inlineStr">
        <is>
          <t>Drop</t>
        </is>
      </c>
      <c r="R182" s="12" t="n">
        <v>0.44</v>
      </c>
      <c r="S182" s="5" t="inlineStr">
        <is>
          <t>REJECTED</t>
        </is>
      </c>
      <c r="T182" s="5" t="inlineStr">
        <is>
          <t>DLS exceeds normal range</t>
        </is>
      </c>
    </row>
    <row r="183" s="17">
      <c r="A183" s="7" t="n">
        <v>4240</v>
      </c>
      <c r="B183" s="8" t="n">
        <v>55621.733981</v>
      </c>
      <c r="C183" s="9" t="n">
        <v>55.621733981</v>
      </c>
      <c r="D183" s="9" t="n">
        <v>134.85560434</v>
      </c>
      <c r="E183" s="9" t="n">
        <v>64.97469095999999</v>
      </c>
      <c r="F183" s="10" t="n">
        <v>0.06495441638332419</v>
      </c>
      <c r="G183" s="10" t="n">
        <v>0.270056706665864</v>
      </c>
      <c r="H183" s="10" t="n">
        <v>0.9340735958597721</v>
      </c>
      <c r="I183" s="10" t="n">
        <v>0.466771</v>
      </c>
      <c r="J183" s="5" t="inlineStr">
        <is>
          <t>Transition</t>
        </is>
      </c>
      <c r="K183" s="11" t="n">
        <v>17.88863732893542</v>
      </c>
      <c r="L183" s="12" t="n">
        <v>1.555412993244198</v>
      </c>
      <c r="M183" s="12" t="n">
        <v>6.382406628982812</v>
      </c>
      <c r="N183" s="12" t="n">
        <v>17.84212755565635</v>
      </c>
      <c r="O183" s="12" t="n">
        <v>214.785198803203</v>
      </c>
      <c r="P183" s="5" t="inlineStr">
        <is>
          <t>Caution</t>
        </is>
      </c>
      <c r="Q183" s="5" t="inlineStr">
        <is>
          <t>Drop</t>
        </is>
      </c>
      <c r="R183" s="12" t="n">
        <v>0.9399999999999999</v>
      </c>
      <c r="S183" s="5" t="inlineStr">
        <is>
          <t>ACCEPTED</t>
        </is>
      </c>
      <c r="T183" s="5" t="inlineStr">
        <is>
          <t>DLS exceeds normal range</t>
        </is>
      </c>
    </row>
    <row r="184" s="17">
      <c r="A184" s="7" t="n">
        <v>4245</v>
      </c>
      <c r="B184" s="8" t="n">
        <v>69292.08111499999</v>
      </c>
      <c r="C184" s="9" t="n">
        <v>69.29208111499999</v>
      </c>
      <c r="D184" s="9" t="n">
        <v>118.54986724</v>
      </c>
      <c r="E184" s="9" t="n">
        <v>34.678866</v>
      </c>
      <c r="F184" s="10" t="n">
        <v>0.09374123012729908</v>
      </c>
      <c r="G184" s="10" t="n">
        <v>0.124535656705811</v>
      </c>
      <c r="H184" s="10" t="n">
        <v>0.9440927172544309</v>
      </c>
      <c r="I184" s="10" t="n">
        <v>0.55017</v>
      </c>
      <c r="J184" s="5" t="inlineStr">
        <is>
          <t>Cleaner sand</t>
        </is>
      </c>
      <c r="K184" s="11" t="n">
        <v>20.18917487271987</v>
      </c>
      <c r="L184" s="12" t="n">
        <v>2.390455807056477</v>
      </c>
      <c r="M184" s="12" t="n">
        <v>6.557459496670344</v>
      </c>
      <c r="N184" s="12" t="n">
        <v>17.53025491864423</v>
      </c>
      <c r="O184" s="12" t="n">
        <v>222.4102155384455</v>
      </c>
      <c r="P184" s="5" t="inlineStr">
        <is>
          <t>Caution</t>
        </is>
      </c>
      <c r="Q184" s="5" t="inlineStr">
        <is>
          <t>Drop</t>
        </is>
      </c>
      <c r="R184" s="12" t="n">
        <v>0.91</v>
      </c>
      <c r="S184" s="5" t="inlineStr">
        <is>
          <t>ACCEPTED</t>
        </is>
      </c>
      <c r="T184" s="5" t="inlineStr">
        <is>
          <t>DLS exceeds normal range</t>
        </is>
      </c>
    </row>
    <row r="185" s="17">
      <c r="A185" s="7" t="n">
        <v>4250</v>
      </c>
      <c r="B185" s="8" t="n">
        <v>70962.406948</v>
      </c>
      <c r="C185" s="9" t="n">
        <v>70.96240694800001</v>
      </c>
      <c r="D185" s="9" t="n">
        <v>119.38820876</v>
      </c>
      <c r="E185" s="9" t="n">
        <v>40.96104098</v>
      </c>
      <c r="F185" s="10" t="n">
        <v>0.1170530207705444</v>
      </c>
      <c r="G185" s="10" t="n">
        <v>0.330920850472035</v>
      </c>
      <c r="H185" s="10" t="n">
        <v>0.8700267650760567</v>
      </c>
      <c r="I185" s="10" t="n">
        <v>1.513397</v>
      </c>
      <c r="J185" s="5" t="inlineStr">
        <is>
          <t>Transition</t>
        </is>
      </c>
      <c r="K185" s="11" t="n">
        <v>22.04974883071395</v>
      </c>
      <c r="L185" s="12" t="n">
        <v>1.732847054029035</v>
      </c>
      <c r="M185" s="12" t="n">
        <v>7.685883134502042</v>
      </c>
      <c r="N185" s="12" t="n">
        <v>16.63180539681054</v>
      </c>
      <c r="O185" s="12" t="n">
        <v>206.0007261916377</v>
      </c>
      <c r="P185" s="5" t="inlineStr">
        <is>
          <t>Caution</t>
        </is>
      </c>
      <c r="Q185" s="5" t="inlineStr">
        <is>
          <t>Drop</t>
        </is>
      </c>
      <c r="R185" s="12" t="n">
        <v>0.79</v>
      </c>
      <c r="S185" s="5" t="inlineStr">
        <is>
          <t>ACCEPTED</t>
        </is>
      </c>
      <c r="T185" s="5" t="inlineStr">
        <is>
          <t>DLS exceeds normal range</t>
        </is>
      </c>
    </row>
    <row r="186" s="17">
      <c r="A186" s="7" t="n">
        <v>4255</v>
      </c>
      <c r="B186" s="8" t="n">
        <v>33127.749014</v>
      </c>
      <c r="C186" s="9" t="n">
        <v>33.127749014</v>
      </c>
      <c r="D186" s="9" t="n">
        <v>122.39554655</v>
      </c>
      <c r="E186" s="9" t="n">
        <v>57.87844458</v>
      </c>
      <c r="F186" s="10" t="n">
        <v>0.0618565706493676</v>
      </c>
      <c r="G186" s="10" t="n">
        <v>0.2370497134352881</v>
      </c>
      <c r="H186" s="10" t="n">
        <v>0.9824084456788351</v>
      </c>
      <c r="I186" s="10" t="n">
        <v>0.11873</v>
      </c>
      <c r="J186" s="5" t="inlineStr">
        <is>
          <t>Cleaner sand</t>
        </is>
      </c>
      <c r="K186" s="11" t="n">
        <v>14.38520178900941</v>
      </c>
      <c r="L186" s="12" t="n">
        <v>1.494827874152161</v>
      </c>
      <c r="M186" s="12" t="n">
        <v>6.689350164317635</v>
      </c>
      <c r="N186" s="12" t="n">
        <v>17.44301716611262</v>
      </c>
      <c r="O186" s="12" t="n">
        <v>189.1660313466036</v>
      </c>
      <c r="P186" s="5" t="inlineStr">
        <is>
          <t>Caution</t>
        </is>
      </c>
      <c r="Q186" s="5" t="inlineStr">
        <is>
          <t>Drop</t>
        </is>
      </c>
      <c r="R186" s="12" t="n">
        <v>0.63</v>
      </c>
      <c r="S186" s="5" t="inlineStr">
        <is>
          <t>REDUCED</t>
        </is>
      </c>
      <c r="T186" s="5" t="inlineStr">
        <is>
          <t>DLS exceeds normal range</t>
        </is>
      </c>
    </row>
    <row r="187" s="17">
      <c r="A187" s="7" t="n">
        <v>4260</v>
      </c>
      <c r="B187" s="8" t="n">
        <v>48474.870288</v>
      </c>
      <c r="C187" s="9" t="n">
        <v>48.474870288</v>
      </c>
      <c r="D187" s="9" t="n">
        <v>125.38341884</v>
      </c>
      <c r="E187" s="9" t="n">
        <v>56.13745256</v>
      </c>
      <c r="F187" s="10" t="n">
        <v>0.1359901037240286</v>
      </c>
      <c r="G187" s="10" t="n">
        <v>0.2668705637944572</v>
      </c>
      <c r="H187" s="10" t="n">
        <v>0.9568228081989711</v>
      </c>
      <c r="I187" s="10" t="n">
        <v>0.617714</v>
      </c>
      <c r="J187" s="5" t="inlineStr">
        <is>
          <t>Transition</t>
        </is>
      </c>
      <c r="K187" s="11" t="n">
        <v>18.14533258166072</v>
      </c>
      <c r="L187" s="12" t="n">
        <v>1.359432694864939</v>
      </c>
      <c r="M187" s="12" t="n">
        <v>6.963301752786371</v>
      </c>
      <c r="N187" s="12" t="n">
        <v>16.69035858853468</v>
      </c>
      <c r="O187" s="12" t="n">
        <v>206.0904523321524</v>
      </c>
      <c r="P187" s="5" t="inlineStr">
        <is>
          <t>Caution</t>
        </is>
      </c>
      <c r="Q187" s="5" t="inlineStr">
        <is>
          <t>Drop</t>
        </is>
      </c>
      <c r="R187" s="12" t="n">
        <v>0.5</v>
      </c>
      <c r="S187" s="5" t="inlineStr">
        <is>
          <t>REDUCED</t>
        </is>
      </c>
      <c r="T187" s="5" t="inlineStr">
        <is>
          <t>DLS exceeds normal range</t>
        </is>
      </c>
    </row>
    <row r="188" s="17">
      <c r="A188" s="7" t="n">
        <v>4265</v>
      </c>
      <c r="B188" s="8" t="n">
        <v>74244.461344</v>
      </c>
      <c r="C188" s="9" t="n">
        <v>74.244461344</v>
      </c>
      <c r="D188" s="9" t="n">
        <v>118.5188044</v>
      </c>
      <c r="E188" s="9" t="n">
        <v>30</v>
      </c>
      <c r="F188" s="10" t="n">
        <v>0.1028829564542401</v>
      </c>
      <c r="G188" s="10" t="n">
        <v>0.3294993346477368</v>
      </c>
      <c r="H188" s="10" t="n">
        <v>0.8853133588208377</v>
      </c>
      <c r="I188" s="10" t="n">
        <v>1.174259</v>
      </c>
      <c r="J188" s="5" t="inlineStr">
        <is>
          <t>Transition</t>
        </is>
      </c>
      <c r="K188" s="11" t="n">
        <v>22.64415482419244</v>
      </c>
      <c r="L188" s="12" t="n">
        <v>1.511789853620817</v>
      </c>
      <c r="M188" s="12" t="n">
        <v>7.020251652011427</v>
      </c>
      <c r="N188" s="12" t="n">
        <v>17.33563172196926</v>
      </c>
      <c r="O188" s="12" t="n">
        <v>203.0299245014949</v>
      </c>
      <c r="P188" s="5" t="inlineStr">
        <is>
          <t>Caution</t>
        </is>
      </c>
      <c r="Q188" s="5" t="inlineStr">
        <is>
          <t>Drop</t>
        </is>
      </c>
      <c r="R188" s="12" t="n">
        <v>0.52</v>
      </c>
      <c r="S188" s="5" t="inlineStr">
        <is>
          <t>REDUCED</t>
        </is>
      </c>
      <c r="T188" s="5" t="inlineStr">
        <is>
          <t>DLS exceeds normal range</t>
        </is>
      </c>
    </row>
    <row r="189" s="17">
      <c r="A189" s="7" t="n">
        <v>4270</v>
      </c>
      <c r="B189" s="8" t="n">
        <v>43240.614894</v>
      </c>
      <c r="C189" s="9" t="n">
        <v>43.240614894</v>
      </c>
      <c r="D189" s="9" t="n">
        <v>128.5325406</v>
      </c>
      <c r="E189" s="9" t="n">
        <v>71.44900998</v>
      </c>
      <c r="F189" s="10" t="n">
        <v>0.03731892904222695</v>
      </c>
      <c r="G189" s="10" t="n">
        <v>0.04296428503423865</v>
      </c>
      <c r="H189" s="10" t="n">
        <v>0.9700889019264054</v>
      </c>
      <c r="I189" s="10" t="n">
        <v>0.128218</v>
      </c>
      <c r="J189" s="5" t="inlineStr">
        <is>
          <t>Cleaner sand</t>
        </is>
      </c>
      <c r="K189" s="11" t="n">
        <v>16.39581040713905</v>
      </c>
      <c r="L189" s="12" t="n">
        <v>1.469793358914798</v>
      </c>
      <c r="M189" s="12" t="n">
        <v>5.464246703908977</v>
      </c>
      <c r="N189" s="12" t="n">
        <v>15.98374615281376</v>
      </c>
      <c r="O189" s="12" t="n">
        <v>199.7553070792517</v>
      </c>
      <c r="P189" s="5" t="inlineStr">
        <is>
          <t>Normal</t>
        </is>
      </c>
      <c r="Q189" s="5" t="inlineStr">
        <is>
          <t>Turn Right</t>
        </is>
      </c>
      <c r="R189" s="12" t="n">
        <v>0.64</v>
      </c>
      <c r="S189" s="5" t="inlineStr">
        <is>
          <t>REDUCED</t>
        </is>
      </c>
      <c r="T189" s="5" t="inlineStr">
        <is>
          <t>Normal operation</t>
        </is>
      </c>
    </row>
    <row r="190" s="17">
      <c r="A190" s="7" t="n">
        <v>4275</v>
      </c>
      <c r="B190" s="8" t="n">
        <v>37619.602297</v>
      </c>
      <c r="C190" s="9" t="n">
        <v>37.619602297</v>
      </c>
      <c r="D190" s="9" t="n">
        <v>116.66779927</v>
      </c>
      <c r="E190" s="9" t="n">
        <v>31.04891132</v>
      </c>
      <c r="F190" s="10" t="n">
        <v>0.09456287844570341</v>
      </c>
      <c r="G190" s="10" t="n">
        <v>0.2019672809138488</v>
      </c>
      <c r="H190" s="10" t="n">
        <v>0.8787590270096837</v>
      </c>
      <c r="I190" s="10" t="n">
        <v>1.154657</v>
      </c>
      <c r="J190" s="5" t="inlineStr">
        <is>
          <t>Cleaner sand</t>
        </is>
      </c>
      <c r="K190" s="11" t="n">
        <v>14.58801981995652</v>
      </c>
      <c r="L190" s="12" t="n">
        <v>1.743503948963989</v>
      </c>
      <c r="M190" s="12" t="n">
        <v>6.988693467180087</v>
      </c>
      <c r="N190" s="12" t="n">
        <v>16.28169147517511</v>
      </c>
      <c r="O190" s="12" t="n">
        <v>200.8566903415329</v>
      </c>
      <c r="P190" s="5" t="inlineStr">
        <is>
          <t>Caution</t>
        </is>
      </c>
      <c r="Q190" s="5" t="inlineStr">
        <is>
          <t>Drop</t>
        </is>
      </c>
      <c r="R190" s="12" t="n">
        <v>0.82</v>
      </c>
      <c r="S190" s="5" t="inlineStr">
        <is>
          <t>ACCEPTED</t>
        </is>
      </c>
      <c r="T190" s="5" t="inlineStr">
        <is>
          <t>DLS exceeds normal range</t>
        </is>
      </c>
    </row>
    <row r="191" s="17">
      <c r="A191" s="7" t="n">
        <v>4280</v>
      </c>
      <c r="B191" s="8" t="n">
        <v>56780.894292</v>
      </c>
      <c r="C191" s="9" t="n">
        <v>56.780894292</v>
      </c>
      <c r="D191" s="9" t="n">
        <v>151.11435787</v>
      </c>
      <c r="E191" s="9" t="n">
        <v>36.73191968</v>
      </c>
      <c r="F191" s="10" t="n">
        <v>0.0793928364361443</v>
      </c>
      <c r="G191" s="10" t="n">
        <v>0.3546219473884706</v>
      </c>
      <c r="H191" s="10" t="n">
        <v>0.9518717457645007</v>
      </c>
      <c r="I191" s="10" t="n">
        <v>0.411154</v>
      </c>
      <c r="J191" s="5" t="inlineStr">
        <is>
          <t>Transition</t>
        </is>
      </c>
      <c r="K191" s="11" t="n">
        <v>17.44414231092459</v>
      </c>
      <c r="L191" s="12" t="n">
        <v>1.738681250714434</v>
      </c>
      <c r="M191" s="12" t="n">
        <v>6.447494016618649</v>
      </c>
      <c r="N191" s="12" t="n">
        <v>15.12135936795228</v>
      </c>
      <c r="O191" s="12" t="n">
        <v>203.0808520661011</v>
      </c>
      <c r="P191" s="5" t="inlineStr">
        <is>
          <t>Caution</t>
        </is>
      </c>
      <c r="Q191" s="5" t="inlineStr">
        <is>
          <t>Turn Right</t>
        </is>
      </c>
      <c r="R191" s="12" t="n">
        <v>0.55</v>
      </c>
      <c r="S191" s="5" t="inlineStr">
        <is>
          <t>REDUCED</t>
        </is>
      </c>
      <c r="T191" s="5" t="inlineStr">
        <is>
          <t>DLS exceeds normal range</t>
        </is>
      </c>
    </row>
    <row r="192" s="17">
      <c r="A192" s="7" t="n">
        <v>4285</v>
      </c>
      <c r="B192" s="8" t="n">
        <v>51007.670885</v>
      </c>
      <c r="C192" s="9" t="n">
        <v>51.007670885</v>
      </c>
      <c r="D192" s="9" t="n">
        <v>147.65311877</v>
      </c>
      <c r="E192" s="9" t="n">
        <v>73.65047627999999</v>
      </c>
      <c r="F192" s="10" t="n">
        <v>0.06711934630978383</v>
      </c>
      <c r="G192" s="10" t="n">
        <v>0.09267994365225719</v>
      </c>
      <c r="H192" s="10" t="n">
        <v>0.9423628636367046</v>
      </c>
      <c r="I192" s="10" t="n">
        <v>0.429065</v>
      </c>
      <c r="J192" s="5" t="inlineStr">
        <is>
          <t>Cleaner sand</t>
        </is>
      </c>
      <c r="K192" s="11" t="n">
        <v>17.45065394196261</v>
      </c>
      <c r="L192" s="12" t="n">
        <v>1.661492549875173</v>
      </c>
      <c r="M192" s="12" t="n">
        <v>6.604024718790056</v>
      </c>
      <c r="N192" s="12" t="n">
        <v>16.25206796166318</v>
      </c>
      <c r="O192" s="12" t="n">
        <v>197.5627539332154</v>
      </c>
      <c r="P192" s="5" t="inlineStr">
        <is>
          <t>Caution</t>
        </is>
      </c>
      <c r="Q192" s="5" t="inlineStr">
        <is>
          <t>Drop</t>
        </is>
      </c>
      <c r="R192" s="12" t="n">
        <v>0.57</v>
      </c>
      <c r="S192" s="5" t="inlineStr">
        <is>
          <t>REDUCED</t>
        </is>
      </c>
      <c r="T192" s="5" t="inlineStr">
        <is>
          <t>DLS exceeds normal range</t>
        </is>
      </c>
    </row>
    <row r="193" s="17">
      <c r="A193" s="7" t="n">
        <v>4290</v>
      </c>
      <c r="B193" s="8" t="n">
        <v>58390.015958</v>
      </c>
      <c r="C193" s="9" t="n">
        <v>58.39001595800001</v>
      </c>
      <c r="D193" s="9" t="n">
        <v>131.42382986</v>
      </c>
      <c r="E193" s="9" t="n">
        <v>55.74065292</v>
      </c>
      <c r="F193" s="10" t="n">
        <v>0.1018729897389394</v>
      </c>
      <c r="G193" s="10" t="n">
        <v>0.2622219656241666</v>
      </c>
      <c r="H193" s="10" t="n">
        <v>0.9005939971366271</v>
      </c>
      <c r="I193" s="10" t="n">
        <v>1.051697</v>
      </c>
      <c r="J193" s="5" t="inlineStr">
        <is>
          <t>Transition</t>
        </is>
      </c>
      <c r="K193" s="11" t="n">
        <v>20.11134060465485</v>
      </c>
      <c r="L193" s="12" t="n">
        <v>1.874099703175711</v>
      </c>
      <c r="M193" s="12" t="n">
        <v>8.152409539419148</v>
      </c>
      <c r="N193" s="12" t="n">
        <v>15.13255008835517</v>
      </c>
      <c r="O193" s="12" t="n">
        <v>185.244358142349</v>
      </c>
      <c r="P193" s="5" t="inlineStr">
        <is>
          <t>Caution</t>
        </is>
      </c>
      <c r="Q193" s="5" t="inlineStr">
        <is>
          <t>Drop</t>
        </is>
      </c>
      <c r="R193" s="12" t="n">
        <v>0.73</v>
      </c>
      <c r="S193" s="5" t="inlineStr">
        <is>
          <t>ACCEPTED</t>
        </is>
      </c>
      <c r="T193" s="5" t="inlineStr">
        <is>
          <t>DLS exceeds normal range</t>
        </is>
      </c>
    </row>
    <row r="194" s="17">
      <c r="A194" s="7" t="n">
        <v>4295</v>
      </c>
      <c r="B194" s="8" t="n">
        <v>66744.77465000001</v>
      </c>
      <c r="C194" s="9" t="n">
        <v>66.74477465000001</v>
      </c>
      <c r="D194" s="9" t="n">
        <v>162.72295371</v>
      </c>
      <c r="E194" s="9" t="n">
        <v>38.63126272</v>
      </c>
      <c r="F194" s="10" t="n">
        <v>0.07329371641032459</v>
      </c>
      <c r="G194" s="10" t="n">
        <v>0.202449462962573</v>
      </c>
      <c r="H194" s="10" t="n">
        <v>0.9362569622832642</v>
      </c>
      <c r="I194" s="10" t="n">
        <v>0.468992</v>
      </c>
      <c r="J194" s="5" t="inlineStr">
        <is>
          <t>Cleaner sand</t>
        </is>
      </c>
      <c r="K194" s="11" t="n">
        <v>21.00565636560776</v>
      </c>
      <c r="L194" s="12" t="n">
        <v>2.243416674645307</v>
      </c>
      <c r="M194" s="12" t="n">
        <v>5.991013667984612</v>
      </c>
      <c r="N194" s="12" t="n">
        <v>14.62786418226346</v>
      </c>
      <c r="O194" s="12" t="n">
        <v>201.7649900588179</v>
      </c>
      <c r="P194" s="5" t="inlineStr">
        <is>
          <t>Normal</t>
        </is>
      </c>
      <c r="Q194" s="5" t="inlineStr">
        <is>
          <t>Turn Right</t>
        </is>
      </c>
      <c r="R194" s="12" t="n">
        <v>0.53</v>
      </c>
      <c r="S194" s="5" t="inlineStr">
        <is>
          <t>REDUCED</t>
        </is>
      </c>
      <c r="T194" s="5" t="inlineStr">
        <is>
          <t>Normal operation</t>
        </is>
      </c>
    </row>
    <row r="195" s="17">
      <c r="A195" s="7" t="n">
        <v>4300</v>
      </c>
      <c r="B195" s="8" t="n">
        <v>36555.601233</v>
      </c>
      <c r="C195" s="9" t="n">
        <v>36.555601233</v>
      </c>
      <c r="D195" s="9" t="n">
        <v>135.55941535</v>
      </c>
      <c r="E195" s="9" t="n">
        <v>50.19203846000001</v>
      </c>
      <c r="F195" s="10" t="n">
        <v>0.05549993235798919</v>
      </c>
      <c r="G195" s="10" t="n">
        <v>0.1068546338167118</v>
      </c>
      <c r="H195" s="10" t="n">
        <v>0.9608600594629102</v>
      </c>
      <c r="I195" s="10" t="n">
        <v>0.26704</v>
      </c>
      <c r="J195" s="5" t="inlineStr">
        <is>
          <t>Cleaner sand</t>
        </is>
      </c>
      <c r="K195" s="11" t="n">
        <v>13.99338195257878</v>
      </c>
      <c r="L195" s="12" t="n">
        <v>2.125281526366249</v>
      </c>
      <c r="M195" s="12" t="n">
        <v>7.645232951797272</v>
      </c>
      <c r="N195" s="12" t="n">
        <v>16.30165741608744</v>
      </c>
      <c r="O195" s="12" t="n">
        <v>180</v>
      </c>
      <c r="P195" s="5" t="inlineStr">
        <is>
          <t>Caution</t>
        </is>
      </c>
      <c r="Q195" s="5" t="inlineStr">
        <is>
          <t>Turn Right</t>
        </is>
      </c>
      <c r="R195" s="12" t="n">
        <v>0.72</v>
      </c>
      <c r="S195" s="5" t="inlineStr">
        <is>
          <t>ACCEPTED</t>
        </is>
      </c>
      <c r="T195" s="5" t="inlineStr">
        <is>
          <t>DLS exceeds normal range</t>
        </is>
      </c>
    </row>
    <row r="196" s="17">
      <c r="A196" s="7" t="n">
        <v>4305</v>
      </c>
      <c r="B196" s="8" t="n">
        <v>48103.528864</v>
      </c>
      <c r="C196" s="9" t="n">
        <v>48.103528864</v>
      </c>
      <c r="D196" s="9" t="n">
        <v>126.05855068</v>
      </c>
      <c r="E196" s="9" t="n">
        <v>48.71003524</v>
      </c>
      <c r="F196" s="10" t="n">
        <v>0.1388903356845708</v>
      </c>
      <c r="G196" s="10" t="n">
        <v>0.1371603871334531</v>
      </c>
      <c r="H196" s="10" t="n">
        <v>0.8885682900644719</v>
      </c>
      <c r="I196" s="10" t="n">
        <v>1.556503</v>
      </c>
      <c r="J196" s="5" t="inlineStr">
        <is>
          <t>Cleaner sand</t>
        </is>
      </c>
      <c r="K196" s="11" t="n">
        <v>17.5362152945754</v>
      </c>
      <c r="L196" s="12" t="n">
        <v>1.1</v>
      </c>
      <c r="M196" s="12" t="n">
        <v>6.769682552404737</v>
      </c>
      <c r="N196" s="12" t="n">
        <v>16.13123298889178</v>
      </c>
      <c r="O196" s="12" t="n">
        <v>180</v>
      </c>
      <c r="P196" s="5" t="inlineStr">
        <is>
          <t>Caution</t>
        </is>
      </c>
      <c r="Q196" s="5" t="inlineStr">
        <is>
          <t>Turn Right</t>
        </is>
      </c>
      <c r="R196" s="12" t="n">
        <v>0.61</v>
      </c>
      <c r="S196" s="5" t="inlineStr">
        <is>
          <t>REDUCED</t>
        </is>
      </c>
      <c r="T196" s="5" t="inlineStr">
        <is>
          <t>DLS exceeds normal range</t>
        </is>
      </c>
    </row>
    <row r="197" s="17">
      <c r="A197" s="7" t="n">
        <v>4310</v>
      </c>
      <c r="B197" s="8" t="n">
        <v>57992.65568</v>
      </c>
      <c r="C197" s="9" t="n">
        <v>57.99265568000001</v>
      </c>
      <c r="D197" s="9" t="n">
        <v>167.67929347</v>
      </c>
      <c r="E197" s="9" t="n">
        <v>52.98784404</v>
      </c>
      <c r="F197" s="10" t="n">
        <v>0.06777820264012561</v>
      </c>
      <c r="G197" s="10" t="n">
        <v>0.3426960406865592</v>
      </c>
      <c r="H197" s="10" t="n">
        <v>0.912972870000725</v>
      </c>
      <c r="I197" s="10" t="n">
        <v>0.6214730000000001</v>
      </c>
      <c r="J197" s="5" t="inlineStr">
        <is>
          <t>Transition</t>
        </is>
      </c>
      <c r="K197" s="11" t="n">
        <v>19.56717604125757</v>
      </c>
      <c r="L197" s="12" t="n">
        <v>1.1</v>
      </c>
      <c r="M197" s="12" t="n">
        <v>6.76696345212807</v>
      </c>
      <c r="N197" s="12" t="n">
        <v>16.76168049211135</v>
      </c>
      <c r="O197" s="12" t="n">
        <v>202.5664748665215</v>
      </c>
      <c r="P197" s="5" t="inlineStr">
        <is>
          <t>Caution</t>
        </is>
      </c>
      <c r="Q197" s="5" t="inlineStr">
        <is>
          <t>Drop</t>
        </is>
      </c>
      <c r="R197" s="12" t="n">
        <v>0.42</v>
      </c>
      <c r="S197" s="5" t="inlineStr">
        <is>
          <t>REJECTED</t>
        </is>
      </c>
      <c r="T197" s="5" t="inlineStr">
        <is>
          <t>DLS exceeds normal range</t>
        </is>
      </c>
    </row>
    <row r="198" s="17">
      <c r="A198" s="7" t="n">
        <v>4315</v>
      </c>
      <c r="B198" s="8" t="n">
        <v>44342.206245</v>
      </c>
      <c r="C198" s="9" t="n">
        <v>44.342206245</v>
      </c>
      <c r="D198" s="9" t="n">
        <v>136.22034079</v>
      </c>
      <c r="E198" s="9" t="n">
        <v>49.60807792</v>
      </c>
      <c r="F198" s="10" t="n">
        <v>0.04097070770616294</v>
      </c>
      <c r="G198" s="10" t="n">
        <v>0.1269958201776724</v>
      </c>
      <c r="H198" s="10" t="n">
        <v>0.9820608805336553</v>
      </c>
      <c r="I198" s="10" t="n">
        <v>0.06304700000000001</v>
      </c>
      <c r="J198" s="5" t="inlineStr">
        <is>
          <t>Cleaner sand</t>
        </is>
      </c>
      <c r="K198" s="11" t="n">
        <v>15.78738835707033</v>
      </c>
      <c r="L198" s="12" t="n">
        <v>2.117816756507244</v>
      </c>
      <c r="M198" s="12" t="n">
        <v>7.620722528348098</v>
      </c>
      <c r="N198" s="12" t="n">
        <v>15.07275475263195</v>
      </c>
      <c r="O198" s="12" t="n">
        <v>200.0795083346227</v>
      </c>
      <c r="P198" s="5" t="inlineStr">
        <is>
          <t>Caution</t>
        </is>
      </c>
      <c r="Q198" s="5" t="inlineStr">
        <is>
          <t>Drop</t>
        </is>
      </c>
      <c r="R198" s="12" t="n">
        <v>0.62</v>
      </c>
      <c r="S198" s="5" t="inlineStr">
        <is>
          <t>REDUCED</t>
        </is>
      </c>
      <c r="T198" s="5" t="inlineStr">
        <is>
          <t>DLS exceeds normal range</t>
        </is>
      </c>
    </row>
    <row r="199" s="17">
      <c r="A199" s="7" t="n">
        <v>4320</v>
      </c>
      <c r="B199" s="8" t="n">
        <v>63391.266346</v>
      </c>
      <c r="C199" s="9" t="n">
        <v>63.39126634599999</v>
      </c>
      <c r="D199" s="9" t="n">
        <v>132.79847664</v>
      </c>
      <c r="E199" s="9" t="n">
        <v>49.3538648</v>
      </c>
      <c r="F199" s="10" t="n">
        <v>0.1029736993592995</v>
      </c>
      <c r="G199" s="10" t="n">
        <v>0.2085062793263351</v>
      </c>
      <c r="H199" s="10" t="n">
        <v>0.9140900660581793</v>
      </c>
      <c r="I199" s="10" t="n">
        <v>0.883116</v>
      </c>
      <c r="J199" s="5" t="inlineStr">
        <is>
          <t>Cleaner sand</t>
        </is>
      </c>
      <c r="K199" s="11" t="n">
        <v>20.32850502426588</v>
      </c>
      <c r="L199" s="12" t="n">
        <v>1.1</v>
      </c>
      <c r="M199" s="12" t="n">
        <v>7.257854362047606</v>
      </c>
      <c r="N199" s="12" t="n">
        <v>16.05296005036875</v>
      </c>
      <c r="O199" s="12" t="n">
        <v>194.4767052548085</v>
      </c>
      <c r="P199" s="5" t="inlineStr">
        <is>
          <t>Caution</t>
        </is>
      </c>
      <c r="Q199" s="5" t="inlineStr">
        <is>
          <t>Drop</t>
        </is>
      </c>
      <c r="R199" s="12" t="n">
        <v>0.91</v>
      </c>
      <c r="S199" s="5" t="inlineStr">
        <is>
          <t>ACCEPTED</t>
        </is>
      </c>
      <c r="T199" s="5" t="inlineStr">
        <is>
          <t>DLS exceeds normal range</t>
        </is>
      </c>
    </row>
    <row r="200" s="17">
      <c r="A200" s="7" t="n">
        <v>4325</v>
      </c>
      <c r="B200" s="8" t="n">
        <v>58750.43606</v>
      </c>
      <c r="C200" s="9" t="n">
        <v>58.75043606</v>
      </c>
      <c r="D200" s="9" t="n">
        <v>101.366079</v>
      </c>
      <c r="E200" s="9" t="n">
        <v>31.85554368</v>
      </c>
      <c r="F200" s="10" t="n">
        <v>0.04717223707266026</v>
      </c>
      <c r="G200" s="10" t="n">
        <v>0.3722451878267835</v>
      </c>
      <c r="H200" s="10" t="n">
        <v>0.8731889675516239</v>
      </c>
      <c r="I200" s="10" t="n">
        <v>0.630116</v>
      </c>
      <c r="J200" s="5" t="inlineStr">
        <is>
          <t>Transition</t>
        </is>
      </c>
      <c r="K200" s="11" t="n">
        <v>19.37943958031144</v>
      </c>
      <c r="L200" s="12" t="n">
        <v>1.549864953072585</v>
      </c>
      <c r="M200" s="12" t="n">
        <v>7.439427102955763</v>
      </c>
      <c r="N200" s="12" t="n">
        <v>16.12780154983811</v>
      </c>
      <c r="O200" s="12" t="n">
        <v>181.3441226117968</v>
      </c>
      <c r="P200" s="5" t="inlineStr">
        <is>
          <t>Caution</t>
        </is>
      </c>
      <c r="Q200" s="5" t="inlineStr">
        <is>
          <t>Turn Right</t>
        </is>
      </c>
      <c r="R200" s="12" t="n">
        <v>0.5600000000000001</v>
      </c>
      <c r="S200" s="5" t="inlineStr">
        <is>
          <t>REDUCED</t>
        </is>
      </c>
      <c r="T200" s="5" t="inlineStr">
        <is>
          <t>DLS exceeds normal range</t>
        </is>
      </c>
    </row>
    <row r="201" s="17">
      <c r="A201" s="7" t="n">
        <v>4330</v>
      </c>
      <c r="B201" s="8" t="n">
        <v>46940.519191</v>
      </c>
      <c r="C201" s="9" t="n">
        <v>46.940519191</v>
      </c>
      <c r="D201" s="9" t="n">
        <v>141.29631483</v>
      </c>
      <c r="E201" s="9" t="n">
        <v>56.09138086</v>
      </c>
      <c r="F201" s="10" t="n">
        <v>0.06695708613781941</v>
      </c>
      <c r="G201" s="10" t="n">
        <v>0.09410764018831159</v>
      </c>
      <c r="H201" s="10" t="n">
        <v>0.965039299303039</v>
      </c>
      <c r="I201" s="10" t="n">
        <v>0.259758</v>
      </c>
      <c r="J201" s="5" t="inlineStr">
        <is>
          <t>Cleaner sand</t>
        </is>
      </c>
      <c r="K201" s="11" t="n">
        <v>16.0061614397132</v>
      </c>
      <c r="L201" s="12" t="n">
        <v>1.1</v>
      </c>
      <c r="M201" s="12" t="n">
        <v>7.754343067504306</v>
      </c>
      <c r="N201" s="12" t="n">
        <v>15.87924401246481</v>
      </c>
      <c r="O201" s="12" t="n">
        <v>188.6733101509874</v>
      </c>
      <c r="P201" s="5" t="inlineStr">
        <is>
          <t>Caution</t>
        </is>
      </c>
      <c r="Q201" s="5" t="inlineStr">
        <is>
          <t>Turn Right</t>
        </is>
      </c>
      <c r="R201" s="12" t="n">
        <v>0.58</v>
      </c>
      <c r="S201" s="5" t="inlineStr">
        <is>
          <t>REDUCED</t>
        </is>
      </c>
      <c r="T201" s="5" t="inlineStr">
        <is>
          <t>DLS exceeds normal range</t>
        </is>
      </c>
    </row>
    <row r="202" s="17">
      <c r="A202" s="7" t="n">
        <v>4335</v>
      </c>
      <c r="B202" s="8" t="n">
        <v>35476.196934</v>
      </c>
      <c r="C202" s="9" t="n">
        <v>35.476196934</v>
      </c>
      <c r="D202" s="9" t="n">
        <v>115.41254772</v>
      </c>
      <c r="E202" s="9" t="n">
        <v>64.71586698</v>
      </c>
      <c r="F202" s="10" t="n">
        <v>0.122445926914765</v>
      </c>
      <c r="G202" s="10" t="n">
        <v>0.1525158479381109</v>
      </c>
      <c r="H202" s="10" t="n">
        <v>0.9204479009645528</v>
      </c>
      <c r="I202" s="10" t="n">
        <v>0.972812</v>
      </c>
      <c r="J202" s="5" t="inlineStr">
        <is>
          <t>Cleaner sand</t>
        </is>
      </c>
      <c r="K202" s="11" t="n">
        <v>15.39838229686388</v>
      </c>
      <c r="L202" s="12" t="n">
        <v>1.1</v>
      </c>
      <c r="M202" s="12" t="n">
        <v>6.711342730345357</v>
      </c>
      <c r="N202" s="12" t="n">
        <v>14.11696163104233</v>
      </c>
      <c r="O202" s="12" t="n">
        <v>193.7832867898478</v>
      </c>
      <c r="P202" s="5" t="inlineStr">
        <is>
          <t>Caution</t>
        </is>
      </c>
      <c r="Q202" s="5" t="inlineStr">
        <is>
          <t>Turn Right</t>
        </is>
      </c>
      <c r="R202" s="12" t="n">
        <v>0.44</v>
      </c>
      <c r="S202" s="5" t="inlineStr">
        <is>
          <t>REJECTED</t>
        </is>
      </c>
      <c r="T202" s="5" t="inlineStr">
        <is>
          <t>DLS exceeds normal range</t>
        </is>
      </c>
    </row>
    <row r="203" s="17">
      <c r="A203" s="7" t="n">
        <v>4340</v>
      </c>
      <c r="B203" s="8" t="n">
        <v>66346.48555300001</v>
      </c>
      <c r="C203" s="9" t="n">
        <v>66.34648555300001</v>
      </c>
      <c r="D203" s="9" t="n">
        <v>119.77618008</v>
      </c>
      <c r="E203" s="9" t="n">
        <v>34.94715196</v>
      </c>
      <c r="F203" s="10" t="n">
        <v>0.09348378903230499</v>
      </c>
      <c r="G203" s="10" t="n">
        <v>0.2432854958268512</v>
      </c>
      <c r="H203" s="10" t="n">
        <v>0.9613425103796404</v>
      </c>
      <c r="I203" s="10" t="n">
        <v>0.372707</v>
      </c>
      <c r="J203" s="5" t="inlineStr">
        <is>
          <t>Cleaner sand</t>
        </is>
      </c>
      <c r="K203" s="11" t="n">
        <v>21.27909316914155</v>
      </c>
      <c r="L203" s="12" t="n">
        <v>1.925316736820346</v>
      </c>
      <c r="M203" s="12" t="n">
        <v>6.482929837405469</v>
      </c>
      <c r="N203" s="12" t="n">
        <v>15.27375730203905</v>
      </c>
      <c r="O203" s="12" t="n">
        <v>181.3127277082201</v>
      </c>
      <c r="P203" s="5" t="inlineStr">
        <is>
          <t>Caution</t>
        </is>
      </c>
      <c r="Q203" s="5" t="inlineStr">
        <is>
          <t>Turn Right</t>
        </is>
      </c>
      <c r="R203" s="12" t="n">
        <v>0.74</v>
      </c>
      <c r="S203" s="5" t="inlineStr">
        <is>
          <t>ACCEPTED</t>
        </is>
      </c>
      <c r="T203" s="5" t="inlineStr">
        <is>
          <t>DLS exceeds normal range</t>
        </is>
      </c>
    </row>
    <row r="204" s="17">
      <c r="A204" s="7" t="n">
        <v>4345</v>
      </c>
      <c r="B204" s="8" t="n">
        <v>33712.003459</v>
      </c>
      <c r="C204" s="9" t="n">
        <v>33.712003459</v>
      </c>
      <c r="D204" s="9" t="n">
        <v>123.21192962</v>
      </c>
      <c r="E204" s="9" t="n">
        <v>77.58506177999999</v>
      </c>
      <c r="F204" s="10" t="n">
        <v>0.07315211742855593</v>
      </c>
      <c r="G204" s="10" t="n">
        <v>0.2444018955744001</v>
      </c>
      <c r="H204" s="10" t="n">
        <v>0.9057955120229207</v>
      </c>
      <c r="I204" s="10" t="n">
        <v>0.734053</v>
      </c>
      <c r="J204" s="5" t="inlineStr">
        <is>
          <t>Cleaner sand</t>
        </is>
      </c>
      <c r="K204" s="11" t="n">
        <v>15.79917284556944</v>
      </c>
      <c r="L204" s="12" t="n">
        <v>2.031986028548297</v>
      </c>
      <c r="M204" s="12" t="n">
        <v>6.100664526148883</v>
      </c>
      <c r="N204" s="12" t="n">
        <v>15.44224051635895</v>
      </c>
      <c r="O204" s="12" t="n">
        <v>190.9423296513031</v>
      </c>
      <c r="P204" s="5" t="inlineStr">
        <is>
          <t>Caution</t>
        </is>
      </c>
      <c r="Q204" s="5" t="inlineStr">
        <is>
          <t>Turn Right</t>
        </is>
      </c>
      <c r="R204" s="12" t="n">
        <v>0.87</v>
      </c>
      <c r="S204" s="5" t="inlineStr">
        <is>
          <t>ACCEPTED</t>
        </is>
      </c>
      <c r="T204" s="5" t="inlineStr">
        <is>
          <t>DLS exceeds normal range</t>
        </is>
      </c>
    </row>
    <row r="205" s="17">
      <c r="A205" s="7" t="n">
        <v>4350</v>
      </c>
      <c r="B205" s="8" t="n">
        <v>47287.97325</v>
      </c>
      <c r="C205" s="9" t="n">
        <v>47.28797325</v>
      </c>
      <c r="D205" s="9" t="n">
        <v>139.27748977</v>
      </c>
      <c r="E205" s="9" t="n">
        <v>33.17441446</v>
      </c>
      <c r="F205" s="10" t="n">
        <v>0.1437426713485858</v>
      </c>
      <c r="G205" s="10" t="n">
        <v>0.2262901336176717</v>
      </c>
      <c r="H205" s="10" t="n">
        <v>0.8993706324013481</v>
      </c>
      <c r="I205" s="10" t="n">
        <v>1.453191</v>
      </c>
      <c r="J205" s="5" t="inlineStr">
        <is>
          <t>Cleaner sand</t>
        </is>
      </c>
      <c r="K205" s="11" t="n">
        <v>18.26683810538953</v>
      </c>
      <c r="L205" s="12" t="n">
        <v>1.377509903643907</v>
      </c>
      <c r="M205" s="12" t="n">
        <v>6.30425844156974</v>
      </c>
      <c r="N205" s="12" t="n">
        <v>14.8674634948696</v>
      </c>
      <c r="O205" s="12" t="n">
        <v>206.1137706475578</v>
      </c>
      <c r="P205" s="5" t="inlineStr">
        <is>
          <t>Caution</t>
        </is>
      </c>
      <c r="Q205" s="5" t="inlineStr">
        <is>
          <t>Drop</t>
        </is>
      </c>
      <c r="R205" s="12" t="n">
        <v>0.59</v>
      </c>
      <c r="S205" s="5" t="inlineStr">
        <is>
          <t>REDUCED</t>
        </is>
      </c>
      <c r="T205" s="5" t="inlineStr">
        <is>
          <t>DLS exceeds normal range</t>
        </is>
      </c>
    </row>
    <row r="206" s="17">
      <c r="A206" s="7" t="n">
        <v>4355</v>
      </c>
      <c r="B206" s="8" t="n">
        <v>62458.056625</v>
      </c>
      <c r="C206" s="9" t="n">
        <v>62.458056625</v>
      </c>
      <c r="D206" s="9" t="n">
        <v>151.99572839</v>
      </c>
      <c r="E206" s="9" t="n">
        <v>30</v>
      </c>
      <c r="F206" s="10" t="n">
        <v>0.1026849481120164</v>
      </c>
      <c r="G206" s="10" t="n">
        <v>0.3575658592080981</v>
      </c>
      <c r="H206" s="10" t="n">
        <v>0.9395073359974991</v>
      </c>
      <c r="I206" s="10" t="n">
        <v>0.61361</v>
      </c>
      <c r="J206" s="5" t="inlineStr">
        <is>
          <t>Transition</t>
        </is>
      </c>
      <c r="K206" s="11" t="n">
        <v>18.62547310022055</v>
      </c>
      <c r="L206" s="12" t="n">
        <v>1.1</v>
      </c>
      <c r="M206" s="12" t="n">
        <v>8.800000000000001</v>
      </c>
      <c r="N206" s="12" t="n">
        <v>12.03498388840825</v>
      </c>
      <c r="O206" s="12" t="n">
        <v>215.3145590751051</v>
      </c>
      <c r="P206" s="5" t="inlineStr">
        <is>
          <t>Caution</t>
        </is>
      </c>
      <c r="Q206" s="5" t="inlineStr">
        <is>
          <t>Hold</t>
        </is>
      </c>
      <c r="R206" s="12" t="n">
        <v>0.53</v>
      </c>
      <c r="S206" s="5" t="inlineStr">
        <is>
          <t>REDUCED</t>
        </is>
      </c>
      <c r="T206" s="5" t="inlineStr">
        <is>
          <t>DLS exceeds normal range</t>
        </is>
      </c>
    </row>
    <row r="207" s="17">
      <c r="A207" s="7" t="n">
        <v>4360</v>
      </c>
      <c r="B207" s="8" t="n">
        <v>38120.662292</v>
      </c>
      <c r="C207" s="9" t="n">
        <v>38.120662292</v>
      </c>
      <c r="D207" s="9" t="n">
        <v>141.5384998</v>
      </c>
      <c r="E207" s="9" t="n">
        <v>48.46403114</v>
      </c>
      <c r="F207" s="10" t="n">
        <v>0.03251999592854701</v>
      </c>
      <c r="G207" s="10" t="n">
        <v>0.0680725267179383</v>
      </c>
      <c r="H207" s="10" t="n">
        <v>1</v>
      </c>
      <c r="I207" s="10" t="n">
        <v>0.040443</v>
      </c>
      <c r="J207" s="5" t="inlineStr">
        <is>
          <t>Cleaner sand</t>
        </is>
      </c>
      <c r="K207" s="11" t="n">
        <v>14.5891442675741</v>
      </c>
      <c r="L207" s="12" t="n">
        <v>1.392340220356283</v>
      </c>
      <c r="M207" s="12" t="n">
        <v>7.951144087479497</v>
      </c>
      <c r="N207" s="12" t="n">
        <v>14.84531471185757</v>
      </c>
      <c r="O207" s="12" t="n">
        <v>198.4870975612777</v>
      </c>
      <c r="P207" s="5" t="inlineStr">
        <is>
          <t>Caution</t>
        </is>
      </c>
      <c r="Q207" s="5" t="inlineStr">
        <is>
          <t>Turn Right</t>
        </is>
      </c>
      <c r="R207" s="12" t="n">
        <v>0.93</v>
      </c>
      <c r="S207" s="5" t="inlineStr">
        <is>
          <t>ACCEPTED</t>
        </is>
      </c>
      <c r="T207" s="5" t="inlineStr">
        <is>
          <t>DLS exceeds normal range</t>
        </is>
      </c>
    </row>
    <row r="208" s="17">
      <c r="A208" s="7" t="n">
        <v>4365</v>
      </c>
      <c r="B208" s="8" t="n">
        <v>39061.190952</v>
      </c>
      <c r="C208" s="9" t="n">
        <v>39.061190952</v>
      </c>
      <c r="D208" s="9" t="n">
        <v>131.7330103</v>
      </c>
      <c r="E208" s="9" t="n">
        <v>52.41426962000001</v>
      </c>
      <c r="F208" s="10" t="n">
        <v>0.03340614551693055</v>
      </c>
      <c r="G208" s="10" t="n">
        <v>0.06909306401662157</v>
      </c>
      <c r="H208" s="10" t="n">
        <v>0.9234827737654119</v>
      </c>
      <c r="I208" s="10" t="n">
        <v>0.285985</v>
      </c>
      <c r="J208" s="5" t="inlineStr">
        <is>
          <t>Cleaner sand</t>
        </is>
      </c>
      <c r="K208" s="11" t="n">
        <v>16.21498813600879</v>
      </c>
      <c r="L208" s="12" t="n">
        <v>1.851983962647248</v>
      </c>
      <c r="M208" s="12" t="n">
        <v>5.869553179723769</v>
      </c>
      <c r="N208" s="12" t="n">
        <v>17.40224190830984</v>
      </c>
      <c r="O208" s="12" t="n">
        <v>212.0703262121936</v>
      </c>
      <c r="P208" s="5" t="inlineStr">
        <is>
          <t>Normal</t>
        </is>
      </c>
      <c r="Q208" s="5" t="inlineStr">
        <is>
          <t>Drop</t>
        </is>
      </c>
      <c r="R208" s="12" t="n">
        <v>0.8100000000000001</v>
      </c>
      <c r="S208" s="5" t="inlineStr">
        <is>
          <t>ACCEPTED</t>
        </is>
      </c>
      <c r="T208" s="5" t="inlineStr">
        <is>
          <t>Normal operation</t>
        </is>
      </c>
    </row>
    <row r="209" s="17">
      <c r="A209" s="7" t="n">
        <v>4370</v>
      </c>
      <c r="B209" s="8" t="n">
        <v>64546.693335</v>
      </c>
      <c r="C209" s="9" t="n">
        <v>64.546693335</v>
      </c>
      <c r="D209" s="9" t="n">
        <v>104.67230442</v>
      </c>
      <c r="E209" s="9" t="n">
        <v>50.8299181</v>
      </c>
      <c r="F209" s="10" t="n">
        <v>0.1112270869887077</v>
      </c>
      <c r="G209" s="10" t="n">
        <v>0.2970749463771065</v>
      </c>
      <c r="H209" s="10" t="n">
        <v>0.8820209765547857</v>
      </c>
      <c r="I209" s="10" t="n">
        <v>1.313718</v>
      </c>
      <c r="J209" s="5" t="inlineStr">
        <is>
          <t>Transition</t>
        </is>
      </c>
      <c r="K209" s="11" t="n">
        <v>20.90107388083526</v>
      </c>
      <c r="L209" s="12" t="n">
        <v>1.1</v>
      </c>
      <c r="M209" s="12" t="n">
        <v>5.887195974070668</v>
      </c>
      <c r="N209" s="12" t="n">
        <v>13.94717386411073</v>
      </c>
      <c r="O209" s="12" t="n">
        <v>187.3675102908365</v>
      </c>
      <c r="P209" s="5" t="inlineStr">
        <is>
          <t>Normal</t>
        </is>
      </c>
      <c r="Q209" s="5" t="inlineStr">
        <is>
          <t>Build</t>
        </is>
      </c>
      <c r="R209" s="12" t="n">
        <v>0.71</v>
      </c>
      <c r="S209" s="5" t="inlineStr">
        <is>
          <t>ACCEPTED</t>
        </is>
      </c>
      <c r="T209" s="5" t="inlineStr">
        <is>
          <t>Normal operation</t>
        </is>
      </c>
    </row>
    <row r="210" s="17">
      <c r="A210" s="7" t="n">
        <v>4375</v>
      </c>
      <c r="B210" s="8" t="n">
        <v>38601.42888</v>
      </c>
      <c r="C210" s="9" t="n">
        <v>38.60142888</v>
      </c>
      <c r="D210" s="9" t="n">
        <v>132.83139041</v>
      </c>
      <c r="E210" s="9" t="n">
        <v>46.86079912</v>
      </c>
      <c r="F210" s="10" t="n">
        <v>0.07131023522558605</v>
      </c>
      <c r="G210" s="10" t="n">
        <v>0.1573395943909449</v>
      </c>
      <c r="H210" s="10" t="n">
        <v>0.8597280081931693</v>
      </c>
      <c r="I210" s="10" t="n">
        <v>0.983168</v>
      </c>
      <c r="J210" s="5" t="inlineStr">
        <is>
          <t>Cleaner sand</t>
        </is>
      </c>
      <c r="K210" s="11" t="n">
        <v>16.13044036682841</v>
      </c>
      <c r="L210" s="12" t="n">
        <v>1.749846360691786</v>
      </c>
      <c r="M210" s="12" t="n">
        <v>7.325142621579317</v>
      </c>
      <c r="N210" s="12" t="n">
        <v>13.35799804268428</v>
      </c>
      <c r="O210" s="12" t="n">
        <v>215.2780475987647</v>
      </c>
      <c r="P210" s="5" t="inlineStr">
        <is>
          <t>Caution</t>
        </is>
      </c>
      <c r="Q210" s="5" t="inlineStr">
        <is>
          <t>Turn Right</t>
        </is>
      </c>
      <c r="R210" s="12" t="n">
        <v>0.57</v>
      </c>
      <c r="S210" s="5" t="inlineStr">
        <is>
          <t>REDUCED</t>
        </is>
      </c>
      <c r="T210" s="5" t="inlineStr">
        <is>
          <t>DLS exceeds normal range</t>
        </is>
      </c>
    </row>
    <row r="211" s="17">
      <c r="A211" s="7" t="n">
        <v>4380</v>
      </c>
      <c r="B211" s="8" t="n">
        <v>61782.755757</v>
      </c>
      <c r="C211" s="9" t="n">
        <v>61.782755757</v>
      </c>
      <c r="D211" s="9" t="n">
        <v>143.49766481</v>
      </c>
      <c r="E211" s="9" t="n">
        <v>43.3154258</v>
      </c>
      <c r="F211" s="10" t="n">
        <v>0.1389138562536501</v>
      </c>
      <c r="G211" s="10" t="n">
        <v>0.2443191871136801</v>
      </c>
      <c r="H211" s="10" t="n">
        <v>0.9182964947154281</v>
      </c>
      <c r="I211" s="10" t="n">
        <v>1.163531</v>
      </c>
      <c r="J211" s="5" t="inlineStr">
        <is>
          <t>Cleaner sand</t>
        </is>
      </c>
      <c r="K211" s="11" t="n">
        <v>23.73167152453016</v>
      </c>
      <c r="L211" s="12" t="n">
        <v>1.652498173905232</v>
      </c>
      <c r="M211" s="12" t="n">
        <v>7.371687175228645</v>
      </c>
      <c r="N211" s="12" t="n">
        <v>14.6791247539224</v>
      </c>
      <c r="O211" s="12" t="n">
        <v>202.9858059765931</v>
      </c>
      <c r="P211" s="5" t="inlineStr">
        <is>
          <t>Caution</t>
        </is>
      </c>
      <c r="Q211" s="5" t="inlineStr">
        <is>
          <t>Drop</t>
        </is>
      </c>
      <c r="R211" s="12" t="n">
        <v>0.52</v>
      </c>
      <c r="S211" s="5" t="inlineStr">
        <is>
          <t>REDUCED</t>
        </is>
      </c>
      <c r="T211" s="5" t="inlineStr">
        <is>
          <t>DLS exceeds normal range</t>
        </is>
      </c>
    </row>
    <row r="212" s="17">
      <c r="A212" s="7" t="n">
        <v>4385</v>
      </c>
      <c r="B212" s="8" t="n">
        <v>69004.411559</v>
      </c>
      <c r="C212" s="9" t="n">
        <v>69.004411559</v>
      </c>
      <c r="D212" s="9" t="n">
        <v>115.74863836</v>
      </c>
      <c r="E212" s="9" t="n">
        <v>52.86447258</v>
      </c>
      <c r="F212" s="10" t="n">
        <v>0.1006943126496384</v>
      </c>
      <c r="G212" s="10" t="n">
        <v>0.2074051469853722</v>
      </c>
      <c r="H212" s="10" t="n">
        <v>0.8818713178075283</v>
      </c>
      <c r="I212" s="10" t="n">
        <v>1.230913</v>
      </c>
      <c r="J212" s="5" t="inlineStr">
        <is>
          <t>Cleaner sand</t>
        </is>
      </c>
      <c r="K212" s="11" t="n">
        <v>21.77804922871965</v>
      </c>
      <c r="L212" s="12" t="n">
        <v>1.943852834804533</v>
      </c>
      <c r="M212" s="12" t="n">
        <v>7.366946486910019</v>
      </c>
      <c r="N212" s="12" t="n">
        <v>14.4891366563055</v>
      </c>
      <c r="O212" s="12" t="n">
        <v>216.5999155965397</v>
      </c>
      <c r="P212" s="5" t="inlineStr">
        <is>
          <t>Caution</t>
        </is>
      </c>
      <c r="Q212" s="5" t="inlineStr">
        <is>
          <t>Drop</t>
        </is>
      </c>
      <c r="R212" s="12" t="n">
        <v>0.79</v>
      </c>
      <c r="S212" s="5" t="inlineStr">
        <is>
          <t>ACCEPTED</t>
        </is>
      </c>
      <c r="T212" s="5" t="inlineStr">
        <is>
          <t>DLS exceeds normal range</t>
        </is>
      </c>
    </row>
    <row r="213" s="17">
      <c r="A213" s="7" t="n">
        <v>4390</v>
      </c>
      <c r="B213" s="8" t="n">
        <v>43647.663716</v>
      </c>
      <c r="C213" s="9" t="n">
        <v>43.647663716</v>
      </c>
      <c r="D213" s="9" t="n">
        <v>125.983448</v>
      </c>
      <c r="E213" s="9" t="n">
        <v>57.34311332</v>
      </c>
      <c r="F213" s="10" t="n">
        <v>0.06459344279846445</v>
      </c>
      <c r="G213" s="10" t="n">
        <v>0.1452545043341013</v>
      </c>
      <c r="H213" s="10" t="n">
        <v>0.9692293488441354</v>
      </c>
      <c r="I213" s="10" t="n">
        <v>0.197502</v>
      </c>
      <c r="J213" s="5" t="inlineStr">
        <is>
          <t>Cleaner sand</t>
        </is>
      </c>
      <c r="K213" s="11" t="n">
        <v>17.67907004155412</v>
      </c>
      <c r="L213" s="12" t="n">
        <v>1.718594380522935</v>
      </c>
      <c r="M213" s="12" t="n">
        <v>6.717577782557263</v>
      </c>
      <c r="N213" s="12" t="n">
        <v>15.49519239324203</v>
      </c>
      <c r="O213" s="12" t="n">
        <v>213.7021317155102</v>
      </c>
      <c r="P213" s="5" t="inlineStr">
        <is>
          <t>Caution</t>
        </is>
      </c>
      <c r="Q213" s="5" t="inlineStr">
        <is>
          <t>Drop</t>
        </is>
      </c>
      <c r="R213" s="12" t="n">
        <v>0.6899999999999999</v>
      </c>
      <c r="S213" s="5" t="inlineStr">
        <is>
          <t>REDUCED</t>
        </is>
      </c>
      <c r="T213" s="5" t="inlineStr">
        <is>
          <t>DLS exceeds normal range</t>
        </is>
      </c>
    </row>
    <row r="214" s="17">
      <c r="A214" s="7" t="n">
        <v>4395</v>
      </c>
      <c r="B214" s="8" t="n">
        <v>50078.78963</v>
      </c>
      <c r="C214" s="9" t="n">
        <v>50.07878963</v>
      </c>
      <c r="D214" s="9" t="n">
        <v>125.91494993</v>
      </c>
      <c r="E214" s="9" t="n">
        <v>64.49933368000001</v>
      </c>
      <c r="F214" s="10" t="n">
        <v>0.1071428690065947</v>
      </c>
      <c r="G214" s="10" t="n">
        <v>0.09800417216379308</v>
      </c>
      <c r="H214" s="10" t="n">
        <v>0.9896103510912188</v>
      </c>
      <c r="I214" s="10" t="n">
        <v>0.130258</v>
      </c>
      <c r="J214" s="5" t="inlineStr">
        <is>
          <t>Cleaner sand</t>
        </is>
      </c>
      <c r="K214" s="11" t="n">
        <v>18.68032930588891</v>
      </c>
      <c r="L214" s="12" t="n">
        <v>1.183196218968038</v>
      </c>
      <c r="M214" s="12" t="n">
        <v>6.814621344116465</v>
      </c>
      <c r="N214" s="12" t="n">
        <v>12.08795478832191</v>
      </c>
      <c r="O214" s="12" t="n">
        <v>232.181183408146</v>
      </c>
      <c r="P214" s="5" t="inlineStr">
        <is>
          <t>Caution</t>
        </is>
      </c>
      <c r="Q214" s="5" t="inlineStr">
        <is>
          <t>Turn Right</t>
        </is>
      </c>
      <c r="R214" s="12" t="n">
        <v>0.6899999999999999</v>
      </c>
      <c r="S214" s="5" t="inlineStr">
        <is>
          <t>REDUCED</t>
        </is>
      </c>
      <c r="T214" s="5" t="inlineStr">
        <is>
          <t>DLS exceeds normal range</t>
        </is>
      </c>
    </row>
    <row r="215" s="17">
      <c r="A215" s="7" t="n">
        <v>4400</v>
      </c>
      <c r="B215" s="8" t="n">
        <v>72474.707738</v>
      </c>
      <c r="C215" s="9" t="n">
        <v>72.47470773799999</v>
      </c>
      <c r="D215" s="9" t="n">
        <v>107.4248354</v>
      </c>
      <c r="E215" s="9" t="n">
        <v>38.57730917999999</v>
      </c>
      <c r="F215" s="10" t="n">
        <v>0.05119630535331766</v>
      </c>
      <c r="G215" s="10" t="n">
        <v>0.345309924828412</v>
      </c>
      <c r="H215" s="10" t="n">
        <v>0.9715101434730156</v>
      </c>
      <c r="I215" s="10" t="n">
        <v>0.156239</v>
      </c>
      <c r="J215" s="5" t="inlineStr">
        <is>
          <t>Transition</t>
        </is>
      </c>
      <c r="K215" s="11" t="n">
        <v>22.49681248846386</v>
      </c>
      <c r="L215" s="12" t="n">
        <v>2.246320035815601</v>
      </c>
      <c r="M215" s="12" t="n">
        <v>7.170470478025813</v>
      </c>
      <c r="N215" s="12" t="n">
        <v>14.45252443215372</v>
      </c>
      <c r="O215" s="12" t="n">
        <v>213.1660030962356</v>
      </c>
      <c r="P215" s="5" t="inlineStr">
        <is>
          <t>Caution</t>
        </is>
      </c>
      <c r="Q215" s="5" t="inlineStr">
        <is>
          <t>Drop</t>
        </is>
      </c>
      <c r="R215" s="12" t="n">
        <v>0.44</v>
      </c>
      <c r="S215" s="5" t="inlineStr">
        <is>
          <t>REJECTED</t>
        </is>
      </c>
      <c r="T215" s="5" t="inlineStr">
        <is>
          <t>DLS exceeds normal range</t>
        </is>
      </c>
    </row>
    <row r="216" s="17">
      <c r="A216" s="7" t="n">
        <v>4405</v>
      </c>
      <c r="B216" s="8" t="n">
        <v>48457.772634</v>
      </c>
      <c r="C216" s="9" t="n">
        <v>48.457772634</v>
      </c>
      <c r="D216" s="9" t="n">
        <v>127.26750166</v>
      </c>
      <c r="E216" s="9" t="n">
        <v>65.84974822000001</v>
      </c>
      <c r="F216" s="10" t="n">
        <v>0.04956777962444997</v>
      </c>
      <c r="G216" s="10" t="n">
        <v>0.1665624275551267</v>
      </c>
      <c r="H216" s="10" t="n">
        <v>0.9548190917154664</v>
      </c>
      <c r="I216" s="10" t="n">
        <v>0.207654</v>
      </c>
      <c r="J216" s="5" t="inlineStr">
        <is>
          <t>Cleaner sand</t>
        </is>
      </c>
      <c r="K216" s="11" t="n">
        <v>17.11291821458811</v>
      </c>
      <c r="L216" s="12" t="n">
        <v>1.582320509216785</v>
      </c>
      <c r="M216" s="12" t="n">
        <v>6.969803595357321</v>
      </c>
      <c r="N216" s="12" t="n">
        <v>14.0478254962359</v>
      </c>
      <c r="O216" s="12" t="n">
        <v>231.2470041284425</v>
      </c>
      <c r="P216" s="5" t="inlineStr">
        <is>
          <t>Caution</t>
        </is>
      </c>
      <c r="Q216" s="5" t="inlineStr">
        <is>
          <t>Drop</t>
        </is>
      </c>
      <c r="R216" s="12" t="n">
        <v>0.68</v>
      </c>
      <c r="S216" s="5" t="inlineStr">
        <is>
          <t>REDUCED</t>
        </is>
      </c>
      <c r="T216" s="5" t="inlineStr">
        <is>
          <t>DLS exceeds normal range</t>
        </is>
      </c>
    </row>
    <row r="217" s="17">
      <c r="A217" s="7" t="n">
        <v>4410</v>
      </c>
      <c r="B217" s="8" t="n">
        <v>50402.831001</v>
      </c>
      <c r="C217" s="9" t="n">
        <v>50.402831001</v>
      </c>
      <c r="D217" s="9" t="n">
        <v>145.38006062</v>
      </c>
      <c r="E217" s="9" t="n">
        <v>57.52114516</v>
      </c>
      <c r="F217" s="10" t="n">
        <v>0.09424620865215987</v>
      </c>
      <c r="G217" s="10" t="n">
        <v>0.2427529590564792</v>
      </c>
      <c r="H217" s="10" t="n">
        <v>0.9114577782595222</v>
      </c>
      <c r="I217" s="10" t="n">
        <v>0.8829399999999999</v>
      </c>
      <c r="J217" s="5" t="inlineStr">
        <is>
          <t>Cleaner sand</t>
        </is>
      </c>
      <c r="K217" s="11" t="n">
        <v>18.54489497903228</v>
      </c>
      <c r="L217" s="12" t="n">
        <v>1.646620775640133</v>
      </c>
      <c r="M217" s="12" t="n">
        <v>5.118311919244743</v>
      </c>
      <c r="N217" s="12" t="n">
        <v>12.87403303138906</v>
      </c>
      <c r="O217" s="12" t="n">
        <v>225.3546739656197</v>
      </c>
      <c r="P217" s="5" t="inlineStr">
        <is>
          <t>Normal</t>
        </is>
      </c>
      <c r="Q217" s="5" t="inlineStr">
        <is>
          <t>Turn Right</t>
        </is>
      </c>
      <c r="R217" s="12" t="n">
        <v>0.85</v>
      </c>
      <c r="S217" s="5" t="inlineStr">
        <is>
          <t>ACCEPTED</t>
        </is>
      </c>
      <c r="T217" s="5" t="inlineStr">
        <is>
          <t>Normal operation</t>
        </is>
      </c>
    </row>
    <row r="218" s="17">
      <c r="A218" s="7" t="n">
        <v>4415</v>
      </c>
      <c r="B218" s="8" t="n">
        <v>73852.489932</v>
      </c>
      <c r="C218" s="9" t="n">
        <v>73.852489932</v>
      </c>
      <c r="D218" s="9" t="n">
        <v>151.89949369</v>
      </c>
      <c r="E218" s="9" t="n">
        <v>30</v>
      </c>
      <c r="F218" s="10" t="n">
        <v>0.1157487350332423</v>
      </c>
      <c r="G218" s="10" t="n">
        <v>0.2543352345876537</v>
      </c>
      <c r="H218" s="10" t="n">
        <v>0.8748366583158594</v>
      </c>
      <c r="I218" s="10" t="n">
        <v>1.449472</v>
      </c>
      <c r="J218" s="5" t="inlineStr">
        <is>
          <t>Transition</t>
        </is>
      </c>
      <c r="K218" s="11" t="n">
        <v>21.32599996528065</v>
      </c>
      <c r="L218" s="12" t="n">
        <v>1.202698700054134</v>
      </c>
      <c r="M218" s="12" t="n">
        <v>6.702316723285421</v>
      </c>
      <c r="N218" s="12" t="n">
        <v>13.27766375551273</v>
      </c>
      <c r="O218" s="12" t="n">
        <v>229.8543385252763</v>
      </c>
      <c r="P218" s="5" t="inlineStr">
        <is>
          <t>Caution</t>
        </is>
      </c>
      <c r="Q218" s="5" t="inlineStr">
        <is>
          <t>Drop</t>
        </is>
      </c>
      <c r="R218" s="12" t="n">
        <v>0.92</v>
      </c>
      <c r="S218" s="5" t="inlineStr">
        <is>
          <t>ACCEPTED</t>
        </is>
      </c>
      <c r="T218" s="5" t="inlineStr">
        <is>
          <t>DLS exceeds normal range</t>
        </is>
      </c>
    </row>
    <row r="219" s="17">
      <c r="A219" s="7" t="n">
        <v>4420</v>
      </c>
      <c r="B219" s="8" t="n">
        <v>39108.15079</v>
      </c>
      <c r="C219" s="9" t="n">
        <v>39.10815079</v>
      </c>
      <c r="D219" s="9" t="n">
        <v>129.44950908</v>
      </c>
      <c r="E219" s="9" t="n">
        <v>77.6262512</v>
      </c>
      <c r="F219" s="10" t="n">
        <v>0.0592591967537535</v>
      </c>
      <c r="G219" s="10" t="n">
        <v>0.2067678647784701</v>
      </c>
      <c r="H219" s="10" t="n">
        <v>0.928537237805875</v>
      </c>
      <c r="I219" s="10" t="n">
        <v>0.455024</v>
      </c>
      <c r="J219" s="5" t="inlineStr">
        <is>
          <t>Cleaner sand</t>
        </is>
      </c>
      <c r="K219" s="11" t="n">
        <v>15.47177119186492</v>
      </c>
      <c r="L219" s="12" t="n">
        <v>1.44279169691616</v>
      </c>
      <c r="M219" s="12" t="n">
        <v>6.197177178713219</v>
      </c>
      <c r="N219" s="12" t="n">
        <v>13.95421168109516</v>
      </c>
      <c r="O219" s="12" t="n">
        <v>232.9856262790724</v>
      </c>
      <c r="P219" s="5" t="inlineStr">
        <is>
          <t>Caution</t>
        </is>
      </c>
      <c r="Q219" s="5" t="inlineStr">
        <is>
          <t>Turn Right</t>
        </is>
      </c>
      <c r="R219" s="12" t="n">
        <v>0.46</v>
      </c>
      <c r="S219" s="5" t="inlineStr">
        <is>
          <t>REJECTED</t>
        </is>
      </c>
      <c r="T219" s="5" t="inlineStr">
        <is>
          <t>DLS exceeds normal range</t>
        </is>
      </c>
    </row>
    <row r="220" s="17">
      <c r="A220" s="7" t="n">
        <v>4425</v>
      </c>
      <c r="B220" s="8" t="n">
        <v>51809.155114</v>
      </c>
      <c r="C220" s="9" t="n">
        <v>51.809155114</v>
      </c>
      <c r="D220" s="9" t="n">
        <v>138.08758083</v>
      </c>
      <c r="E220" s="9" t="n">
        <v>63.93408308</v>
      </c>
      <c r="F220" s="10" t="n">
        <v>0.09425079261901446</v>
      </c>
      <c r="G220" s="10" t="n">
        <v>0.3194567071824947</v>
      </c>
      <c r="H220" s="10" t="n">
        <v>0.8994580611944938</v>
      </c>
      <c r="I220" s="10" t="n">
        <v>0.997211</v>
      </c>
      <c r="J220" s="5" t="inlineStr">
        <is>
          <t>Transition</t>
        </is>
      </c>
      <c r="K220" s="11" t="n">
        <v>17.55921562954793</v>
      </c>
      <c r="L220" s="12" t="n">
        <v>1.226446670126818</v>
      </c>
      <c r="M220" s="12" t="n">
        <v>7.010359569757599</v>
      </c>
      <c r="N220" s="12" t="n">
        <v>13.52847366185705</v>
      </c>
      <c r="O220" s="12" t="n">
        <v>229.8433304346967</v>
      </c>
      <c r="P220" s="5" t="inlineStr">
        <is>
          <t>Caution</t>
        </is>
      </c>
      <c r="Q220" s="5" t="inlineStr">
        <is>
          <t>Drop</t>
        </is>
      </c>
      <c r="R220" s="12" t="n">
        <v>0.75</v>
      </c>
      <c r="S220" s="5" t="inlineStr">
        <is>
          <t>ACCEPTED</t>
        </is>
      </c>
      <c r="T220" s="5" t="inlineStr">
        <is>
          <t>DLS exceeds normal range</t>
        </is>
      </c>
    </row>
    <row r="221" s="17">
      <c r="A221" s="7" t="n">
        <v>4430</v>
      </c>
      <c r="B221" s="8" t="n">
        <v>49447.4752</v>
      </c>
      <c r="C221" s="9" t="n">
        <v>49.4474752</v>
      </c>
      <c r="D221" s="9" t="n">
        <v>135.74744525</v>
      </c>
      <c r="E221" s="9" t="n">
        <v>44.96453518</v>
      </c>
      <c r="F221" s="10" t="n">
        <v>0.03231893288562011</v>
      </c>
      <c r="G221" s="10" t="n">
        <v>0.03093381909585473</v>
      </c>
      <c r="H221" s="10" t="n">
        <v>0.9781163034499937</v>
      </c>
      <c r="I221" s="10" t="n">
        <v>0.084416</v>
      </c>
      <c r="J221" s="5" t="inlineStr">
        <is>
          <t>Cleaner sand</t>
        </is>
      </c>
      <c r="K221" s="11" t="n">
        <v>17.69208930471915</v>
      </c>
      <c r="L221" s="12" t="n">
        <v>1.575256430637523</v>
      </c>
      <c r="M221" s="12" t="n">
        <v>8.800000000000001</v>
      </c>
      <c r="N221" s="12" t="n">
        <v>10.68708527492699</v>
      </c>
      <c r="O221" s="12" t="n">
        <v>241.713826389492</v>
      </c>
      <c r="P221" s="5" t="inlineStr">
        <is>
          <t>Caution</t>
        </is>
      </c>
      <c r="Q221" s="5" t="inlineStr">
        <is>
          <t>Hold</t>
        </is>
      </c>
      <c r="R221" s="12" t="n">
        <v>0.71</v>
      </c>
      <c r="S221" s="5" t="inlineStr">
        <is>
          <t>ACCEPTED</t>
        </is>
      </c>
      <c r="T221" s="5" t="inlineStr">
        <is>
          <t>DLS exceeds normal range</t>
        </is>
      </c>
    </row>
    <row r="222" s="17">
      <c r="A222" s="7" t="n">
        <v>4435</v>
      </c>
      <c r="B222" s="8" t="n">
        <v>39365.042217</v>
      </c>
      <c r="C222" s="9" t="n">
        <v>39.365042217</v>
      </c>
      <c r="D222" s="9" t="n">
        <v>127.22447949</v>
      </c>
      <c r="E222" s="9" t="n">
        <v>71.24609524</v>
      </c>
      <c r="F222" s="10" t="n">
        <v>0.05804209650825999</v>
      </c>
      <c r="G222" s="10" t="n">
        <v>0.1437838158606594</v>
      </c>
      <c r="H222" s="10" t="n">
        <v>0.9612914837609787</v>
      </c>
      <c r="I222" s="10" t="n">
        <v>0.215363</v>
      </c>
      <c r="J222" s="5" t="inlineStr">
        <is>
          <t>Cleaner sand</t>
        </is>
      </c>
      <c r="K222" s="11" t="n">
        <v>18.07049625447376</v>
      </c>
      <c r="L222" s="12" t="n">
        <v>2.498737155269748</v>
      </c>
      <c r="M222" s="12" t="n">
        <v>7.147180788310806</v>
      </c>
      <c r="N222" s="12" t="n">
        <v>13.01776273620774</v>
      </c>
      <c r="O222" s="12" t="n">
        <v>244.8514477243916</v>
      </c>
      <c r="P222" s="5" t="inlineStr">
        <is>
          <t>Caution</t>
        </is>
      </c>
      <c r="Q222" s="5" t="inlineStr">
        <is>
          <t>Drop</t>
        </is>
      </c>
      <c r="R222" s="12" t="n">
        <v>0.89</v>
      </c>
      <c r="S222" s="5" t="inlineStr">
        <is>
          <t>ACCEPTED</t>
        </is>
      </c>
      <c r="T222" s="5" t="inlineStr">
        <is>
          <t>DLS exceeds normal range</t>
        </is>
      </c>
    </row>
    <row r="223" s="17">
      <c r="A223" s="7" t="n">
        <v>4440</v>
      </c>
      <c r="B223" s="8" t="n">
        <v>61807.359604</v>
      </c>
      <c r="C223" s="9" t="n">
        <v>61.807359604</v>
      </c>
      <c r="D223" s="9" t="n">
        <v>128.82096467</v>
      </c>
      <c r="E223" s="9" t="n">
        <v>34.24737462</v>
      </c>
      <c r="F223" s="10" t="n">
        <v>0.1250009403136443</v>
      </c>
      <c r="G223" s="10" t="n">
        <v>0.1370813979559432</v>
      </c>
      <c r="H223" s="10" t="n">
        <v>0.9349611770116967</v>
      </c>
      <c r="I223" s="10" t="n">
        <v>0.804627</v>
      </c>
      <c r="J223" s="5" t="inlineStr">
        <is>
          <t>Cleaner sand</t>
        </is>
      </c>
      <c r="K223" s="11" t="n">
        <v>18.01620002085239</v>
      </c>
      <c r="L223" s="12" t="n">
        <v>1.1</v>
      </c>
      <c r="M223" s="12" t="n">
        <v>6.593489749437038</v>
      </c>
      <c r="N223" s="12" t="n">
        <v>11.6460086196861</v>
      </c>
      <c r="O223" s="12" t="n">
        <v>251.5711047836858</v>
      </c>
      <c r="P223" s="5" t="inlineStr">
        <is>
          <t>Caution</t>
        </is>
      </c>
      <c r="Q223" s="5" t="inlineStr">
        <is>
          <t>Hold</t>
        </is>
      </c>
      <c r="R223" s="12" t="n">
        <v>0.8100000000000001</v>
      </c>
      <c r="S223" s="5" t="inlineStr">
        <is>
          <t>ACCEPTED</t>
        </is>
      </c>
      <c r="T223" s="5" t="inlineStr">
        <is>
          <t>DLS exceeds normal range</t>
        </is>
      </c>
    </row>
    <row r="224" s="17">
      <c r="A224" s="7" t="n">
        <v>4445</v>
      </c>
      <c r="B224" s="8" t="n">
        <v>64542.893082</v>
      </c>
      <c r="C224" s="9" t="n">
        <v>64.54289308200001</v>
      </c>
      <c r="D224" s="9" t="n">
        <v>151.53371304</v>
      </c>
      <c r="E224" s="9" t="n">
        <v>49.43212888</v>
      </c>
      <c r="F224" s="10" t="n">
        <v>0.05576288497625506</v>
      </c>
      <c r="G224" s="10" t="n">
        <v>0.3493585921155719</v>
      </c>
      <c r="H224" s="10" t="n">
        <v>0.925158766689231</v>
      </c>
      <c r="I224" s="10" t="n">
        <v>0.44004</v>
      </c>
      <c r="J224" s="5" t="inlineStr">
        <is>
          <t>Transition</t>
        </is>
      </c>
      <c r="K224" s="11" t="n">
        <v>21.07284917158311</v>
      </c>
      <c r="L224" s="12" t="n">
        <v>1.1</v>
      </c>
      <c r="M224" s="12" t="n">
        <v>7.572617211763364</v>
      </c>
      <c r="N224" s="12" t="n">
        <v>11.60338684645131</v>
      </c>
      <c r="O224" s="12" t="n">
        <v>253.7313134020193</v>
      </c>
      <c r="P224" s="5" t="inlineStr">
        <is>
          <t>Caution</t>
        </is>
      </c>
      <c r="Q224" s="5" t="inlineStr">
        <is>
          <t>Drop</t>
        </is>
      </c>
      <c r="R224" s="12" t="n">
        <v>0.93</v>
      </c>
      <c r="S224" s="5" t="inlineStr">
        <is>
          <t>ACCEPTED</t>
        </is>
      </c>
      <c r="T224" s="5" t="inlineStr">
        <is>
          <t>DLS exceeds normal range</t>
        </is>
      </c>
    </row>
    <row r="225" s="17">
      <c r="A225" s="7" t="n">
        <v>4450</v>
      </c>
      <c r="B225" s="8" t="n">
        <v>37100.642967</v>
      </c>
      <c r="C225" s="9" t="n">
        <v>37.100642967</v>
      </c>
      <c r="D225" s="9" t="n">
        <v>139.56405608</v>
      </c>
      <c r="E225" s="9" t="n">
        <v>43.98657366</v>
      </c>
      <c r="F225" s="10" t="n">
        <v>0.05819856688537738</v>
      </c>
      <c r="G225" s="10" t="n">
        <v>0.06661992668469946</v>
      </c>
      <c r="H225" s="10" t="n">
        <v>0.9313844424906856</v>
      </c>
      <c r="I225" s="10" t="n">
        <v>0.394929</v>
      </c>
      <c r="J225" s="5" t="inlineStr">
        <is>
          <t>Cleaner sand</t>
        </is>
      </c>
      <c r="K225" s="11" t="n">
        <v>13.72664982255701</v>
      </c>
      <c r="L225" s="12" t="n">
        <v>2.380873460471868</v>
      </c>
      <c r="M225" s="12" t="n">
        <v>7.211933908485298</v>
      </c>
      <c r="N225" s="12" t="n">
        <v>11.38235332013611</v>
      </c>
      <c r="O225" s="12" t="n">
        <v>264.6295450263344</v>
      </c>
      <c r="P225" s="5" t="inlineStr">
        <is>
          <t>Caution</t>
        </is>
      </c>
      <c r="Q225" s="5" t="inlineStr">
        <is>
          <t>Hold</t>
        </is>
      </c>
      <c r="R225" s="12" t="n">
        <v>0.93</v>
      </c>
      <c r="S225" s="5" t="inlineStr">
        <is>
          <t>ACCEPTED</t>
        </is>
      </c>
      <c r="T225" s="5" t="inlineStr">
        <is>
          <t>DLS exceeds normal range</t>
        </is>
      </c>
    </row>
    <row r="226" s="17">
      <c r="A226" s="7" t="n">
        <v>4455</v>
      </c>
      <c r="B226" s="8" t="n">
        <v>60648.437327</v>
      </c>
      <c r="C226" s="9" t="n">
        <v>60.648437327</v>
      </c>
      <c r="D226" s="9" t="n">
        <v>123.61662761</v>
      </c>
      <c r="E226" s="9" t="n">
        <v>32.75344613999999</v>
      </c>
      <c r="F226" s="10" t="n">
        <v>0.1182006234707624</v>
      </c>
      <c r="G226" s="10" t="n">
        <v>0.1113177503071447</v>
      </c>
      <c r="H226" s="10" t="n">
        <v>0.8887266187269255</v>
      </c>
      <c r="I226" s="10" t="n">
        <v>1.305814</v>
      </c>
      <c r="J226" s="5" t="inlineStr">
        <is>
          <t>Cleaner sand</t>
        </is>
      </c>
      <c r="K226" s="11" t="n">
        <v>19.19838247699649</v>
      </c>
      <c r="L226" s="12" t="n">
        <v>1.557431398195586</v>
      </c>
      <c r="M226" s="12" t="n">
        <v>7.152212480656963</v>
      </c>
      <c r="N226" s="12" t="n">
        <v>10.87042805919894</v>
      </c>
      <c r="O226" s="12" t="n">
        <v>269.6726861934548</v>
      </c>
      <c r="P226" s="5" t="inlineStr">
        <is>
          <t>Caution</t>
        </is>
      </c>
      <c r="Q226" s="5" t="inlineStr">
        <is>
          <t>Hold</t>
        </is>
      </c>
      <c r="R226" s="12" t="n">
        <v>0.52</v>
      </c>
      <c r="S226" s="5" t="inlineStr">
        <is>
          <t>REDUCED</t>
        </is>
      </c>
      <c r="T226" s="5" t="inlineStr">
        <is>
          <t>DLS exceeds normal range</t>
        </is>
      </c>
    </row>
    <row r="227" s="17">
      <c r="A227" s="7" t="n">
        <v>4460</v>
      </c>
      <c r="B227" s="8" t="n">
        <v>65017.702096</v>
      </c>
      <c r="C227" s="9" t="n">
        <v>65.01770209600001</v>
      </c>
      <c r="D227" s="9" t="n">
        <v>100.93048892</v>
      </c>
      <c r="E227" s="9" t="n">
        <v>46.3631526</v>
      </c>
      <c r="F227" s="10" t="n">
        <v>0.07733573408401283</v>
      </c>
      <c r="G227" s="10" t="n">
        <v>0.1849706590337661</v>
      </c>
      <c r="H227" s="10" t="n">
        <v>0.9382635673114136</v>
      </c>
      <c r="I227" s="10" t="n">
        <v>0.507396</v>
      </c>
      <c r="J227" s="5" t="inlineStr">
        <is>
          <t>Cleaner sand</t>
        </is>
      </c>
      <c r="K227" s="11" t="n">
        <v>21.56286722450653</v>
      </c>
      <c r="L227" s="12" t="n">
        <v>1.332154358056641</v>
      </c>
      <c r="M227" s="12" t="n">
        <v>7.291716994701414</v>
      </c>
      <c r="N227" s="12" t="n">
        <v>12.39351040367863</v>
      </c>
      <c r="O227" s="12" t="n">
        <v>253.7328423711621</v>
      </c>
      <c r="P227" s="5" t="inlineStr">
        <is>
          <t>Caution</t>
        </is>
      </c>
      <c r="Q227" s="5" t="inlineStr">
        <is>
          <t>Drop</t>
        </is>
      </c>
      <c r="R227" s="12" t="n">
        <v>0.8</v>
      </c>
      <c r="S227" s="5" t="inlineStr">
        <is>
          <t>ACCEPTED</t>
        </is>
      </c>
      <c r="T227" s="5" t="inlineStr">
        <is>
          <t>DLS exceeds normal range</t>
        </is>
      </c>
    </row>
    <row r="228" s="17">
      <c r="A228" s="7" t="n">
        <v>4465</v>
      </c>
      <c r="B228" s="8" t="n">
        <v>54108.959207</v>
      </c>
      <c r="C228" s="9" t="n">
        <v>54.108959207</v>
      </c>
      <c r="D228" s="9" t="n">
        <v>133.99172545</v>
      </c>
      <c r="E228" s="9" t="n">
        <v>52.93415126</v>
      </c>
      <c r="F228" s="10" t="n">
        <v>0.06521585177731581</v>
      </c>
      <c r="G228" s="10" t="n">
        <v>0.2873074003998273</v>
      </c>
      <c r="H228" s="10" t="n">
        <v>0.9255774588264606</v>
      </c>
      <c r="I228" s="10" t="n">
        <v>0.495143</v>
      </c>
      <c r="J228" s="5" t="inlineStr">
        <is>
          <t>Transition</t>
        </is>
      </c>
      <c r="K228" s="11" t="n">
        <v>18.53184290685144</v>
      </c>
      <c r="L228" s="12" t="n">
        <v>2.169553296824077</v>
      </c>
      <c r="M228" s="12" t="n">
        <v>8.441318004156926</v>
      </c>
      <c r="N228" s="12" t="n">
        <v>10.51400402243824</v>
      </c>
      <c r="O228" s="12" t="n">
        <v>276.7305235429518</v>
      </c>
      <c r="P228" s="5" t="inlineStr">
        <is>
          <t>Caution</t>
        </is>
      </c>
      <c r="Q228" s="5" t="inlineStr">
        <is>
          <t>Hold</t>
        </is>
      </c>
      <c r="R228" s="12" t="n">
        <v>0.6899999999999999</v>
      </c>
      <c r="S228" s="5" t="inlineStr">
        <is>
          <t>REDUCED</t>
        </is>
      </c>
      <c r="T228" s="5" t="inlineStr">
        <is>
          <t>DLS exceeds normal range</t>
        </is>
      </c>
    </row>
    <row r="229" s="17">
      <c r="A229" s="7" t="n">
        <v>4470</v>
      </c>
      <c r="B229" s="8" t="n">
        <v>66465.34748300001</v>
      </c>
      <c r="C229" s="9" t="n">
        <v>66.465347483</v>
      </c>
      <c r="D229" s="9" t="n">
        <v>142.24406612</v>
      </c>
      <c r="E229" s="9" t="n">
        <v>47.63046178</v>
      </c>
      <c r="F229" s="10" t="n">
        <v>0.09410322654159652</v>
      </c>
      <c r="G229" s="10" t="n">
        <v>0.161699506586385</v>
      </c>
      <c r="H229" s="10" t="n">
        <v>0.9532360460850783</v>
      </c>
      <c r="I229" s="10" t="n">
        <v>0.422941</v>
      </c>
      <c r="J229" s="5" t="inlineStr">
        <is>
          <t>Cleaner sand</t>
        </is>
      </c>
      <c r="K229" s="11" t="n">
        <v>19.66242514438831</v>
      </c>
      <c r="L229" s="12" t="n">
        <v>1.363248385528937</v>
      </c>
      <c r="M229" s="12" t="n">
        <v>5.880966711420037</v>
      </c>
      <c r="N229" s="12" t="n">
        <v>8.945974116146861</v>
      </c>
      <c r="O229" s="12" t="n">
        <v>259.9741703044775</v>
      </c>
      <c r="P229" s="5" t="inlineStr">
        <is>
          <t>Normal</t>
        </is>
      </c>
      <c r="Q229" s="5" t="inlineStr">
        <is>
          <t>Build</t>
        </is>
      </c>
      <c r="R229" s="12" t="n">
        <v>0.52</v>
      </c>
      <c r="S229" s="5" t="inlineStr">
        <is>
          <t>REDUCED</t>
        </is>
      </c>
      <c r="T229" s="5" t="inlineStr">
        <is>
          <t>Normal operation</t>
        </is>
      </c>
    </row>
    <row r="230" s="17">
      <c r="A230" s="7" t="n">
        <v>4475</v>
      </c>
      <c r="B230" s="8" t="n">
        <v>68864.67929</v>
      </c>
      <c r="C230" s="9" t="n">
        <v>68.86467929</v>
      </c>
      <c r="D230" s="9" t="n">
        <v>167.17536924</v>
      </c>
      <c r="E230" s="9" t="n">
        <v>30</v>
      </c>
      <c r="F230" s="10" t="n">
        <v>0.08577181612574006</v>
      </c>
      <c r="G230" s="10" t="n">
        <v>0.2810982709332485</v>
      </c>
      <c r="H230" s="10" t="n">
        <v>0.8917321659220376</v>
      </c>
      <c r="I230" s="10" t="n">
        <v>0.930719</v>
      </c>
      <c r="J230" s="5" t="inlineStr">
        <is>
          <t>Transition</t>
        </is>
      </c>
      <c r="K230" s="11" t="n">
        <v>20.46615522251898</v>
      </c>
      <c r="L230" s="12" t="n">
        <v>2.554744759637999</v>
      </c>
      <c r="M230" s="12" t="n">
        <v>7.153925795404474</v>
      </c>
      <c r="N230" s="12" t="n">
        <v>9.668341983087105</v>
      </c>
      <c r="O230" s="12" t="n">
        <v>281.4906348290423</v>
      </c>
      <c r="P230" s="5" t="inlineStr">
        <is>
          <t>Caution</t>
        </is>
      </c>
      <c r="Q230" s="5" t="inlineStr">
        <is>
          <t>Hold</t>
        </is>
      </c>
      <c r="R230" s="12" t="n">
        <v>0.51</v>
      </c>
      <c r="S230" s="5" t="inlineStr">
        <is>
          <t>REDUCED</t>
        </is>
      </c>
      <c r="T230" s="5" t="inlineStr">
        <is>
          <t>High vibration detected</t>
        </is>
      </c>
    </row>
    <row r="231" s="17">
      <c r="A231" s="7" t="n">
        <v>4480</v>
      </c>
      <c r="B231" s="8" t="n">
        <v>55209.050823</v>
      </c>
      <c r="C231" s="9" t="n">
        <v>55.209050823</v>
      </c>
      <c r="D231" s="9" t="n">
        <v>121.164883</v>
      </c>
      <c r="E231" s="9" t="n">
        <v>58.33446216</v>
      </c>
      <c r="F231" s="10" t="n">
        <v>0.07176467281779568</v>
      </c>
      <c r="G231" s="10" t="n">
        <v>0.06798474755769442</v>
      </c>
      <c r="H231" s="10" t="n">
        <v>0.934165491621572</v>
      </c>
      <c r="I231" s="10" t="n">
        <v>0.454929</v>
      </c>
      <c r="J231" s="5" t="inlineStr">
        <is>
          <t>Cleaner sand</t>
        </is>
      </c>
      <c r="K231" s="11" t="n">
        <v>19.34949127646505</v>
      </c>
      <c r="L231" s="12" t="n">
        <v>1.992183676956242</v>
      </c>
      <c r="M231" s="12" t="n">
        <v>6.023006979521682</v>
      </c>
      <c r="N231" s="12" t="n">
        <v>10.19078064050414</v>
      </c>
      <c r="O231" s="12" t="n">
        <v>285.5526623879408</v>
      </c>
      <c r="P231" s="5" t="inlineStr">
        <is>
          <t>Caution</t>
        </is>
      </c>
      <c r="Q231" s="5" t="inlineStr">
        <is>
          <t>Hold</t>
        </is>
      </c>
      <c r="R231" s="12" t="n">
        <v>0.44</v>
      </c>
      <c r="S231" s="5" t="inlineStr">
        <is>
          <t>REJECTED</t>
        </is>
      </c>
      <c r="T231" s="5" t="inlineStr">
        <is>
          <t>DLS exceeds normal range</t>
        </is>
      </c>
    </row>
    <row r="232" s="17">
      <c r="A232" s="7" t="n">
        <v>4485</v>
      </c>
      <c r="B232" s="8" t="n">
        <v>51949.479652</v>
      </c>
      <c r="C232" s="9" t="n">
        <v>51.949479652</v>
      </c>
      <c r="D232" s="9" t="n">
        <v>122.55061487</v>
      </c>
      <c r="E232" s="9" t="n">
        <v>39.12141526</v>
      </c>
      <c r="F232" s="10" t="n">
        <v>0.1480472134375213</v>
      </c>
      <c r="G232" s="10" t="n">
        <v>0.1727768790284539</v>
      </c>
      <c r="H232" s="10" t="n">
        <v>0.96827296990693</v>
      </c>
      <c r="I232" s="10" t="n">
        <v>0.478595</v>
      </c>
      <c r="J232" s="5" t="inlineStr">
        <is>
          <t>Cleaner sand</t>
        </is>
      </c>
      <c r="K232" s="11" t="n">
        <v>17.34002126298548</v>
      </c>
      <c r="L232" s="12" t="n">
        <v>1.420923410008606</v>
      </c>
      <c r="M232" s="12" t="n">
        <v>7.197363550478281</v>
      </c>
      <c r="N232" s="12" t="n">
        <v>11.33500344103945</v>
      </c>
      <c r="O232" s="12" t="n">
        <v>263.9429058972265</v>
      </c>
      <c r="P232" s="5" t="inlineStr">
        <is>
          <t>Caution</t>
        </is>
      </c>
      <c r="Q232" s="5" t="inlineStr">
        <is>
          <t>Hold</t>
        </is>
      </c>
      <c r="R232" s="12" t="n">
        <v>0.84</v>
      </c>
      <c r="S232" s="5" t="inlineStr">
        <is>
          <t>ACCEPTED</t>
        </is>
      </c>
      <c r="T232" s="5" t="inlineStr">
        <is>
          <t>DLS exceeds normal range</t>
        </is>
      </c>
    </row>
    <row r="233" s="17">
      <c r="A233" s="7" t="n">
        <v>4490</v>
      </c>
      <c r="B233" s="8" t="n">
        <v>55520.661788</v>
      </c>
      <c r="C233" s="9" t="n">
        <v>55.520661788</v>
      </c>
      <c r="D233" s="9" t="n">
        <v>159.4081703</v>
      </c>
      <c r="E233" s="9" t="n">
        <v>39.61215082</v>
      </c>
      <c r="F233" s="10" t="n">
        <v>0.04576613272661177</v>
      </c>
      <c r="G233" s="10" t="n">
        <v>0.2759071481529106</v>
      </c>
      <c r="H233" s="10" t="n">
        <v>0.8775879107909834</v>
      </c>
      <c r="I233" s="10" t="n">
        <v>0.566101</v>
      </c>
      <c r="J233" s="5" t="inlineStr">
        <is>
          <t>Transition</t>
        </is>
      </c>
      <c r="K233" s="11" t="n">
        <v>18.94366411276087</v>
      </c>
      <c r="L233" s="12" t="n">
        <v>2.717081024500096</v>
      </c>
      <c r="M233" s="12" t="n">
        <v>6.006596316158766</v>
      </c>
      <c r="N233" s="12" t="n">
        <v>10.29959402468954</v>
      </c>
      <c r="O233" s="12" t="n">
        <v>287.633338913802</v>
      </c>
      <c r="P233" s="5" t="inlineStr">
        <is>
          <t>Caution</t>
        </is>
      </c>
      <c r="Q233" s="5" t="inlineStr">
        <is>
          <t>Hold</t>
        </is>
      </c>
      <c r="R233" s="12" t="n">
        <v>0.58</v>
      </c>
      <c r="S233" s="5" t="inlineStr">
        <is>
          <t>REDUCED</t>
        </is>
      </c>
      <c r="T233" s="5" t="inlineStr">
        <is>
          <t>High vibration detected</t>
        </is>
      </c>
    </row>
    <row r="234" s="17">
      <c r="A234" s="7" t="n">
        <v>4495</v>
      </c>
      <c r="B234" s="8" t="n">
        <v>46833.054658</v>
      </c>
      <c r="C234" s="9" t="n">
        <v>46.833054658</v>
      </c>
      <c r="D234" s="9" t="n">
        <v>137.24617264</v>
      </c>
      <c r="E234" s="9" t="n">
        <v>70.8594513</v>
      </c>
      <c r="F234" s="10" t="n">
        <v>0.03388348592676994</v>
      </c>
      <c r="G234" s="10" t="n">
        <v>0.09122177131534574</v>
      </c>
      <c r="H234" s="10" t="n">
        <v>0.9531387216546767</v>
      </c>
      <c r="I234" s="10" t="n">
        <v>0.2057</v>
      </c>
      <c r="J234" s="5" t="inlineStr">
        <is>
          <t>Cleaner sand</t>
        </is>
      </c>
      <c r="K234" s="11" t="n">
        <v>17.17493852570222</v>
      </c>
      <c r="L234" s="12" t="n">
        <v>1.363199687728364</v>
      </c>
      <c r="M234" s="12" t="n">
        <v>6.395995466733356</v>
      </c>
      <c r="N234" s="12" t="n">
        <v>8.188421784687669</v>
      </c>
      <c r="O234" s="12" t="n">
        <v>285.6019554994975</v>
      </c>
      <c r="P234" s="5" t="inlineStr">
        <is>
          <t>Caution</t>
        </is>
      </c>
      <c r="Q234" s="5" t="inlineStr">
        <is>
          <t>Build</t>
        </is>
      </c>
      <c r="R234" s="12" t="n">
        <v>0.87</v>
      </c>
      <c r="S234" s="5" t="inlineStr">
        <is>
          <t>ACCEPTED</t>
        </is>
      </c>
      <c r="T234" s="5" t="inlineStr">
        <is>
          <t>DLS exceeds normal range</t>
        </is>
      </c>
    </row>
    <row r="235" s="17">
      <c r="A235" s="7" t="n">
        <v>4500</v>
      </c>
      <c r="B235" s="8" t="n">
        <v>39397.207178</v>
      </c>
      <c r="C235" s="9" t="n">
        <v>39.397207178</v>
      </c>
      <c r="D235" s="9" t="n">
        <v>133.65439858</v>
      </c>
      <c r="E235" s="9" t="n">
        <v>30</v>
      </c>
      <c r="F235" s="10" t="n">
        <v>0.1339530035192831</v>
      </c>
      <c r="G235" s="10" t="n">
        <v>0.3274193046076509</v>
      </c>
      <c r="H235" s="10" t="n">
        <v>0.8712831663738616</v>
      </c>
      <c r="I235" s="10" t="n">
        <v>1.70455</v>
      </c>
      <c r="J235" s="5" t="inlineStr">
        <is>
          <t>Transition</t>
        </is>
      </c>
      <c r="K235" s="11" t="n">
        <v>15.11015317215133</v>
      </c>
      <c r="L235" s="12" t="n">
        <v>2.02362673228456</v>
      </c>
      <c r="M235" s="12" t="n">
        <v>6.481912453635545</v>
      </c>
      <c r="N235" s="12" t="n">
        <v>12.30341125154415</v>
      </c>
      <c r="O235" s="12" t="n">
        <v>286.207949300205</v>
      </c>
      <c r="P235" s="5" t="inlineStr">
        <is>
          <t>Caution</t>
        </is>
      </c>
      <c r="Q235" s="5" t="inlineStr">
        <is>
          <t>Hold</t>
        </is>
      </c>
      <c r="R235" s="12" t="n">
        <v>0.73</v>
      </c>
      <c r="S235" s="5" t="inlineStr">
        <is>
          <t>ACCEPTED</t>
        </is>
      </c>
      <c r="T235" s="5" t="inlineStr">
        <is>
          <t>DLS exceeds normal range</t>
        </is>
      </c>
    </row>
    <row r="236" s="17">
      <c r="A236" s="7" t="n">
        <v>4505</v>
      </c>
      <c r="B236" s="8" t="n">
        <v>64875.348248</v>
      </c>
      <c r="C236" s="9" t="n">
        <v>64.87534824800001</v>
      </c>
      <c r="D236" s="9" t="n">
        <v>160.27481534</v>
      </c>
      <c r="E236" s="9" t="n">
        <v>31.175498</v>
      </c>
      <c r="F236" s="10" t="n">
        <v>0.07418557984788177</v>
      </c>
      <c r="G236" s="10" t="n">
        <v>0.3100609246024869</v>
      </c>
      <c r="H236" s="10" t="n">
        <v>0.9547451171038607</v>
      </c>
      <c r="I236" s="10" t="n">
        <v>0.356421</v>
      </c>
      <c r="J236" s="5" t="inlineStr">
        <is>
          <t>Transition</t>
        </is>
      </c>
      <c r="K236" s="11" t="n">
        <v>22.59167876554218</v>
      </c>
      <c r="L236" s="12" t="n">
        <v>1.806653364399181</v>
      </c>
      <c r="M236" s="12" t="n">
        <v>7.486486094340304</v>
      </c>
      <c r="N236" s="12" t="n">
        <v>9.195418976935736</v>
      </c>
      <c r="O236" s="12" t="n">
        <v>310.7277625888537</v>
      </c>
      <c r="P236" s="5" t="inlineStr">
        <is>
          <t>Caution</t>
        </is>
      </c>
      <c r="Q236" s="5" t="inlineStr">
        <is>
          <t>Turn Left</t>
        </is>
      </c>
      <c r="R236" s="12" t="n">
        <v>0.77</v>
      </c>
      <c r="S236" s="5" t="inlineStr">
        <is>
          <t>ACCEPTED</t>
        </is>
      </c>
      <c r="T236" s="5" t="inlineStr">
        <is>
          <t>DLS exceeds normal range</t>
        </is>
      </c>
    </row>
    <row r="237" s="17">
      <c r="A237" s="7" t="n">
        <v>4510</v>
      </c>
      <c r="B237" s="8" t="n">
        <v>57537.980061</v>
      </c>
      <c r="C237" s="9" t="n">
        <v>57.537980061</v>
      </c>
      <c r="D237" s="9" t="n">
        <v>136.49514584</v>
      </c>
      <c r="E237" s="9" t="n">
        <v>62.09422202</v>
      </c>
      <c r="F237" s="10" t="n">
        <v>0.0326423368070088</v>
      </c>
      <c r="G237" s="10" t="n">
        <v>0.05883366673162076</v>
      </c>
      <c r="H237" s="10" t="n">
        <v>0.9676605087144506</v>
      </c>
      <c r="I237" s="10" t="n">
        <v>0.147343</v>
      </c>
      <c r="J237" s="5" t="inlineStr">
        <is>
          <t>Cleaner sand</t>
        </is>
      </c>
      <c r="K237" s="11" t="n">
        <v>19.73215300427998</v>
      </c>
      <c r="L237" s="12" t="n">
        <v>2.297853231805411</v>
      </c>
      <c r="M237" s="12" t="n">
        <v>7.428198282005816</v>
      </c>
      <c r="N237" s="12" t="n">
        <v>10.28776574486585</v>
      </c>
      <c r="O237" s="12" t="n">
        <v>294.0109257165307</v>
      </c>
      <c r="P237" s="5" t="inlineStr">
        <is>
          <t>Caution</t>
        </is>
      </c>
      <c r="Q237" s="5" t="inlineStr">
        <is>
          <t>Hold</t>
        </is>
      </c>
      <c r="R237" s="12" t="n">
        <v>0.5600000000000001</v>
      </c>
      <c r="S237" s="5" t="inlineStr">
        <is>
          <t>REDUCED</t>
        </is>
      </c>
      <c r="T237" s="5" t="inlineStr">
        <is>
          <t>DLS exceeds normal range</t>
        </is>
      </c>
    </row>
    <row r="238" s="17">
      <c r="A238" s="7" t="n">
        <v>4515</v>
      </c>
      <c r="B238" s="8" t="n">
        <v>61706.005233</v>
      </c>
      <c r="C238" s="9" t="n">
        <v>61.70600523300001</v>
      </c>
      <c r="D238" s="9" t="n">
        <v>135.766057</v>
      </c>
      <c r="E238" s="9" t="n">
        <v>56.69999552</v>
      </c>
      <c r="F238" s="10" t="n">
        <v>0.08626753478042143</v>
      </c>
      <c r="G238" s="10" t="n">
        <v>0.2864128677796519</v>
      </c>
      <c r="H238" s="10" t="n">
        <v>0.8949587508712744</v>
      </c>
      <c r="I238" s="10" t="n">
        <v>0.946256</v>
      </c>
      <c r="J238" s="5" t="inlineStr">
        <is>
          <t>Transition</t>
        </is>
      </c>
      <c r="K238" s="11" t="n">
        <v>17.83968136597689</v>
      </c>
      <c r="L238" s="12" t="n">
        <v>2.425140486396158</v>
      </c>
      <c r="M238" s="12" t="n">
        <v>5.684217331922495</v>
      </c>
      <c r="N238" s="12" t="n">
        <v>8.211075734619502</v>
      </c>
      <c r="O238" s="12" t="n">
        <v>295.7074354482682</v>
      </c>
      <c r="P238" s="5" t="inlineStr">
        <is>
          <t>Normal</t>
        </is>
      </c>
      <c r="Q238" s="5" t="inlineStr">
        <is>
          <t>Build</t>
        </is>
      </c>
      <c r="R238" s="12" t="n">
        <v>0.65</v>
      </c>
      <c r="S238" s="5" t="inlineStr">
        <is>
          <t>REDUCED</t>
        </is>
      </c>
      <c r="T238" s="5" t="inlineStr">
        <is>
          <t>Normal operation</t>
        </is>
      </c>
    </row>
    <row r="239" s="17">
      <c r="A239" s="7" t="n">
        <v>4520</v>
      </c>
      <c r="B239" s="8" t="n">
        <v>64864.28097</v>
      </c>
      <c r="C239" s="9" t="n">
        <v>64.86428097</v>
      </c>
      <c r="D239" s="9" t="n">
        <v>151.30908117</v>
      </c>
      <c r="E239" s="9" t="n">
        <v>38.72497396</v>
      </c>
      <c r="F239" s="10" t="n">
        <v>0.06008821088512463</v>
      </c>
      <c r="G239" s="10" t="n">
        <v>0.3543471920031732</v>
      </c>
      <c r="H239" s="10" t="n">
        <v>0.9229090976694541</v>
      </c>
      <c r="I239" s="10" t="n">
        <v>0.472272</v>
      </c>
      <c r="J239" s="5" t="inlineStr">
        <is>
          <t>Transition</t>
        </is>
      </c>
      <c r="K239" s="11" t="n">
        <v>20.63215347921096</v>
      </c>
      <c r="L239" s="12" t="n">
        <v>1.675682033042226</v>
      </c>
      <c r="M239" s="12" t="n">
        <v>6.711850366757702</v>
      </c>
      <c r="N239" s="12" t="n">
        <v>8.880218229189749</v>
      </c>
      <c r="O239" s="12" t="n">
        <v>307.6371309570644</v>
      </c>
      <c r="P239" s="5" t="inlineStr">
        <is>
          <t>Caution</t>
        </is>
      </c>
      <c r="Q239" s="5" t="inlineStr">
        <is>
          <t>Turn Left</t>
        </is>
      </c>
      <c r="R239" s="12" t="n">
        <v>0.63</v>
      </c>
      <c r="S239" s="5" t="inlineStr">
        <is>
          <t>REDUCED</t>
        </is>
      </c>
      <c r="T239" s="5" t="inlineStr">
        <is>
          <t>DLS exceeds normal range</t>
        </is>
      </c>
    </row>
    <row r="240" s="17">
      <c r="A240" s="7" t="n">
        <v>4525</v>
      </c>
      <c r="B240" s="8" t="n">
        <v>45045.060076</v>
      </c>
      <c r="C240" s="9" t="n">
        <v>45.045060076</v>
      </c>
      <c r="D240" s="9" t="n">
        <v>147.81253097</v>
      </c>
      <c r="E240" s="9" t="n">
        <v>65.62849664000001</v>
      </c>
      <c r="F240" s="10" t="n">
        <v>0.06749341854525592</v>
      </c>
      <c r="G240" s="10" t="n">
        <v>0.192507680227876</v>
      </c>
      <c r="H240" s="10" t="n">
        <v>0.8940633968552377</v>
      </c>
      <c r="I240" s="10" t="n">
        <v>0.745243</v>
      </c>
      <c r="J240" s="5" t="inlineStr">
        <is>
          <t>Cleaner sand</t>
        </is>
      </c>
      <c r="K240" s="11" t="n">
        <v>16.13872934858667</v>
      </c>
      <c r="L240" s="12" t="n">
        <v>1.29082524353037</v>
      </c>
      <c r="M240" s="12" t="n">
        <v>6.087107234359924</v>
      </c>
      <c r="N240" s="12" t="n">
        <v>9.056706979749363</v>
      </c>
      <c r="O240" s="12" t="n">
        <v>316.7213626718813</v>
      </c>
      <c r="P240" s="5" t="inlineStr">
        <is>
          <t>Caution</t>
        </is>
      </c>
      <c r="Q240" s="5" t="inlineStr">
        <is>
          <t>Turn Left</t>
        </is>
      </c>
      <c r="R240" s="12" t="n">
        <v>0.53</v>
      </c>
      <c r="S240" s="5" t="inlineStr">
        <is>
          <t>REDUCED</t>
        </is>
      </c>
      <c r="T240" s="5" t="inlineStr">
        <is>
          <t>DLS exceeds normal range</t>
        </is>
      </c>
    </row>
    <row r="241" s="17">
      <c r="A241" s="7" t="n">
        <v>4530</v>
      </c>
      <c r="B241" s="8" t="n">
        <v>53635.462112</v>
      </c>
      <c r="C241" s="9" t="n">
        <v>53.635462112</v>
      </c>
      <c r="D241" s="9" t="n">
        <v>119.86705323</v>
      </c>
      <c r="E241" s="9" t="n">
        <v>34.90590186</v>
      </c>
      <c r="F241" s="10" t="n">
        <v>0.1123080182116512</v>
      </c>
      <c r="G241" s="10" t="n">
        <v>0.1991883630332932</v>
      </c>
      <c r="H241" s="10" t="n">
        <v>0.9253924510406668</v>
      </c>
      <c r="I241" s="10" t="n">
        <v>0.86564</v>
      </c>
      <c r="J241" s="5" t="inlineStr">
        <is>
          <t>Cleaner sand</t>
        </is>
      </c>
      <c r="K241" s="11" t="n">
        <v>19.23290986649851</v>
      </c>
      <c r="L241" s="12" t="n">
        <v>1.885386350040167</v>
      </c>
      <c r="M241" s="12" t="n">
        <v>5.63459229802201</v>
      </c>
      <c r="N241" s="12" t="n">
        <v>9.327597761958733</v>
      </c>
      <c r="O241" s="12" t="n">
        <v>311.3017527962078</v>
      </c>
      <c r="P241" s="5" t="inlineStr">
        <is>
          <t>Normal</t>
        </is>
      </c>
      <c r="Q241" s="5" t="inlineStr">
        <is>
          <t>Turn Left</t>
        </is>
      </c>
      <c r="R241" s="12" t="n">
        <v>0.86</v>
      </c>
      <c r="S241" s="5" t="inlineStr">
        <is>
          <t>ACCEPTED</t>
        </is>
      </c>
      <c r="T241" s="5" t="inlineStr">
        <is>
          <t>Normal operation</t>
        </is>
      </c>
    </row>
    <row r="242" s="17">
      <c r="A242" s="7" t="n">
        <v>4535</v>
      </c>
      <c r="B242" s="8" t="n">
        <v>60870.479513</v>
      </c>
      <c r="C242" s="9" t="n">
        <v>60.870479513</v>
      </c>
      <c r="D242" s="9" t="n">
        <v>154.21939881</v>
      </c>
      <c r="E242" s="9" t="n">
        <v>45.79688684</v>
      </c>
      <c r="F242" s="10" t="n">
        <v>0.07930057302932063</v>
      </c>
      <c r="G242" s="10" t="n">
        <v>0.3652471597528052</v>
      </c>
      <c r="H242" s="10" t="n">
        <v>0.8734790207178903</v>
      </c>
      <c r="I242" s="10" t="n">
        <v>1.027171</v>
      </c>
      <c r="J242" s="5" t="inlineStr">
        <is>
          <t>Transition</t>
        </is>
      </c>
      <c r="K242" s="11" t="n">
        <v>18.91863196444694</v>
      </c>
      <c r="L242" s="12" t="n">
        <v>1.327919468821468</v>
      </c>
      <c r="M242" s="12" t="n">
        <v>6.454165651853351</v>
      </c>
      <c r="N242" s="12" t="n">
        <v>8.897070146472657</v>
      </c>
      <c r="O242" s="12" t="n">
        <v>327.0937816861962</v>
      </c>
      <c r="P242" s="5" t="inlineStr">
        <is>
          <t>Caution</t>
        </is>
      </c>
      <c r="Q242" s="5" t="inlineStr">
        <is>
          <t>Turn Left</t>
        </is>
      </c>
      <c r="R242" s="12" t="n">
        <v>0.74</v>
      </c>
      <c r="S242" s="5" t="inlineStr">
        <is>
          <t>ACCEPTED</t>
        </is>
      </c>
      <c r="T242" s="5" t="inlineStr">
        <is>
          <t>DLS exceeds normal range</t>
        </is>
      </c>
    </row>
    <row r="243" s="17">
      <c r="A243" s="7" t="n">
        <v>4540</v>
      </c>
      <c r="B243" s="8" t="n">
        <v>53051.053176</v>
      </c>
      <c r="C243" s="9" t="n">
        <v>53.051053176</v>
      </c>
      <c r="D243" s="9" t="n">
        <v>141.64829888</v>
      </c>
      <c r="E243" s="9" t="n">
        <v>71.0649269</v>
      </c>
      <c r="F243" s="10" t="n">
        <v>0.04696775706077547</v>
      </c>
      <c r="G243" s="10" t="n">
        <v>0.1591384991673664</v>
      </c>
      <c r="H243" s="10" t="n">
        <v>0.9522034774234298</v>
      </c>
      <c r="I243" s="10" t="n">
        <v>0.208096</v>
      </c>
      <c r="J243" s="5" t="inlineStr">
        <is>
          <t>Cleaner sand</t>
        </is>
      </c>
      <c r="K243" s="11" t="n">
        <v>18.15825464794041</v>
      </c>
      <c r="L243" s="12" t="n">
        <v>2.646559751288045</v>
      </c>
      <c r="M243" s="12" t="n">
        <v>6.367134989400823</v>
      </c>
      <c r="N243" s="12" t="n">
        <v>8.434894162378608</v>
      </c>
      <c r="O243" s="12" t="n">
        <v>323.3027251326473</v>
      </c>
      <c r="P243" s="5" t="inlineStr">
        <is>
          <t>Caution</t>
        </is>
      </c>
      <c r="Q243" s="5" t="inlineStr">
        <is>
          <t>Turn Left</t>
        </is>
      </c>
      <c r="R243" s="12" t="n">
        <v>0.42</v>
      </c>
      <c r="S243" s="5" t="inlineStr">
        <is>
          <t>REJECTED</t>
        </is>
      </c>
      <c r="T243" s="5" t="inlineStr">
        <is>
          <t>High vibration detected</t>
        </is>
      </c>
    </row>
    <row r="244" s="17">
      <c r="A244" s="7" t="n">
        <v>4545</v>
      </c>
      <c r="B244" s="8" t="n">
        <v>67858.922668</v>
      </c>
      <c r="C244" s="9" t="n">
        <v>67.85892266800001</v>
      </c>
      <c r="D244" s="9" t="n">
        <v>139.55852378</v>
      </c>
      <c r="E244" s="9" t="n">
        <v>37.3260433</v>
      </c>
      <c r="F244" s="10" t="n">
        <v>0.1592061491150367</v>
      </c>
      <c r="G244" s="10" t="n">
        <v>0.278992475846999</v>
      </c>
      <c r="H244" s="10" t="n">
        <v>0.9090941460251294</v>
      </c>
      <c r="I244" s="10" t="n">
        <v>1.483292</v>
      </c>
      <c r="J244" s="5" t="inlineStr">
        <is>
          <t>Transition</t>
        </is>
      </c>
      <c r="K244" s="11" t="n">
        <v>21.50146581655687</v>
      </c>
      <c r="L244" s="12" t="n">
        <v>1.726902312230541</v>
      </c>
      <c r="M244" s="12" t="n">
        <v>8.541196120699459</v>
      </c>
      <c r="N244" s="12" t="n">
        <v>6.669972024534161</v>
      </c>
      <c r="O244" s="12" t="n">
        <v>298.6172328041174</v>
      </c>
      <c r="P244" s="5" t="inlineStr">
        <is>
          <t>Caution</t>
        </is>
      </c>
      <c r="Q244" s="5" t="inlineStr">
        <is>
          <t>Build</t>
        </is>
      </c>
      <c r="R244" s="12" t="n">
        <v>0.85</v>
      </c>
      <c r="S244" s="5" t="inlineStr">
        <is>
          <t>ACCEPTED</t>
        </is>
      </c>
      <c r="T244" s="5" t="inlineStr">
        <is>
          <t>DLS exceeds normal range</t>
        </is>
      </c>
    </row>
    <row r="245" s="17">
      <c r="A245" s="7" t="n">
        <v>4550</v>
      </c>
      <c r="B245" s="8" t="n">
        <v>65909.631541</v>
      </c>
      <c r="C245" s="9" t="n">
        <v>65.909631541</v>
      </c>
      <c r="D245" s="9" t="n">
        <v>164.23789552</v>
      </c>
      <c r="E245" s="9" t="n">
        <v>45.77168988</v>
      </c>
      <c r="F245" s="10" t="n">
        <v>0.09829355012845337</v>
      </c>
      <c r="G245" s="10" t="n">
        <v>0.354359401294623</v>
      </c>
      <c r="H245" s="10" t="n">
        <v>0.9290451119827835</v>
      </c>
      <c r="I245" s="10" t="n">
        <v>0.697198</v>
      </c>
      <c r="J245" s="5" t="inlineStr">
        <is>
          <t>Transition</t>
        </is>
      </c>
      <c r="K245" s="11" t="n">
        <v>21.50371693633041</v>
      </c>
      <c r="L245" s="12" t="n">
        <v>1.480992439857067</v>
      </c>
      <c r="M245" s="12" t="n">
        <v>6.9318532239641</v>
      </c>
      <c r="N245" s="12" t="n">
        <v>6.114861633346394</v>
      </c>
      <c r="O245" s="12" t="n">
        <v>317.3474318209558</v>
      </c>
      <c r="P245" s="5" t="inlineStr">
        <is>
          <t>Caution</t>
        </is>
      </c>
      <c r="Q245" s="5" t="inlineStr">
        <is>
          <t>Turn Left</t>
        </is>
      </c>
      <c r="R245" s="12" t="n">
        <v>0.46</v>
      </c>
      <c r="S245" s="5" t="inlineStr">
        <is>
          <t>REJECTED</t>
        </is>
      </c>
      <c r="T245" s="5" t="inlineStr">
        <is>
          <t>DLS exceeds normal range</t>
        </is>
      </c>
    </row>
    <row r="246" s="17">
      <c r="A246" s="7" t="n">
        <v>4555</v>
      </c>
      <c r="B246" s="8" t="n">
        <v>43948.561812</v>
      </c>
      <c r="C246" s="9" t="n">
        <v>43.948561812</v>
      </c>
      <c r="D246" s="9" t="n">
        <v>120.51458504</v>
      </c>
      <c r="E246" s="9" t="n">
        <v>70.34861508</v>
      </c>
      <c r="F246" s="10" t="n">
        <v>0.03342470563972934</v>
      </c>
      <c r="G246" s="10" t="n">
        <v>0.2117263742730567</v>
      </c>
      <c r="H246" s="10" t="n">
        <v>0.8817712124839213</v>
      </c>
      <c r="I246" s="10" t="n">
        <v>0.378052</v>
      </c>
      <c r="J246" s="5" t="inlineStr">
        <is>
          <t>Cleaner sand</t>
        </is>
      </c>
      <c r="K246" s="11" t="n">
        <v>15.39854966167083</v>
      </c>
      <c r="L246" s="12" t="n">
        <v>1.750493349873805</v>
      </c>
      <c r="M246" s="12" t="n">
        <v>5.46881546873445</v>
      </c>
      <c r="N246" s="12" t="n">
        <v>7.069067964113495</v>
      </c>
      <c r="O246" s="12" t="n">
        <v>319.0961899023886</v>
      </c>
      <c r="P246" s="5" t="inlineStr">
        <is>
          <t>Normal</t>
        </is>
      </c>
      <c r="Q246" s="5" t="inlineStr">
        <is>
          <t>Build</t>
        </is>
      </c>
      <c r="R246" s="12" t="n">
        <v>0.62</v>
      </c>
      <c r="S246" s="5" t="inlineStr">
        <is>
          <t>REDUCED</t>
        </is>
      </c>
      <c r="T246" s="5" t="inlineStr">
        <is>
          <t>Normal operation</t>
        </is>
      </c>
    </row>
    <row r="247" s="17">
      <c r="A247" s="7" t="n">
        <v>4560</v>
      </c>
      <c r="B247" s="8" t="n">
        <v>54498.431015</v>
      </c>
      <c r="C247" s="9" t="n">
        <v>54.498431015</v>
      </c>
      <c r="D247" s="9" t="n">
        <v>131.04710072</v>
      </c>
      <c r="E247" s="9" t="n">
        <v>46.6327973</v>
      </c>
      <c r="F247" s="10" t="n">
        <v>0.04068337517945957</v>
      </c>
      <c r="G247" s="10" t="n">
        <v>0.1524038821603436</v>
      </c>
      <c r="H247" s="10" t="n">
        <v>0.9269143112094805</v>
      </c>
      <c r="I247" s="10" t="n">
        <v>0.340498</v>
      </c>
      <c r="J247" s="5" t="inlineStr">
        <is>
          <t>Cleaner sand</t>
        </is>
      </c>
      <c r="K247" s="11" t="n">
        <v>18.20469394048138</v>
      </c>
      <c r="L247" s="12" t="n">
        <v>1.1</v>
      </c>
      <c r="M247" s="12" t="n">
        <v>6.104277014129531</v>
      </c>
      <c r="N247" s="12" t="n">
        <v>7.628291407538201</v>
      </c>
      <c r="O247" s="12" t="n">
        <v>331.4043626962873</v>
      </c>
      <c r="P247" s="5" t="inlineStr">
        <is>
          <t>Caution</t>
        </is>
      </c>
      <c r="Q247" s="5" t="inlineStr">
        <is>
          <t>Turn Left</t>
        </is>
      </c>
      <c r="R247" s="12" t="n">
        <v>0.71</v>
      </c>
      <c r="S247" s="5" t="inlineStr">
        <is>
          <t>ACCEPTED</t>
        </is>
      </c>
      <c r="T247" s="5" t="inlineStr">
        <is>
          <t>DLS exceeds normal range</t>
        </is>
      </c>
    </row>
    <row r="248" s="17">
      <c r="A248" s="7" t="n">
        <v>4565</v>
      </c>
      <c r="B248" s="8" t="n">
        <v>56361.026847</v>
      </c>
      <c r="C248" s="9" t="n">
        <v>56.361026847</v>
      </c>
      <c r="D248" s="9" t="n">
        <v>110.61527183</v>
      </c>
      <c r="E248" s="9" t="n">
        <v>30</v>
      </c>
      <c r="F248" s="10" t="n">
        <v>0.09614395061947091</v>
      </c>
      <c r="G248" s="10" t="n">
        <v>0.3488344868297047</v>
      </c>
      <c r="H248" s="10" t="n">
        <v>0.8393261953821116</v>
      </c>
      <c r="I248" s="10" t="n">
        <v>1.530324</v>
      </c>
      <c r="J248" s="5" t="inlineStr">
        <is>
          <t>Transition</t>
        </is>
      </c>
      <c r="K248" s="11" t="n">
        <v>18.40682152087489</v>
      </c>
      <c r="L248" s="12" t="n">
        <v>1.183909121129781</v>
      </c>
      <c r="M248" s="12" t="n">
        <v>7.358153229037855</v>
      </c>
      <c r="N248" s="12" t="n">
        <v>5.904234715287986</v>
      </c>
      <c r="O248" s="12" t="n">
        <v>302.0767574321252</v>
      </c>
      <c r="P248" s="5" t="inlineStr">
        <is>
          <t>Caution</t>
        </is>
      </c>
      <c r="Q248" s="5" t="inlineStr">
        <is>
          <t>Build</t>
        </is>
      </c>
      <c r="R248" s="12" t="n">
        <v>0.4</v>
      </c>
      <c r="S248" s="5" t="inlineStr">
        <is>
          <t>REJECTED</t>
        </is>
      </c>
      <c r="T248" s="5" t="inlineStr">
        <is>
          <t>DLS exceeds normal range</t>
        </is>
      </c>
    </row>
    <row r="249" s="17">
      <c r="A249" s="7" t="n">
        <v>4570</v>
      </c>
      <c r="B249" s="8" t="n">
        <v>42958.776314</v>
      </c>
      <c r="C249" s="9" t="n">
        <v>42.958776314</v>
      </c>
      <c r="D249" s="9" t="n">
        <v>130.92306792</v>
      </c>
      <c r="E249" s="9" t="n">
        <v>55.6543102</v>
      </c>
      <c r="F249" s="10" t="n">
        <v>0.05420734856700103</v>
      </c>
      <c r="G249" s="10" t="n">
        <v>0.2184326897057956</v>
      </c>
      <c r="H249" s="10" t="n">
        <v>0.8956655576162382</v>
      </c>
      <c r="I249" s="10" t="n">
        <v>0.589404</v>
      </c>
      <c r="J249" s="5" t="inlineStr">
        <is>
          <t>Cleaner sand</t>
        </is>
      </c>
      <c r="K249" s="11" t="n">
        <v>15.76347387706015</v>
      </c>
      <c r="L249" s="12" t="n">
        <v>2.248202814892768</v>
      </c>
      <c r="M249" s="12" t="n">
        <v>8.196515813663042</v>
      </c>
      <c r="N249" s="12" t="n">
        <v>7.402024593490985</v>
      </c>
      <c r="O249" s="12" t="n">
        <v>344.5</v>
      </c>
      <c r="P249" s="5" t="inlineStr">
        <is>
          <t>Caution</t>
        </is>
      </c>
      <c r="Q249" s="5" t="inlineStr">
        <is>
          <t>Turn Left</t>
        </is>
      </c>
      <c r="R249" s="12" t="n">
        <v>0.76</v>
      </c>
      <c r="S249" s="5" t="inlineStr">
        <is>
          <t>ACCEPTED</t>
        </is>
      </c>
      <c r="T249" s="5" t="inlineStr">
        <is>
          <t>DLS exceeds normal range</t>
        </is>
      </c>
    </row>
    <row r="250" s="17">
      <c r="A250" s="7" t="n">
        <v>4575</v>
      </c>
      <c r="B250" s="8" t="n">
        <v>60701.488632</v>
      </c>
      <c r="C250" s="9" t="n">
        <v>60.701488632</v>
      </c>
      <c r="D250" s="9" t="n">
        <v>140.44416305</v>
      </c>
      <c r="E250" s="9" t="n">
        <v>30</v>
      </c>
      <c r="F250" s="10" t="n">
        <v>0.09510745618032881</v>
      </c>
      <c r="G250" s="10" t="n">
        <v>0.1923420027158322</v>
      </c>
      <c r="H250" s="10" t="n">
        <v>0.9732133625459115</v>
      </c>
      <c r="I250" s="10" t="n">
        <v>0.238078</v>
      </c>
      <c r="J250" s="5" t="inlineStr">
        <is>
          <t>Cleaner sand</t>
        </is>
      </c>
      <c r="K250" s="11" t="n">
        <v>21.44552586539278</v>
      </c>
      <c r="L250" s="12" t="n">
        <v>1.338121803304016</v>
      </c>
      <c r="M250" s="12" t="n">
        <v>5.241455591684484</v>
      </c>
      <c r="N250" s="12" t="n">
        <v>8.044111111692589</v>
      </c>
      <c r="O250" s="12" t="n">
        <v>336.4979374403915</v>
      </c>
      <c r="P250" s="5" t="inlineStr">
        <is>
          <t>Normal</t>
        </is>
      </c>
      <c r="Q250" s="5" t="inlineStr">
        <is>
          <t>Turn Left</t>
        </is>
      </c>
      <c r="R250" s="12" t="n">
        <v>0.76</v>
      </c>
      <c r="S250" s="5" t="inlineStr">
        <is>
          <t>ACCEPTED</t>
        </is>
      </c>
      <c r="T250" s="5" t="inlineStr">
        <is>
          <t>Normal operation</t>
        </is>
      </c>
    </row>
    <row r="251" s="17">
      <c r="A251" s="7" t="n">
        <v>4580</v>
      </c>
      <c r="B251" s="8" t="n">
        <v>63281.61586</v>
      </c>
      <c r="C251" s="9" t="n">
        <v>63.28161586</v>
      </c>
      <c r="D251" s="9" t="n">
        <v>117.54897855</v>
      </c>
      <c r="E251" s="9" t="n">
        <v>36.62141812</v>
      </c>
      <c r="F251" s="10" t="n">
        <v>0.09612199952468835</v>
      </c>
      <c r="G251" s="10" t="n">
        <v>0.3308455527368012</v>
      </c>
      <c r="H251" s="10" t="n">
        <v>0.9507538734898351</v>
      </c>
      <c r="I251" s="10" t="n">
        <v>0.482259</v>
      </c>
      <c r="J251" s="5" t="inlineStr">
        <is>
          <t>Transition</t>
        </is>
      </c>
      <c r="K251" s="11" t="n">
        <v>20.55959453350375</v>
      </c>
      <c r="L251" s="12" t="n">
        <v>1.147013618485849</v>
      </c>
      <c r="M251" s="12" t="n">
        <v>4.990550054474243</v>
      </c>
      <c r="N251" s="12" t="n">
        <v>5.102900452263377</v>
      </c>
      <c r="O251" s="12" t="n">
        <v>333.8165630612743</v>
      </c>
      <c r="P251" s="5" t="inlineStr">
        <is>
          <t>Normal</t>
        </is>
      </c>
      <c r="Q251" s="5" t="inlineStr">
        <is>
          <t>Build</t>
        </is>
      </c>
      <c r="R251" s="12" t="n">
        <v>0.76</v>
      </c>
      <c r="S251" s="5" t="inlineStr">
        <is>
          <t>ACCEPTED</t>
        </is>
      </c>
      <c r="T251" s="5" t="inlineStr">
        <is>
          <t>Normal operation</t>
        </is>
      </c>
    </row>
    <row r="252" s="17">
      <c r="A252" s="7" t="n">
        <v>4585</v>
      </c>
      <c r="B252" s="8" t="n">
        <v>38326.234146</v>
      </c>
      <c r="C252" s="9" t="n">
        <v>38.326234146</v>
      </c>
      <c r="D252" s="9" t="n">
        <v>140.15812948</v>
      </c>
      <c r="E252" s="9" t="n">
        <v>72.20399300000001</v>
      </c>
      <c r="F252" s="10" t="n">
        <v>0.05138595633111058</v>
      </c>
      <c r="G252" s="10" t="n">
        <v>0.1260856915059459</v>
      </c>
      <c r="H252" s="10" t="n">
        <v>0.9884815785190183</v>
      </c>
      <c r="I252" s="10" t="n">
        <v>0.07170799999999999</v>
      </c>
      <c r="J252" s="5" t="inlineStr">
        <is>
          <t>Cleaner sand</t>
        </is>
      </c>
      <c r="K252" s="11" t="n">
        <v>14.30389446299056</v>
      </c>
      <c r="L252" s="12" t="n">
        <v>1.92295984873837</v>
      </c>
      <c r="M252" s="12" t="n">
        <v>7.975276746073365</v>
      </c>
      <c r="N252" s="12" t="n">
        <v>5.34452903662193</v>
      </c>
      <c r="O252" s="12" t="n">
        <v>344.5</v>
      </c>
      <c r="P252" s="5" t="inlineStr">
        <is>
          <t>Caution</t>
        </is>
      </c>
      <c r="Q252" s="5" t="inlineStr">
        <is>
          <t>Turn Left</t>
        </is>
      </c>
      <c r="R252" s="12" t="n">
        <v>0.49</v>
      </c>
      <c r="S252" s="5" t="inlineStr">
        <is>
          <t>REJECTED</t>
        </is>
      </c>
      <c r="T252" s="5" t="inlineStr">
        <is>
          <t>DLS exceeds normal range</t>
        </is>
      </c>
    </row>
    <row r="253" s="17">
      <c r="A253" s="7" t="n">
        <v>4590</v>
      </c>
      <c r="B253" s="8" t="n">
        <v>39443.703057</v>
      </c>
      <c r="C253" s="9" t="n">
        <v>39.443703057</v>
      </c>
      <c r="D253" s="9" t="n">
        <v>127.51321091</v>
      </c>
      <c r="E253" s="9" t="n">
        <v>64.51555328000001</v>
      </c>
      <c r="F253" s="10" t="n">
        <v>0.1295372186216815</v>
      </c>
      <c r="G253" s="10" t="n">
        <v>0.09287003675830345</v>
      </c>
      <c r="H253" s="10" t="n">
        <v>0.9360632957015322</v>
      </c>
      <c r="I253" s="10" t="n">
        <v>0.816105</v>
      </c>
      <c r="J253" s="5" t="inlineStr">
        <is>
          <t>Cleaner sand</t>
        </is>
      </c>
      <c r="K253" s="11" t="n">
        <v>16.68816706452262</v>
      </c>
      <c r="L253" s="12" t="n">
        <v>2.240995035784868</v>
      </c>
      <c r="M253" s="12" t="n">
        <v>6.77397977545937</v>
      </c>
      <c r="N253" s="12" t="n">
        <v>6.388446679478425</v>
      </c>
      <c r="O253" s="12" t="n">
        <v>344.5</v>
      </c>
      <c r="P253" s="5" t="inlineStr">
        <is>
          <t>Caution</t>
        </is>
      </c>
      <c r="Q253" s="5" t="inlineStr">
        <is>
          <t>Turn Left</t>
        </is>
      </c>
      <c r="R253" s="12" t="n">
        <v>0.54</v>
      </c>
      <c r="S253" s="5" t="inlineStr">
        <is>
          <t>REDUCED</t>
        </is>
      </c>
      <c r="T253" s="5" t="inlineStr">
        <is>
          <t>DLS exceeds normal range</t>
        </is>
      </c>
    </row>
    <row r="254" s="17">
      <c r="A254" s="7" t="n">
        <v>4595</v>
      </c>
      <c r="B254" s="8" t="n">
        <v>57369.082533</v>
      </c>
      <c r="C254" s="9" t="n">
        <v>57.369082533</v>
      </c>
      <c r="D254" s="9" t="n">
        <v>114.99045372</v>
      </c>
      <c r="E254" s="9" t="n">
        <v>30</v>
      </c>
      <c r="F254" s="10" t="n">
        <v>0.118227916710986</v>
      </c>
      <c r="G254" s="10" t="n">
        <v>0.3016420910109954</v>
      </c>
      <c r="H254" s="10" t="n">
        <v>0.8662377772438085</v>
      </c>
      <c r="I254" s="10" t="n">
        <v>1.578736</v>
      </c>
      <c r="J254" s="5" t="inlineStr">
        <is>
          <t>Transition</t>
        </is>
      </c>
      <c r="K254" s="11" t="n">
        <v>21.18932627084229</v>
      </c>
      <c r="L254" s="12" t="n">
        <v>2.012287122225882</v>
      </c>
      <c r="M254" s="12" t="n">
        <v>5.751207938329761</v>
      </c>
      <c r="N254" s="12" t="n">
        <v>7.109239029199589</v>
      </c>
      <c r="O254" s="12" t="n">
        <v>343.2519761311951</v>
      </c>
      <c r="P254" s="5" t="inlineStr">
        <is>
          <t>Normal</t>
        </is>
      </c>
      <c r="Q254" s="5" t="inlineStr">
        <is>
          <t>Turn Left</t>
        </is>
      </c>
      <c r="R254" s="12" t="n">
        <v>0.54</v>
      </c>
      <c r="S254" s="5" t="inlineStr">
        <is>
          <t>REDUCED</t>
        </is>
      </c>
      <c r="T254" s="5" t="inlineStr">
        <is>
          <t>Normal operation</t>
        </is>
      </c>
    </row>
    <row r="255" s="17">
      <c r="A255" s="7" t="n">
        <v>4600</v>
      </c>
      <c r="B255" s="8" t="n">
        <v>45113.458228</v>
      </c>
      <c r="C255" s="9" t="n">
        <v>45.11345822800001</v>
      </c>
      <c r="D255" s="9" t="n">
        <v>144.62850108</v>
      </c>
      <c r="E255" s="9" t="n">
        <v>66.99238213999999</v>
      </c>
      <c r="F255" s="10" t="n">
        <v>0.07261208798309182</v>
      </c>
      <c r="G255" s="10" t="n">
        <v>0.1939607700876692</v>
      </c>
      <c r="H255" s="10" t="n">
        <v>0.9401292898750424</v>
      </c>
      <c r="I255" s="10" t="n">
        <v>0.48302</v>
      </c>
      <c r="J255" s="5" t="inlineStr">
        <is>
          <t>Cleaner sand</t>
        </is>
      </c>
      <c r="K255" s="11" t="n">
        <v>17.84556097330028</v>
      </c>
      <c r="L255" s="12" t="n">
        <v>2.14806336604485</v>
      </c>
      <c r="M255" s="12" t="n">
        <v>6.856870038660944</v>
      </c>
      <c r="N255" s="12" t="n">
        <v>6.165813747154735</v>
      </c>
      <c r="O255" s="12" t="n">
        <v>344.3630566564444</v>
      </c>
      <c r="P255" s="5" t="inlineStr">
        <is>
          <t>Caution</t>
        </is>
      </c>
      <c r="Q255" s="5" t="inlineStr">
        <is>
          <t>Build</t>
        </is>
      </c>
      <c r="R255" s="12" t="n">
        <v>0.93</v>
      </c>
      <c r="S255" s="5" t="inlineStr">
        <is>
          <t>ACCEPTED</t>
        </is>
      </c>
      <c r="T255" s="5" t="inlineStr">
        <is>
          <t>DLS exceeds normal range</t>
        </is>
      </c>
    </row>
    <row r="256" s="17">
      <c r="A256" s="7" t="n">
        <v>4605</v>
      </c>
      <c r="B256" s="8" t="n">
        <v>36256.204144</v>
      </c>
      <c r="C256" s="9" t="n">
        <v>36.256204144</v>
      </c>
      <c r="D256" s="9" t="n">
        <v>116.76899938</v>
      </c>
      <c r="E256" s="9" t="n">
        <v>45.74669546000001</v>
      </c>
      <c r="F256" s="10" t="n">
        <v>0.1567701839007596</v>
      </c>
      <c r="G256" s="10" t="n">
        <v>0.1859305903513443</v>
      </c>
      <c r="H256" s="10" t="n">
        <v>0.8885671495270798</v>
      </c>
      <c r="I256" s="10" t="n">
        <v>1.728547</v>
      </c>
      <c r="J256" s="5" t="inlineStr">
        <is>
          <t>Cleaner sand</t>
        </is>
      </c>
      <c r="K256" s="11" t="n">
        <v>13.66468516563314</v>
      </c>
      <c r="L256" s="12" t="n">
        <v>1.289170406600964</v>
      </c>
      <c r="M256" s="12" t="n">
        <v>4.303665288552533</v>
      </c>
      <c r="N256" s="12" t="n">
        <v>8.744022652077462</v>
      </c>
      <c r="O256" s="12" t="n">
        <v>336.3058662672501</v>
      </c>
      <c r="P256" s="5" t="inlineStr">
        <is>
          <t>Normal</t>
        </is>
      </c>
      <c r="Q256" s="5" t="inlineStr">
        <is>
          <t>Turn Left</t>
        </is>
      </c>
      <c r="R256" s="12" t="n">
        <v>0.44</v>
      </c>
      <c r="S256" s="5" t="inlineStr">
        <is>
          <t>REJECTED</t>
        </is>
      </c>
      <c r="T256" s="5" t="inlineStr">
        <is>
          <t>Normal operation</t>
        </is>
      </c>
    </row>
    <row r="257" s="17">
      <c r="A257" s="7" t="n">
        <v>4610</v>
      </c>
      <c r="B257" s="8" t="n">
        <v>58199.812851</v>
      </c>
      <c r="C257" s="9" t="n">
        <v>58.199812851</v>
      </c>
      <c r="D257" s="9" t="n">
        <v>108.49323181</v>
      </c>
      <c r="E257" s="9" t="n">
        <v>42.72295694</v>
      </c>
      <c r="F257" s="10" t="n">
        <v>0.06144954097391683</v>
      </c>
      <c r="G257" s="10" t="n">
        <v>0.3482209779728556</v>
      </c>
      <c r="H257" s="10" t="n">
        <v>0.8977184667400736</v>
      </c>
      <c r="I257" s="10" t="n">
        <v>0.628204</v>
      </c>
      <c r="J257" s="5" t="inlineStr">
        <is>
          <t>Transition</t>
        </is>
      </c>
      <c r="K257" s="11" t="n">
        <v>18.73572527258069</v>
      </c>
      <c r="L257" s="12" t="n">
        <v>1.1</v>
      </c>
      <c r="M257" s="12" t="n">
        <v>6.397833782675512</v>
      </c>
      <c r="N257" s="12" t="n">
        <v>7.675854394022428</v>
      </c>
      <c r="O257" s="12" t="n">
        <v>333.5010067910119</v>
      </c>
      <c r="P257" s="5" t="inlineStr">
        <is>
          <t>Caution</t>
        </is>
      </c>
      <c r="Q257" s="5" t="inlineStr">
        <is>
          <t>Turn Left</t>
        </is>
      </c>
      <c r="R257" s="12" t="n">
        <v>0.64</v>
      </c>
      <c r="S257" s="5" t="inlineStr">
        <is>
          <t>REDUCED</t>
        </is>
      </c>
      <c r="T257" s="5" t="inlineStr">
        <is>
          <t>DLS exceeds normal range</t>
        </is>
      </c>
    </row>
    <row r="258" s="17">
      <c r="A258" s="7" t="n">
        <v>4615</v>
      </c>
      <c r="B258" s="8" t="n">
        <v>53112.59147</v>
      </c>
      <c r="C258" s="9" t="n">
        <v>53.11259147</v>
      </c>
      <c r="D258" s="9" t="n">
        <v>139.93332686</v>
      </c>
      <c r="E258" s="9" t="n">
        <v>71.33095458</v>
      </c>
      <c r="F258" s="10" t="n">
        <v>0.06095913949819864</v>
      </c>
      <c r="G258" s="10" t="n">
        <v>0.2651039199672273</v>
      </c>
      <c r="H258" s="10" t="n">
        <v>0.923610704462677</v>
      </c>
      <c r="I258" s="10" t="n">
        <v>0.496079</v>
      </c>
      <c r="J258" s="5" t="inlineStr">
        <is>
          <t>Transition</t>
        </is>
      </c>
      <c r="K258" s="11" t="n">
        <v>19.55122046174422</v>
      </c>
      <c r="L258" s="12" t="n">
        <v>2.395653489458188</v>
      </c>
      <c r="M258" s="12" t="n">
        <v>6.640034539566686</v>
      </c>
      <c r="N258" s="12" t="n">
        <v>7.314256941259675</v>
      </c>
      <c r="O258" s="12" t="n">
        <v>329.8691104174671</v>
      </c>
      <c r="P258" s="5" t="inlineStr">
        <is>
          <t>Caution</t>
        </is>
      </c>
      <c r="Q258" s="5" t="inlineStr">
        <is>
          <t>Build</t>
        </is>
      </c>
      <c r="R258" s="12" t="n">
        <v>0.88</v>
      </c>
      <c r="S258" s="5" t="inlineStr">
        <is>
          <t>ACCEPTED</t>
        </is>
      </c>
      <c r="T258" s="5" t="inlineStr">
        <is>
          <t>DLS exceeds normal range</t>
        </is>
      </c>
    </row>
    <row r="259" s="17">
      <c r="A259" s="7" t="n">
        <v>4620</v>
      </c>
      <c r="B259" s="8" t="n">
        <v>47893.086999</v>
      </c>
      <c r="C259" s="9" t="n">
        <v>47.893086999</v>
      </c>
      <c r="D259" s="9" t="n">
        <v>130.04092561</v>
      </c>
      <c r="E259" s="9" t="n">
        <v>37.33408914</v>
      </c>
      <c r="F259" s="10" t="n">
        <v>0.1172959801822035</v>
      </c>
      <c r="G259" s="10" t="n">
        <v>0.1053463741872107</v>
      </c>
      <c r="H259" s="10" t="n">
        <v>0.9399636490361749</v>
      </c>
      <c r="I259" s="10" t="n">
        <v>0.725153</v>
      </c>
      <c r="J259" s="5" t="inlineStr">
        <is>
          <t>Cleaner sand</t>
        </is>
      </c>
      <c r="K259" s="11" t="n">
        <v>16.61666009292282</v>
      </c>
      <c r="L259" s="12" t="n">
        <v>1.501886878967353</v>
      </c>
      <c r="M259" s="12" t="n">
        <v>7.099613416714065</v>
      </c>
      <c r="N259" s="12" t="n">
        <v>5.534701702015895</v>
      </c>
      <c r="O259" s="12" t="n">
        <v>325.8711018549328</v>
      </c>
      <c r="P259" s="5" t="inlineStr">
        <is>
          <t>Caution</t>
        </is>
      </c>
      <c r="Q259" s="5" t="inlineStr">
        <is>
          <t>Build</t>
        </is>
      </c>
      <c r="R259" s="12" t="n">
        <v>0.82</v>
      </c>
      <c r="S259" s="5" t="inlineStr">
        <is>
          <t>ACCEPTED</t>
        </is>
      </c>
      <c r="T259" s="5" t="inlineStr">
        <is>
          <t>DLS exceeds normal range</t>
        </is>
      </c>
    </row>
    <row r="260" s="17">
      <c r="A260" s="7" t="n">
        <v>4625</v>
      </c>
      <c r="B260" s="8" t="n">
        <v>51790.953693</v>
      </c>
      <c r="C260" s="9" t="n">
        <v>51.79095369300001</v>
      </c>
      <c r="D260" s="9" t="n">
        <v>131.7931826</v>
      </c>
      <c r="E260" s="9" t="n">
        <v>72.15351625999999</v>
      </c>
      <c r="F260" s="10" t="n">
        <v>0.03427287977563974</v>
      </c>
      <c r="G260" s="10" t="n">
        <v>0.0594573515678567</v>
      </c>
      <c r="H260" s="10" t="n">
        <v>0.9582675485566067</v>
      </c>
      <c r="I260" s="10" t="n">
        <v>0.150727</v>
      </c>
      <c r="J260" s="5" t="inlineStr">
        <is>
          <t>Cleaner sand</t>
        </is>
      </c>
      <c r="K260" s="11" t="n">
        <v>18.48505097056071</v>
      </c>
      <c r="L260" s="12" t="n">
        <v>1.537091821937027</v>
      </c>
      <c r="M260" s="12" t="n">
        <v>5.531276895496756</v>
      </c>
      <c r="N260" s="12" t="n">
        <v>5.829231826187494</v>
      </c>
      <c r="O260" s="12" t="n">
        <v>326.56305559101</v>
      </c>
      <c r="P260" s="5" t="inlineStr">
        <is>
          <t>Normal</t>
        </is>
      </c>
      <c r="Q260" s="5" t="inlineStr">
        <is>
          <t>Build</t>
        </is>
      </c>
      <c r="R260" s="12" t="n">
        <v>0.85</v>
      </c>
      <c r="S260" s="5" t="inlineStr">
        <is>
          <t>ACCEPTED</t>
        </is>
      </c>
      <c r="T260" s="5" t="inlineStr">
        <is>
          <t>Normal operation</t>
        </is>
      </c>
    </row>
    <row r="261" s="17">
      <c r="A261" s="7" t="n">
        <v>4630</v>
      </c>
      <c r="B261" s="8" t="n">
        <v>39813.20856</v>
      </c>
      <c r="C261" s="9" t="n">
        <v>39.81320856</v>
      </c>
      <c r="D261" s="9" t="n">
        <v>137.34126673</v>
      </c>
      <c r="E261" s="9" t="n">
        <v>60.04850406000001</v>
      </c>
      <c r="F261" s="10" t="n">
        <v>0.06517458103523141</v>
      </c>
      <c r="G261" s="10" t="n">
        <v>0.09932870852644148</v>
      </c>
      <c r="H261" s="10" t="n">
        <v>0.9378874578921113</v>
      </c>
      <c r="I261" s="10" t="n">
        <v>0.394194</v>
      </c>
      <c r="J261" s="5" t="inlineStr">
        <is>
          <t>Cleaner sand</t>
        </is>
      </c>
      <c r="K261" s="11" t="n">
        <v>16.61289922416437</v>
      </c>
      <c r="L261" s="12" t="n">
        <v>2.310815129506038</v>
      </c>
      <c r="M261" s="12" t="n">
        <v>6.392917570560252</v>
      </c>
      <c r="N261" s="12" t="n">
        <v>8.043512717407868</v>
      </c>
      <c r="O261" s="12" t="n">
        <v>319.0264942335729</v>
      </c>
      <c r="P261" s="5" t="inlineStr">
        <is>
          <t>Caution</t>
        </is>
      </c>
      <c r="Q261" s="5" t="inlineStr">
        <is>
          <t>Turn Left</t>
        </is>
      </c>
      <c r="R261" s="12" t="n">
        <v>0.93</v>
      </c>
      <c r="S261" s="5" t="inlineStr">
        <is>
          <t>ACCEPTED</t>
        </is>
      </c>
      <c r="T261" s="5" t="inlineStr">
        <is>
          <t>DLS exceeds normal range</t>
        </is>
      </c>
    </row>
    <row r="262" s="17">
      <c r="A262" s="7" t="n">
        <v>4635</v>
      </c>
      <c r="B262" s="8" t="n">
        <v>51658.619789</v>
      </c>
      <c r="C262" s="9" t="n">
        <v>51.658619789</v>
      </c>
      <c r="D262" s="9" t="n">
        <v>130.61452267</v>
      </c>
      <c r="E262" s="9" t="n">
        <v>43.78047814</v>
      </c>
      <c r="F262" s="10" t="n">
        <v>0.130685173694905</v>
      </c>
      <c r="G262" s="10" t="n">
        <v>0.2142689531650299</v>
      </c>
      <c r="H262" s="10" t="n">
        <v>0.9439888526930449</v>
      </c>
      <c r="I262" s="10" t="n">
        <v>0.765727</v>
      </c>
      <c r="J262" s="5" t="inlineStr">
        <is>
          <t>Cleaner sand</t>
        </is>
      </c>
      <c r="K262" s="11" t="n">
        <v>17.08996200391621</v>
      </c>
      <c r="L262" s="12" t="n">
        <v>1.932552704606323</v>
      </c>
      <c r="M262" s="12" t="n">
        <v>5.565781354728309</v>
      </c>
      <c r="N262" s="12" t="n">
        <v>5.044234682538505</v>
      </c>
      <c r="O262" s="12" t="n">
        <v>330.6727406582824</v>
      </c>
      <c r="P262" s="5" t="inlineStr">
        <is>
          <t>Normal</t>
        </is>
      </c>
      <c r="Q262" s="5" t="inlineStr">
        <is>
          <t>Turn Left</t>
        </is>
      </c>
      <c r="R262" s="12" t="n">
        <v>0.61</v>
      </c>
      <c r="S262" s="5" t="inlineStr">
        <is>
          <t>REDUCED</t>
        </is>
      </c>
      <c r="T262" s="5" t="inlineStr">
        <is>
          <t>Normal operation</t>
        </is>
      </c>
    </row>
    <row r="263" s="17">
      <c r="A263" s="7" t="n">
        <v>4640</v>
      </c>
      <c r="B263" s="8" t="n">
        <v>62862.605182</v>
      </c>
      <c r="C263" s="9" t="n">
        <v>62.862605182</v>
      </c>
      <c r="D263" s="9" t="n">
        <v>162.17559068</v>
      </c>
      <c r="E263" s="9" t="n">
        <v>35.33943094</v>
      </c>
      <c r="F263" s="10" t="n">
        <v>0.04142942649562633</v>
      </c>
      <c r="G263" s="10" t="n">
        <v>0.2743992287198068</v>
      </c>
      <c r="H263" s="10" t="n">
        <v>0.8944686094355574</v>
      </c>
      <c r="I263" s="10" t="n">
        <v>0.459202</v>
      </c>
      <c r="J263" s="5" t="inlineStr">
        <is>
          <t>Transition</t>
        </is>
      </c>
      <c r="K263" s="11" t="n">
        <v>20.01802234088691</v>
      </c>
      <c r="L263" s="12" t="n">
        <v>1.883385008319988</v>
      </c>
      <c r="M263" s="12" t="n">
        <v>6.491961517145163</v>
      </c>
      <c r="N263" s="12" t="n">
        <v>9.271445933575357</v>
      </c>
      <c r="O263" s="12" t="n">
        <v>313.2879752997259</v>
      </c>
      <c r="P263" s="5" t="inlineStr">
        <is>
          <t>Caution</t>
        </is>
      </c>
      <c r="Q263" s="5" t="inlineStr">
        <is>
          <t>Turn Left</t>
        </is>
      </c>
      <c r="R263" s="12" t="n">
        <v>0.57</v>
      </c>
      <c r="S263" s="5" t="inlineStr">
        <is>
          <t>REDUCED</t>
        </is>
      </c>
      <c r="T263" s="5" t="inlineStr">
        <is>
          <t>DLS exceeds normal range</t>
        </is>
      </c>
    </row>
    <row r="264" s="17">
      <c r="A264" s="7" t="n">
        <v>4645</v>
      </c>
      <c r="B264" s="8" t="n">
        <v>45492.787439</v>
      </c>
      <c r="C264" s="9" t="n">
        <v>45.492787439</v>
      </c>
      <c r="D264" s="9" t="n">
        <v>125.42958281</v>
      </c>
      <c r="E264" s="9" t="n">
        <v>60.74562214</v>
      </c>
      <c r="F264" s="10" t="n">
        <v>0.06989513413665011</v>
      </c>
      <c r="G264" s="10" t="n">
        <v>0.06578356126799124</v>
      </c>
      <c r="H264" s="10" t="n">
        <v>0.9369205968468969</v>
      </c>
      <c r="I264" s="10" t="n">
        <v>0.447407</v>
      </c>
      <c r="J264" s="5" t="inlineStr">
        <is>
          <t>Cleaner sand</t>
        </is>
      </c>
      <c r="K264" s="11" t="n">
        <v>13.64159521830499</v>
      </c>
      <c r="L264" s="12" t="n">
        <v>2.720851149001531</v>
      </c>
      <c r="M264" s="12" t="n">
        <v>5.552692382103212</v>
      </c>
      <c r="N264" s="12" t="n">
        <v>7.887825607852315</v>
      </c>
      <c r="O264" s="12" t="n">
        <v>330.5546369514316</v>
      </c>
      <c r="P264" s="5" t="inlineStr">
        <is>
          <t>Normal</t>
        </is>
      </c>
      <c r="Q264" s="5" t="inlineStr">
        <is>
          <t>Turn Left</t>
        </is>
      </c>
      <c r="R264" s="12" t="n">
        <v>0.42</v>
      </c>
      <c r="S264" s="5" t="inlineStr">
        <is>
          <t>REJECTED</t>
        </is>
      </c>
      <c r="T264" s="5" t="inlineStr">
        <is>
          <t>High vibration detected</t>
        </is>
      </c>
    </row>
    <row r="265" s="17">
      <c r="A265" s="7" t="n">
        <v>4650</v>
      </c>
      <c r="B265" s="8" t="n">
        <v>66865.82861</v>
      </c>
      <c r="C265" s="9" t="n">
        <v>66.86582860999999</v>
      </c>
      <c r="D265" s="9" t="n">
        <v>135.77634981</v>
      </c>
      <c r="E265" s="9" t="n">
        <v>52.64546288</v>
      </c>
      <c r="F265" s="10" t="n">
        <v>0.1558120814379323</v>
      </c>
      <c r="G265" s="10" t="n">
        <v>0.1234362907605528</v>
      </c>
      <c r="H265" s="10" t="n">
        <v>0.9082959100393126</v>
      </c>
      <c r="I265" s="10" t="n">
        <v>1.427261</v>
      </c>
      <c r="J265" s="5" t="inlineStr">
        <is>
          <t>Cleaner sand</t>
        </is>
      </c>
      <c r="K265" s="11" t="n">
        <v>19.78943942141142</v>
      </c>
      <c r="L265" s="12" t="n">
        <v>1.34467606711373</v>
      </c>
      <c r="M265" s="12" t="n">
        <v>5.923586408404062</v>
      </c>
      <c r="N265" s="12" t="n">
        <v>12.44785477050776</v>
      </c>
      <c r="O265" s="12" t="n">
        <v>326.6050092917275</v>
      </c>
      <c r="P265" s="5" t="inlineStr">
        <is>
          <t>Normal</t>
        </is>
      </c>
      <c r="Q265" s="5" t="inlineStr">
        <is>
          <t>Turn Left</t>
        </is>
      </c>
      <c r="R265" s="12" t="n">
        <v>0.48</v>
      </c>
      <c r="S265" s="5" t="inlineStr">
        <is>
          <t>REJECTED</t>
        </is>
      </c>
      <c r="T265" s="5" t="inlineStr">
        <is>
          <t>Normal operation</t>
        </is>
      </c>
    </row>
    <row r="266" s="17">
      <c r="A266" s="7" t="n">
        <v>4655</v>
      </c>
      <c r="B266" s="8" t="n">
        <v>73474.65900100001</v>
      </c>
      <c r="C266" s="9" t="n">
        <v>73.47465900100001</v>
      </c>
      <c r="D266" s="9" t="n">
        <v>152.45522347</v>
      </c>
      <c r="E266" s="9" t="n">
        <v>50.25764502</v>
      </c>
      <c r="F266" s="10" t="n">
        <v>0.1182961387730655</v>
      </c>
      <c r="G266" s="10" t="n">
        <v>0.3200940794980426</v>
      </c>
      <c r="H266" s="10" t="n">
        <v>0.9226712568684754</v>
      </c>
      <c r="I266" s="10" t="n">
        <v>0.948752</v>
      </c>
      <c r="J266" s="5" t="inlineStr">
        <is>
          <t>Transition</t>
        </is>
      </c>
      <c r="K266" s="11" t="n">
        <v>21.77676574889532</v>
      </c>
      <c r="L266" s="12" t="n">
        <v>2.114641662759806</v>
      </c>
      <c r="M266" s="12" t="n">
        <v>5.4342963724249</v>
      </c>
      <c r="N266" s="12" t="n">
        <v>11.37053334033382</v>
      </c>
      <c r="O266" s="12" t="n">
        <v>326.5774885255501</v>
      </c>
      <c r="P266" s="5" t="inlineStr">
        <is>
          <t>Normal</t>
        </is>
      </c>
      <c r="Q266" s="5" t="inlineStr">
        <is>
          <t>Turn Left</t>
        </is>
      </c>
      <c r="R266" s="12" t="n">
        <v>0.71</v>
      </c>
      <c r="S266" s="5" t="inlineStr">
        <is>
          <t>ACCEPTED</t>
        </is>
      </c>
      <c r="T266" s="5" t="inlineStr">
        <is>
          <t>WOB outside preferred band</t>
        </is>
      </c>
    </row>
    <row r="267" s="17">
      <c r="A267" s="7" t="n">
        <v>4660</v>
      </c>
      <c r="B267" s="8" t="n">
        <v>56927.586551</v>
      </c>
      <c r="C267" s="9" t="n">
        <v>56.927586551</v>
      </c>
      <c r="D267" s="9" t="n">
        <v>146.72417047</v>
      </c>
      <c r="E267" s="9" t="n">
        <v>77.28686549999999</v>
      </c>
      <c r="F267" s="10" t="n">
        <v>0.03171860568818242</v>
      </c>
      <c r="G267" s="10" t="n">
        <v>0.05761708297672936</v>
      </c>
      <c r="H267" s="10" t="n">
        <v>0.994549725165583</v>
      </c>
      <c r="I267" s="10" t="n">
        <v>0.01271</v>
      </c>
      <c r="J267" s="5" t="inlineStr">
        <is>
          <t>Cleaner sand</t>
        </is>
      </c>
      <c r="K267" s="11" t="n">
        <v>17.73818623257728</v>
      </c>
      <c r="L267" s="12" t="n">
        <v>1.687936431199571</v>
      </c>
      <c r="M267" s="12" t="n">
        <v>6.73252452982219</v>
      </c>
      <c r="N267" s="12" t="n">
        <v>8.272766729009371</v>
      </c>
      <c r="O267" s="12" t="n">
        <v>317.8491105617173</v>
      </c>
      <c r="P267" s="5" t="inlineStr">
        <is>
          <t>Caution</t>
        </is>
      </c>
      <c r="Q267" s="5" t="inlineStr">
        <is>
          <t>Build</t>
        </is>
      </c>
      <c r="R267" s="12" t="n">
        <v>0.49</v>
      </c>
      <c r="S267" s="5" t="inlineStr">
        <is>
          <t>REJECTED</t>
        </is>
      </c>
      <c r="T267" s="5" t="inlineStr">
        <is>
          <t>DLS exceeds normal range</t>
        </is>
      </c>
    </row>
    <row r="268" s="17">
      <c r="A268" s="7" t="n">
        <v>4665</v>
      </c>
      <c r="B268" s="8" t="n">
        <v>44134.132522</v>
      </c>
      <c r="C268" s="9" t="n">
        <v>44.134132522</v>
      </c>
      <c r="D268" s="9" t="n">
        <v>125.05105055</v>
      </c>
      <c r="E268" s="9" t="n">
        <v>35.78149704</v>
      </c>
      <c r="F268" s="10" t="n">
        <v>0.159083801590098</v>
      </c>
      <c r="G268" s="10" t="n">
        <v>0.2258173998610899</v>
      </c>
      <c r="H268" s="10" t="n">
        <v>0.9169670728555889</v>
      </c>
      <c r="I268" s="10" t="n">
        <v>1.3198</v>
      </c>
      <c r="J268" s="5" t="inlineStr">
        <is>
          <t>Cleaner sand</t>
        </is>
      </c>
      <c r="K268" s="11" t="n">
        <v>18.2653878395499</v>
      </c>
      <c r="L268" s="12" t="n">
        <v>1.791610216642996</v>
      </c>
      <c r="M268" s="12" t="n">
        <v>6.878829802446291</v>
      </c>
      <c r="N268" s="12" t="n">
        <v>8.508820720238703</v>
      </c>
      <c r="O268" s="12" t="n">
        <v>344.5</v>
      </c>
      <c r="P268" s="5" t="inlineStr">
        <is>
          <t>Caution</t>
        </is>
      </c>
      <c r="Q268" s="5" t="inlineStr">
        <is>
          <t>Turn Left</t>
        </is>
      </c>
      <c r="R268" s="12" t="n">
        <v>0.8</v>
      </c>
      <c r="S268" s="5" t="inlineStr">
        <is>
          <t>ACCEPTED</t>
        </is>
      </c>
      <c r="T268" s="5" t="inlineStr">
        <is>
          <t>DLS exceeds normal range</t>
        </is>
      </c>
    </row>
    <row r="269" s="17">
      <c r="A269" s="7" t="n">
        <v>4670</v>
      </c>
      <c r="B269" s="8" t="n">
        <v>69588.40090199999</v>
      </c>
      <c r="C269" s="9" t="n">
        <v>69.58840090199999</v>
      </c>
      <c r="D269" s="9" t="n">
        <v>152.03692012</v>
      </c>
      <c r="E269" s="9" t="n">
        <v>39.51602714</v>
      </c>
      <c r="F269" s="10" t="n">
        <v>0.1091618218528382</v>
      </c>
      <c r="G269" s="10" t="n">
        <v>0.2491058245738015</v>
      </c>
      <c r="H269" s="10" t="n">
        <v>0.877843495948251</v>
      </c>
      <c r="I269" s="10" t="n">
        <v>1.356998</v>
      </c>
      <c r="J269" s="5" t="inlineStr">
        <is>
          <t>Cleaner sand</t>
        </is>
      </c>
      <c r="K269" s="11" t="n">
        <v>19.88442561013361</v>
      </c>
      <c r="L269" s="12" t="n">
        <v>2.408949528942141</v>
      </c>
      <c r="M269" s="12" t="n">
        <v>5.984613649824064</v>
      </c>
      <c r="N269" s="12" t="n">
        <v>10.07972309623032</v>
      </c>
      <c r="O269" s="12" t="n">
        <v>332.0881584215043</v>
      </c>
      <c r="P269" s="5" t="inlineStr">
        <is>
          <t>Normal</t>
        </is>
      </c>
      <c r="Q269" s="5" t="inlineStr">
        <is>
          <t>Turn Left</t>
        </is>
      </c>
      <c r="R269" s="12" t="n">
        <v>0.42</v>
      </c>
      <c r="S269" s="5" t="inlineStr">
        <is>
          <t>REJECTED</t>
        </is>
      </c>
      <c r="T269" s="5" t="inlineStr">
        <is>
          <t>Normal operation</t>
        </is>
      </c>
    </row>
    <row r="270" s="17">
      <c r="A270" s="7" t="n">
        <v>4675</v>
      </c>
      <c r="B270" s="8" t="n">
        <v>52229.039443</v>
      </c>
      <c r="C270" s="9" t="n">
        <v>52.229039443</v>
      </c>
      <c r="D270" s="9" t="n">
        <v>131.29475652</v>
      </c>
      <c r="E270" s="9" t="n">
        <v>63.44893828</v>
      </c>
      <c r="F270" s="10" t="n">
        <v>0.07372654700543993</v>
      </c>
      <c r="G270" s="10" t="n">
        <v>0.04295324614507072</v>
      </c>
      <c r="H270" s="10" t="n">
        <v>0.9258895202070949</v>
      </c>
      <c r="I270" s="10" t="n">
        <v>0.550175</v>
      </c>
      <c r="J270" s="5" t="inlineStr">
        <is>
          <t>Cleaner sand</t>
        </is>
      </c>
      <c r="K270" s="11" t="n">
        <v>17.68176049958742</v>
      </c>
      <c r="L270" s="12" t="n">
        <v>1.908839520581916</v>
      </c>
      <c r="M270" s="12" t="n">
        <v>6.182930835701528</v>
      </c>
      <c r="N270" s="12" t="n">
        <v>11.1379998254194</v>
      </c>
      <c r="O270" s="12" t="n">
        <v>303.5093940129945</v>
      </c>
      <c r="P270" s="5" t="inlineStr">
        <is>
          <t>Caution</t>
        </is>
      </c>
      <c r="Q270" s="5" t="inlineStr">
        <is>
          <t>Drop</t>
        </is>
      </c>
      <c r="R270" s="12" t="n">
        <v>0.54</v>
      </c>
      <c r="S270" s="5" t="inlineStr">
        <is>
          <t>REDUCED</t>
        </is>
      </c>
      <c r="T270" s="5" t="inlineStr">
        <is>
          <t>DLS exceeds normal range</t>
        </is>
      </c>
    </row>
    <row r="271" s="17">
      <c r="A271" s="7" t="n">
        <v>4680</v>
      </c>
      <c r="B271" s="8" t="n">
        <v>56317.361175</v>
      </c>
      <c r="C271" s="9" t="n">
        <v>56.31736117499999</v>
      </c>
      <c r="D271" s="9" t="n">
        <v>135.7215254</v>
      </c>
      <c r="E271" s="9" t="n">
        <v>44.33240948</v>
      </c>
      <c r="F271" s="10" t="n">
        <v>0.103441281229199</v>
      </c>
      <c r="G271" s="10" t="n">
        <v>0.1711484302064634</v>
      </c>
      <c r="H271" s="10" t="n">
        <v>0.946864353205718</v>
      </c>
      <c r="I271" s="10" t="n">
        <v>0.563171</v>
      </c>
      <c r="J271" s="5" t="inlineStr">
        <is>
          <t>Cleaner sand</t>
        </is>
      </c>
      <c r="K271" s="11" t="n">
        <v>19.00447634788719</v>
      </c>
      <c r="L271" s="12" t="n">
        <v>1.92376507873432</v>
      </c>
      <c r="M271" s="12" t="n">
        <v>4.973288106623775</v>
      </c>
      <c r="N271" s="12" t="n">
        <v>6.932845962357401</v>
      </c>
      <c r="O271" s="12" t="n">
        <v>315.6008243641263</v>
      </c>
      <c r="P271" s="5" t="inlineStr">
        <is>
          <t>Normal</t>
        </is>
      </c>
      <c r="Q271" s="5" t="inlineStr">
        <is>
          <t>Build</t>
        </is>
      </c>
      <c r="R271" s="12" t="n">
        <v>0.78</v>
      </c>
      <c r="S271" s="5" t="inlineStr">
        <is>
          <t>ACCEPTED</t>
        </is>
      </c>
      <c r="T271" s="5" t="inlineStr">
        <is>
          <t>Normal operation</t>
        </is>
      </c>
    </row>
    <row r="272" s="17">
      <c r="A272" s="7" t="n">
        <v>4685</v>
      </c>
      <c r="B272" s="8" t="n">
        <v>71337.288915</v>
      </c>
      <c r="C272" s="9" t="n">
        <v>71.337288915</v>
      </c>
      <c r="D272" s="9" t="n">
        <v>117.86081586</v>
      </c>
      <c r="E272" s="9" t="n">
        <v>50.54948712</v>
      </c>
      <c r="F272" s="10" t="n">
        <v>0.07518545102253565</v>
      </c>
      <c r="G272" s="10" t="n">
        <v>0.2826359776941967</v>
      </c>
      <c r="H272" s="10" t="n">
        <v>0.9500089352581422</v>
      </c>
      <c r="I272" s="10" t="n">
        <v>0.374137</v>
      </c>
      <c r="J272" s="5" t="inlineStr">
        <is>
          <t>Transition</t>
        </is>
      </c>
      <c r="K272" s="11" t="n">
        <v>23.07749860581001</v>
      </c>
      <c r="L272" s="12" t="n">
        <v>2.185528595281803</v>
      </c>
      <c r="M272" s="12" t="n">
        <v>5.872032524482774</v>
      </c>
      <c r="N272" s="12" t="n">
        <v>6.878403936561398</v>
      </c>
      <c r="O272" s="12" t="n">
        <v>304.3668347037025</v>
      </c>
      <c r="P272" s="5" t="inlineStr">
        <is>
          <t>Normal</t>
        </is>
      </c>
      <c r="Q272" s="5" t="inlineStr">
        <is>
          <t>Build</t>
        </is>
      </c>
      <c r="R272" s="12" t="n">
        <v>0.54</v>
      </c>
      <c r="S272" s="5" t="inlineStr">
        <is>
          <t>REDUCED</t>
        </is>
      </c>
      <c r="T272" s="5" t="inlineStr">
        <is>
          <t>WOB outside preferred band</t>
        </is>
      </c>
    </row>
    <row r="273" s="17">
      <c r="A273" s="7" t="n">
        <v>4690</v>
      </c>
      <c r="B273" s="8" t="n">
        <v>54061.393097</v>
      </c>
      <c r="C273" s="9" t="n">
        <v>54.061393097</v>
      </c>
      <c r="D273" s="9" t="n">
        <v>132.11448629</v>
      </c>
      <c r="E273" s="9" t="n">
        <v>43.14166205999999</v>
      </c>
      <c r="F273" s="10" t="n">
        <v>0.06739855366316214</v>
      </c>
      <c r="G273" s="10" t="n">
        <v>0.06574354150659051</v>
      </c>
      <c r="H273" s="10" t="n">
        <v>0.9153870992801512</v>
      </c>
      <c r="I273" s="10" t="n">
        <v>0.5518380000000001</v>
      </c>
      <c r="J273" s="5" t="inlineStr">
        <is>
          <t>Cleaner sand</t>
        </is>
      </c>
      <c r="K273" s="11" t="n">
        <v>17.02295230023915</v>
      </c>
      <c r="L273" s="12" t="n">
        <v>1.481173162523986</v>
      </c>
      <c r="M273" s="12" t="n">
        <v>6.051015914918391</v>
      </c>
      <c r="N273" s="12" t="n">
        <v>8.530455098800067</v>
      </c>
      <c r="O273" s="12" t="n">
        <v>297.3426240478268</v>
      </c>
      <c r="P273" s="5" t="inlineStr">
        <is>
          <t>Caution</t>
        </is>
      </c>
      <c r="Q273" s="5" t="inlineStr">
        <is>
          <t>Hold</t>
        </is>
      </c>
      <c r="R273" s="12" t="n">
        <v>0.8</v>
      </c>
      <c r="S273" s="5" t="inlineStr">
        <is>
          <t>ACCEPTED</t>
        </is>
      </c>
      <c r="T273" s="5" t="inlineStr">
        <is>
          <t>DLS exceeds normal range</t>
        </is>
      </c>
    </row>
    <row r="274" s="17">
      <c r="A274" s="7" t="n">
        <v>4695</v>
      </c>
      <c r="B274" s="8" t="n">
        <v>42988.488703</v>
      </c>
      <c r="C274" s="9" t="n">
        <v>42.988488703</v>
      </c>
      <c r="D274" s="9" t="n">
        <v>136.89365585</v>
      </c>
      <c r="E274" s="9" t="n">
        <v>40.72631516</v>
      </c>
      <c r="F274" s="10" t="n">
        <v>0.09184493371469493</v>
      </c>
      <c r="G274" s="10" t="n">
        <v>0.08987467540719386</v>
      </c>
      <c r="H274" s="10" t="n">
        <v>0.9370108382696035</v>
      </c>
      <c r="I274" s="10" t="n">
        <v>0.606839</v>
      </c>
      <c r="J274" s="5" t="inlineStr">
        <is>
          <t>Cleaner sand</t>
        </is>
      </c>
      <c r="K274" s="11" t="n">
        <v>17.58543161271334</v>
      </c>
      <c r="L274" s="12" t="n">
        <v>1.248787263003887</v>
      </c>
      <c r="M274" s="12" t="n">
        <v>8.167014377039377</v>
      </c>
      <c r="N274" s="12" t="n">
        <v>10.23506750864505</v>
      </c>
      <c r="O274" s="12" t="n">
        <v>291.0017391364642</v>
      </c>
      <c r="P274" s="5" t="inlineStr">
        <is>
          <t>Caution</t>
        </is>
      </c>
      <c r="Q274" s="5" t="inlineStr">
        <is>
          <t>Drop</t>
        </is>
      </c>
      <c r="R274" s="12" t="n">
        <v>0.95</v>
      </c>
      <c r="S274" s="5" t="inlineStr">
        <is>
          <t>ACCEPTED</t>
        </is>
      </c>
      <c r="T274" s="5" t="inlineStr">
        <is>
          <t>DLS exceeds normal range</t>
        </is>
      </c>
    </row>
    <row r="275" s="17">
      <c r="A275" s="7" t="n">
        <v>4700</v>
      </c>
      <c r="B275" s="8" t="n">
        <v>69639.275676</v>
      </c>
      <c r="C275" s="9" t="n">
        <v>69.63927567600001</v>
      </c>
      <c r="D275" s="9" t="n">
        <v>160.98971827</v>
      </c>
      <c r="E275" s="9" t="n">
        <v>46.15066354</v>
      </c>
      <c r="F275" s="10" t="n">
        <v>0.0683119405911901</v>
      </c>
      <c r="G275" s="10" t="n">
        <v>0.3139810231055961</v>
      </c>
      <c r="H275" s="10" t="n">
        <v>0.9267743873472769</v>
      </c>
      <c r="I275" s="10" t="n">
        <v>0.490046</v>
      </c>
      <c r="J275" s="5" t="inlineStr">
        <is>
          <t>Transition</t>
        </is>
      </c>
      <c r="K275" s="11" t="n">
        <v>21.33415702031704</v>
      </c>
      <c r="L275" s="12" t="n">
        <v>1.148043494929694</v>
      </c>
      <c r="M275" s="12" t="n">
        <v>5.159802491811279</v>
      </c>
      <c r="N275" s="12" t="n">
        <v>10.26185262267718</v>
      </c>
      <c r="O275" s="12" t="n">
        <v>305.5232900764116</v>
      </c>
      <c r="P275" s="5" t="inlineStr">
        <is>
          <t>Normal</t>
        </is>
      </c>
      <c r="Q275" s="5" t="inlineStr">
        <is>
          <t>Turn Left</t>
        </is>
      </c>
      <c r="R275" s="12" t="n">
        <v>0.84</v>
      </c>
      <c r="S275" s="5" t="inlineStr">
        <is>
          <t>ACCEPTED</t>
        </is>
      </c>
      <c r="T275" s="5" t="inlineStr">
        <is>
          <t>Normal operation</t>
        </is>
      </c>
    </row>
    <row r="276" s="17">
      <c r="A276" s="7" t="n">
        <v>4705</v>
      </c>
      <c r="B276" s="8" t="n">
        <v>39212.512605</v>
      </c>
      <c r="C276" s="9" t="n">
        <v>39.212512605</v>
      </c>
      <c r="D276" s="9" t="n">
        <v>145.92808616</v>
      </c>
      <c r="E276" s="9" t="n">
        <v>63.69252338</v>
      </c>
      <c r="F276" s="10" t="n">
        <v>0.05397356942563078</v>
      </c>
      <c r="G276" s="10" t="n">
        <v>0.05037448563165629</v>
      </c>
      <c r="H276" s="10" t="n">
        <v>0.9678329008945615</v>
      </c>
      <c r="I276" s="10" t="n">
        <v>0.218283</v>
      </c>
      <c r="J276" s="5" t="inlineStr">
        <is>
          <t>Cleaner sand</t>
        </is>
      </c>
      <c r="K276" s="11" t="n">
        <v>14.74627554235997</v>
      </c>
      <c r="L276" s="12" t="n">
        <v>1.1</v>
      </c>
      <c r="M276" s="12" t="n">
        <v>7.199511420316604</v>
      </c>
      <c r="N276" s="12" t="n">
        <v>11.14502815099458</v>
      </c>
      <c r="O276" s="12" t="n">
        <v>291.0790640792136</v>
      </c>
      <c r="P276" s="5" t="inlineStr">
        <is>
          <t>Caution</t>
        </is>
      </c>
      <c r="Q276" s="5" t="inlineStr">
        <is>
          <t>Hold</t>
        </is>
      </c>
      <c r="R276" s="12" t="n">
        <v>0.59</v>
      </c>
      <c r="S276" s="5" t="inlineStr">
        <is>
          <t>REDUCED</t>
        </is>
      </c>
      <c r="T276" s="5" t="inlineStr">
        <is>
          <t>DLS exceeds normal range</t>
        </is>
      </c>
    </row>
    <row r="277" s="17">
      <c r="A277" s="7" t="n">
        <v>4710</v>
      </c>
      <c r="B277" s="8" t="n">
        <v>60371.566294</v>
      </c>
      <c r="C277" s="9" t="n">
        <v>60.371566294</v>
      </c>
      <c r="D277" s="9" t="n">
        <v>119.0425288</v>
      </c>
      <c r="E277" s="9" t="n">
        <v>35.0443728</v>
      </c>
      <c r="F277" s="10" t="n">
        <v>0.1239178717347486</v>
      </c>
      <c r="G277" s="10" t="n">
        <v>0.2668172566216729</v>
      </c>
      <c r="H277" s="10" t="n">
        <v>0.9213479164997659</v>
      </c>
      <c r="I277" s="10" t="n">
        <v>1.006772</v>
      </c>
      <c r="J277" s="5" t="inlineStr">
        <is>
          <t>Transition</t>
        </is>
      </c>
      <c r="K277" s="11" t="n">
        <v>20.08149524621316</v>
      </c>
      <c r="L277" s="12" t="n">
        <v>2.667541493670758</v>
      </c>
      <c r="M277" s="12" t="n">
        <v>6.804248883230244</v>
      </c>
      <c r="N277" s="12" t="n">
        <v>8.333126777138942</v>
      </c>
      <c r="O277" s="12" t="n">
        <v>304.1657208114107</v>
      </c>
      <c r="P277" s="5" t="inlineStr">
        <is>
          <t>Caution</t>
        </is>
      </c>
      <c r="Q277" s="5" t="inlineStr">
        <is>
          <t>Turn Left</t>
        </is>
      </c>
      <c r="R277" s="12" t="n">
        <v>0.9</v>
      </c>
      <c r="S277" s="5" t="inlineStr">
        <is>
          <t>ACCEPTED</t>
        </is>
      </c>
      <c r="T277" s="5" t="inlineStr">
        <is>
          <t>High vibration detected</t>
        </is>
      </c>
    </row>
    <row r="278" s="17">
      <c r="A278" s="7" t="n">
        <v>4715</v>
      </c>
      <c r="B278" s="8" t="n">
        <v>68761.761916</v>
      </c>
      <c r="C278" s="9" t="n">
        <v>68.761761916</v>
      </c>
      <c r="D278" s="9" t="n">
        <v>123.4825069</v>
      </c>
      <c r="E278" s="9" t="n">
        <v>46.51088626</v>
      </c>
      <c r="F278" s="10" t="n">
        <v>0.06204350290584806</v>
      </c>
      <c r="G278" s="10" t="n">
        <v>0.2476963569345931</v>
      </c>
      <c r="H278" s="10" t="n">
        <v>0.9161586998454059</v>
      </c>
      <c r="I278" s="10" t="n">
        <v>0.542859</v>
      </c>
      <c r="J278" s="5" t="inlineStr">
        <is>
          <t>Cleaner sand</t>
        </is>
      </c>
      <c r="K278" s="11" t="n">
        <v>21.36158989648814</v>
      </c>
      <c r="L278" s="12" t="n">
        <v>1.119427900796375</v>
      </c>
      <c r="M278" s="12" t="n">
        <v>6.209663364420774</v>
      </c>
      <c r="N278" s="12" t="n">
        <v>7.020154846652568</v>
      </c>
      <c r="O278" s="12" t="n">
        <v>300.9327856080966</v>
      </c>
      <c r="P278" s="5" t="inlineStr">
        <is>
          <t>Caution</t>
        </is>
      </c>
      <c r="Q278" s="5" t="inlineStr">
        <is>
          <t>Build</t>
        </is>
      </c>
      <c r="R278" s="12" t="n">
        <v>0.43</v>
      </c>
      <c r="S278" s="5" t="inlineStr">
        <is>
          <t>REJECTED</t>
        </is>
      </c>
      <c r="T278" s="5" t="inlineStr">
        <is>
          <t>DLS exceeds normal range</t>
        </is>
      </c>
    </row>
    <row r="279" s="17">
      <c r="A279" s="7" t="n">
        <v>4720</v>
      </c>
      <c r="B279" s="8" t="n">
        <v>50913.730646</v>
      </c>
      <c r="C279" s="9" t="n">
        <v>50.913730646</v>
      </c>
      <c r="D279" s="9" t="n">
        <v>139.39802561</v>
      </c>
      <c r="E279" s="9" t="n">
        <v>49.03247154</v>
      </c>
      <c r="F279" s="10" t="n">
        <v>0.03644732919425846</v>
      </c>
      <c r="G279" s="10" t="n">
        <v>0.07436388281044426</v>
      </c>
      <c r="H279" s="10" t="n">
        <v>0.9799028960194457</v>
      </c>
      <c r="I279" s="10" t="n">
        <v>0.068838</v>
      </c>
      <c r="J279" s="5" t="inlineStr">
        <is>
          <t>Cleaner sand</t>
        </is>
      </c>
      <c r="K279" s="11" t="n">
        <v>17.27967437528083</v>
      </c>
      <c r="L279" s="12" t="n">
        <v>1.551585724442972</v>
      </c>
      <c r="M279" s="12" t="n">
        <v>7.370244582037753</v>
      </c>
      <c r="N279" s="12" t="n">
        <v>11.28496862690317</v>
      </c>
      <c r="O279" s="12" t="n">
        <v>301.1648340512578</v>
      </c>
      <c r="P279" s="5" t="inlineStr">
        <is>
          <t>Caution</t>
        </is>
      </c>
      <c r="Q279" s="5" t="inlineStr">
        <is>
          <t>Drop</t>
        </is>
      </c>
      <c r="R279" s="12" t="n">
        <v>0.8</v>
      </c>
      <c r="S279" s="5" t="inlineStr">
        <is>
          <t>ACCEPTED</t>
        </is>
      </c>
      <c r="T279" s="5" t="inlineStr">
        <is>
          <t>DLS exceeds normal range</t>
        </is>
      </c>
    </row>
    <row r="280" s="17">
      <c r="A280" s="7" t="n">
        <v>4725</v>
      </c>
      <c r="B280" s="8" t="n">
        <v>56196.148314</v>
      </c>
      <c r="C280" s="9" t="n">
        <v>56.196148314</v>
      </c>
      <c r="D280" s="9" t="n">
        <v>118.82245254</v>
      </c>
      <c r="E280" s="9" t="n">
        <v>44.26001168</v>
      </c>
      <c r="F280" s="10" t="n">
        <v>0.08795997454177608</v>
      </c>
      <c r="G280" s="10" t="n">
        <v>0.1389681696041133</v>
      </c>
      <c r="H280" s="10" t="n">
        <v>0.9388411059483893</v>
      </c>
      <c r="I280" s="10" t="n">
        <v>0.5626949999999999</v>
      </c>
      <c r="J280" s="5" t="inlineStr">
        <is>
          <t>Cleaner sand</t>
        </is>
      </c>
      <c r="K280" s="11" t="n">
        <v>18.92124418899253</v>
      </c>
      <c r="L280" s="12" t="n">
        <v>1.524361483054429</v>
      </c>
      <c r="M280" s="12" t="n">
        <v>6.239029553544919</v>
      </c>
      <c r="N280" s="12" t="n">
        <v>9.231303322653844</v>
      </c>
      <c r="O280" s="12" t="n">
        <v>275.26631497227</v>
      </c>
      <c r="P280" s="5" t="inlineStr">
        <is>
          <t>Caution</t>
        </is>
      </c>
      <c r="Q280" s="5" t="inlineStr">
        <is>
          <t>Build</t>
        </is>
      </c>
      <c r="R280" s="12" t="n">
        <v>0.41</v>
      </c>
      <c r="S280" s="5" t="inlineStr">
        <is>
          <t>REJECTED</t>
        </is>
      </c>
      <c r="T280" s="5" t="inlineStr">
        <is>
          <t>DLS exceeds normal range</t>
        </is>
      </c>
    </row>
    <row r="281" s="17">
      <c r="A281" s="7" t="n">
        <v>4730</v>
      </c>
      <c r="B281" s="8" t="n">
        <v>73631.004</v>
      </c>
      <c r="C281" s="9" t="n">
        <v>73.631004</v>
      </c>
      <c r="D281" s="9" t="n">
        <v>122.34154174</v>
      </c>
      <c r="E281" s="9" t="n">
        <v>30</v>
      </c>
      <c r="F281" s="10" t="n">
        <v>0.06206179281327007</v>
      </c>
      <c r="G281" s="10" t="n">
        <v>0.188196323438916</v>
      </c>
      <c r="H281" s="10" t="n">
        <v>0.9208812045068973</v>
      </c>
      <c r="I281" s="10" t="n">
        <v>0.491748</v>
      </c>
      <c r="J281" s="5" t="inlineStr">
        <is>
          <t>Cleaner sand</t>
        </is>
      </c>
      <c r="K281" s="11" t="n">
        <v>21.67277553000341</v>
      </c>
      <c r="L281" s="12" t="n">
        <v>1.810629281926459</v>
      </c>
      <c r="M281" s="12" t="n">
        <v>6.230474002231999</v>
      </c>
      <c r="N281" s="12" t="n">
        <v>7.822332558301691</v>
      </c>
      <c r="O281" s="12" t="n">
        <v>284.8528343472047</v>
      </c>
      <c r="P281" s="5" t="inlineStr">
        <is>
          <t>Caution</t>
        </is>
      </c>
      <c r="Q281" s="5" t="inlineStr">
        <is>
          <t>Build</t>
        </is>
      </c>
      <c r="R281" s="12" t="n">
        <v>0.5</v>
      </c>
      <c r="S281" s="5" t="inlineStr">
        <is>
          <t>REDUCED</t>
        </is>
      </c>
      <c r="T281" s="5" t="inlineStr">
        <is>
          <t>DLS exceeds normal range</t>
        </is>
      </c>
    </row>
    <row r="282" s="17">
      <c r="A282" s="7" t="n">
        <v>4735</v>
      </c>
      <c r="B282" s="8" t="n">
        <v>45857.380955</v>
      </c>
      <c r="C282" s="9" t="n">
        <v>45.857380955</v>
      </c>
      <c r="D282" s="9" t="n">
        <v>142.71175037</v>
      </c>
      <c r="E282" s="9" t="n">
        <v>58.35576083999999</v>
      </c>
      <c r="F282" s="10" t="n">
        <v>0.05455553643556143</v>
      </c>
      <c r="G282" s="10" t="n">
        <v>0.1447144935984079</v>
      </c>
      <c r="H282" s="10" t="n">
        <v>0.9792347865562079</v>
      </c>
      <c r="I282" s="10" t="n">
        <v>0.129358</v>
      </c>
      <c r="J282" s="5" t="inlineStr">
        <is>
          <t>Cleaner sand</t>
        </is>
      </c>
      <c r="K282" s="11" t="n">
        <v>17.06343653625206</v>
      </c>
      <c r="L282" s="12" t="n">
        <v>2.059711234144255</v>
      </c>
      <c r="M282" s="12" t="n">
        <v>5.854257558513479</v>
      </c>
      <c r="N282" s="12" t="n">
        <v>10.77335795625238</v>
      </c>
      <c r="O282" s="12" t="n">
        <v>282.6881205732192</v>
      </c>
      <c r="P282" s="5" t="inlineStr">
        <is>
          <t>Normal</t>
        </is>
      </c>
      <c r="Q282" s="5" t="inlineStr">
        <is>
          <t>Hold</t>
        </is>
      </c>
      <c r="R282" s="12" t="n">
        <v>0.9399999999999999</v>
      </c>
      <c r="S282" s="5" t="inlineStr">
        <is>
          <t>ACCEPTED</t>
        </is>
      </c>
      <c r="T282" s="5" t="inlineStr">
        <is>
          <t>Normal operation</t>
        </is>
      </c>
    </row>
    <row r="283" s="17">
      <c r="A283" s="7" t="n">
        <v>4740</v>
      </c>
      <c r="B283" s="8" t="n">
        <v>50266.306242</v>
      </c>
      <c r="C283" s="9" t="n">
        <v>50.266306242</v>
      </c>
      <c r="D283" s="9" t="n">
        <v>143.52901451</v>
      </c>
      <c r="E283" s="9" t="n">
        <v>50.00516456</v>
      </c>
      <c r="F283" s="10" t="n">
        <v>0.1050991879788083</v>
      </c>
      <c r="G283" s="10" t="n">
        <v>0.1260816042497472</v>
      </c>
      <c r="H283" s="10" t="n">
        <v>0.8877118108435574</v>
      </c>
      <c r="I283" s="10" t="n">
        <v>1.198972</v>
      </c>
      <c r="J283" s="5" t="inlineStr">
        <is>
          <t>Cleaner sand</t>
        </is>
      </c>
      <c r="K283" s="11" t="n">
        <v>18.42294657727009</v>
      </c>
      <c r="L283" s="12" t="n">
        <v>2.081632009296275</v>
      </c>
      <c r="M283" s="12" t="n">
        <v>6.853024075512551</v>
      </c>
      <c r="N283" s="12" t="n">
        <v>11.75431178568774</v>
      </c>
      <c r="O283" s="12" t="n">
        <v>267.8526344800256</v>
      </c>
      <c r="P283" s="5" t="inlineStr">
        <is>
          <t>Caution</t>
        </is>
      </c>
      <c r="Q283" s="5" t="inlineStr">
        <is>
          <t>Hold</t>
        </is>
      </c>
      <c r="R283" s="12" t="n">
        <v>0.6</v>
      </c>
      <c r="S283" s="5" t="inlineStr">
        <is>
          <t>REDUCED</t>
        </is>
      </c>
      <c r="T283" s="5" t="inlineStr">
        <is>
          <t>DLS exceeds normal range</t>
        </is>
      </c>
    </row>
    <row r="284" s="17">
      <c r="A284" s="7" t="n">
        <v>4745</v>
      </c>
      <c r="B284" s="8" t="n">
        <v>74473.56507500001</v>
      </c>
      <c r="C284" s="9" t="n">
        <v>74.47356507500001</v>
      </c>
      <c r="D284" s="9" t="n">
        <v>149.36231944</v>
      </c>
      <c r="E284" s="9" t="n">
        <v>34.05657374</v>
      </c>
      <c r="F284" s="10" t="n">
        <v>0.07494928441984314</v>
      </c>
      <c r="G284" s="10" t="n">
        <v>0.3597965492495117</v>
      </c>
      <c r="H284" s="10" t="n">
        <v>0.910381897003583</v>
      </c>
      <c r="I284" s="10" t="n">
        <v>0.673284</v>
      </c>
      <c r="J284" s="5" t="inlineStr">
        <is>
          <t>Transition</t>
        </is>
      </c>
      <c r="K284" s="11" t="n">
        <v>23.79907114670293</v>
      </c>
      <c r="L284" s="12" t="n">
        <v>1.37429205510122</v>
      </c>
      <c r="M284" s="12" t="n">
        <v>6.728568199923945</v>
      </c>
      <c r="N284" s="12" t="n">
        <v>10.70291742374407</v>
      </c>
      <c r="O284" s="12" t="n">
        <v>261.0851043640995</v>
      </c>
      <c r="P284" s="5" t="inlineStr">
        <is>
          <t>Caution</t>
        </is>
      </c>
      <c r="Q284" s="5" t="inlineStr">
        <is>
          <t>Drop</t>
        </is>
      </c>
      <c r="R284" s="12" t="n">
        <v>0.85</v>
      </c>
      <c r="S284" s="5" t="inlineStr">
        <is>
          <t>ACCEPTED</t>
        </is>
      </c>
      <c r="T284" s="5" t="inlineStr">
        <is>
          <t>DLS exceeds normal range</t>
        </is>
      </c>
    </row>
    <row r="285" s="17">
      <c r="A285" s="7" t="n">
        <v>4750</v>
      </c>
      <c r="B285" s="8" t="n">
        <v>57400.17417</v>
      </c>
      <c r="C285" s="9" t="n">
        <v>57.40017417</v>
      </c>
      <c r="D285" s="9" t="n">
        <v>130.6887716</v>
      </c>
      <c r="E285" s="9" t="n">
        <v>72.16410902</v>
      </c>
      <c r="F285" s="10" t="n">
        <v>0.03971982779265143</v>
      </c>
      <c r="G285" s="10" t="n">
        <v>0.2443329456174524</v>
      </c>
      <c r="H285" s="10" t="n">
        <v>0.990994862820189</v>
      </c>
      <c r="I285" s="10" t="n">
        <v>0.044015</v>
      </c>
      <c r="J285" s="5" t="inlineStr">
        <is>
          <t>Cleaner sand</t>
        </is>
      </c>
      <c r="K285" s="11" t="n">
        <v>17.83507299946341</v>
      </c>
      <c r="L285" s="12" t="n">
        <v>1.578110360244658</v>
      </c>
      <c r="M285" s="12" t="n">
        <v>5.32788529474922</v>
      </c>
      <c r="N285" s="12" t="n">
        <v>3.404797097962764</v>
      </c>
      <c r="O285" s="12" t="n">
        <v>281.0952066577597</v>
      </c>
      <c r="P285" s="5" t="inlineStr">
        <is>
          <t>Normal</t>
        </is>
      </c>
      <c r="Q285" s="5" t="inlineStr">
        <is>
          <t>Build</t>
        </is>
      </c>
      <c r="R285" s="12" t="n">
        <v>0.61</v>
      </c>
      <c r="S285" s="5" t="inlineStr">
        <is>
          <t>REDUCED</t>
        </is>
      </c>
      <c r="T285" s="5" t="inlineStr">
        <is>
          <t>Normal operation</t>
        </is>
      </c>
    </row>
    <row r="286" s="17">
      <c r="A286" s="7" t="n">
        <v>4755</v>
      </c>
      <c r="B286" s="8" t="n">
        <v>53991.412423</v>
      </c>
      <c r="C286" s="9" t="n">
        <v>53.991412423</v>
      </c>
      <c r="D286" s="9" t="n">
        <v>130.64869316</v>
      </c>
      <c r="E286" s="9" t="n">
        <v>67.56452401999999</v>
      </c>
      <c r="F286" s="10" t="n">
        <v>0.04335806251879026</v>
      </c>
      <c r="G286" s="10" t="n">
        <v>0.04343898738520718</v>
      </c>
      <c r="H286" s="10" t="n">
        <v>0.9564771284755331</v>
      </c>
      <c r="I286" s="10" t="n">
        <v>0.189621</v>
      </c>
      <c r="J286" s="5" t="inlineStr">
        <is>
          <t>Cleaner sand</t>
        </is>
      </c>
      <c r="K286" s="11" t="n">
        <v>20.5789768666599</v>
      </c>
      <c r="L286" s="12" t="n">
        <v>1.798464175739267</v>
      </c>
      <c r="M286" s="12" t="n">
        <v>4.74987567603552</v>
      </c>
      <c r="N286" s="12" t="n">
        <v>4.180372350805484</v>
      </c>
      <c r="O286" s="12" t="n">
        <v>263.4721348192923</v>
      </c>
      <c r="P286" s="5" t="inlineStr">
        <is>
          <t>Normal</t>
        </is>
      </c>
      <c r="Q286" s="5" t="inlineStr">
        <is>
          <t>Drop</t>
        </is>
      </c>
      <c r="R286" s="12" t="n">
        <v>0.86</v>
      </c>
      <c r="S286" s="5" t="inlineStr">
        <is>
          <t>ACCEPTED</t>
        </is>
      </c>
      <c r="T286" s="5" t="inlineStr">
        <is>
          <t>Normal operation</t>
        </is>
      </c>
    </row>
    <row r="287" s="17">
      <c r="A287" s="7" t="n">
        <v>4760</v>
      </c>
      <c r="B287" s="8" t="n">
        <v>73686.89769500001</v>
      </c>
      <c r="C287" s="9" t="n">
        <v>73.68689769500001</v>
      </c>
      <c r="D287" s="9" t="n">
        <v>146.00208238</v>
      </c>
      <c r="E287" s="9" t="n">
        <v>43.69156308</v>
      </c>
      <c r="F287" s="10" t="n">
        <v>0.09660939341263119</v>
      </c>
      <c r="G287" s="10" t="n">
        <v>0.3159676875705522</v>
      </c>
      <c r="H287" s="10" t="n">
        <v>0.8857769978188328</v>
      </c>
      <c r="I287" s="10" t="n">
        <v>1.124671</v>
      </c>
      <c r="J287" s="5" t="inlineStr">
        <is>
          <t>Transition</t>
        </is>
      </c>
      <c r="K287" s="11" t="n">
        <v>20.11628138666157</v>
      </c>
      <c r="L287" s="12" t="n">
        <v>1.538141348170062</v>
      </c>
      <c r="M287" s="12" t="n">
        <v>5.619548762884414</v>
      </c>
      <c r="N287" s="12" t="n">
        <v>4.293328914069305</v>
      </c>
      <c r="O287" s="12" t="n">
        <v>263.7652612760522</v>
      </c>
      <c r="P287" s="5" t="inlineStr">
        <is>
          <t>Normal</t>
        </is>
      </c>
      <c r="Q287" s="5" t="inlineStr">
        <is>
          <t>Build</t>
        </is>
      </c>
      <c r="R287" s="12" t="n">
        <v>0.93</v>
      </c>
      <c r="S287" s="5" t="inlineStr">
        <is>
          <t>ACCEPTED</t>
        </is>
      </c>
      <c r="T287" s="5" t="inlineStr">
        <is>
          <t>WOB outside preferred band</t>
        </is>
      </c>
    </row>
    <row r="288" s="17">
      <c r="A288" s="7" t="n">
        <v>4765</v>
      </c>
      <c r="B288" s="8" t="n">
        <v>41982.789211</v>
      </c>
      <c r="C288" s="9" t="n">
        <v>41.982789211</v>
      </c>
      <c r="D288" s="9" t="n">
        <v>139.09526537</v>
      </c>
      <c r="E288" s="9" t="n">
        <v>61.35699364</v>
      </c>
      <c r="F288" s="10" t="n">
        <v>0.0343931040307227</v>
      </c>
      <c r="G288" s="10" t="n">
        <v>0.0401048344109631</v>
      </c>
      <c r="H288" s="10" t="n">
        <v>0.9926426378507781</v>
      </c>
      <c r="I288" s="10" t="n">
        <v>0.054408</v>
      </c>
      <c r="J288" s="5" t="inlineStr">
        <is>
          <t>Cleaner sand</t>
        </is>
      </c>
      <c r="K288" s="11" t="n">
        <v>16.0855128787628</v>
      </c>
      <c r="L288" s="12" t="n">
        <v>2.447599332249796</v>
      </c>
      <c r="M288" s="12" t="n">
        <v>5.118377347902301</v>
      </c>
      <c r="N288" s="12" t="n">
        <v>3.410168512263243</v>
      </c>
      <c r="O288" s="12" t="n">
        <v>245.4156614749245</v>
      </c>
      <c r="P288" s="5" t="inlineStr">
        <is>
          <t>Normal</t>
        </is>
      </c>
      <c r="Q288" s="5" t="inlineStr">
        <is>
          <t>Build</t>
        </is>
      </c>
      <c r="R288" s="12" t="n">
        <v>0.64</v>
      </c>
      <c r="S288" s="5" t="inlineStr">
        <is>
          <t>REDUCED</t>
        </is>
      </c>
      <c r="T288" s="5" t="inlineStr">
        <is>
          <t>Normal operation</t>
        </is>
      </c>
    </row>
    <row r="289" s="17">
      <c r="A289" s="7" t="n">
        <v>4770</v>
      </c>
      <c r="B289" s="8" t="n">
        <v>48555.258986</v>
      </c>
      <c r="C289" s="9" t="n">
        <v>48.555258986</v>
      </c>
      <c r="D289" s="9" t="n">
        <v>140.22284373</v>
      </c>
      <c r="E289" s="9" t="n">
        <v>31.25999572</v>
      </c>
      <c r="F289" s="10" t="n">
        <v>0.09994177696400601</v>
      </c>
      <c r="G289" s="10" t="n">
        <v>0.3147742094058099</v>
      </c>
      <c r="H289" s="10" t="n">
        <v>0.9218537613983192</v>
      </c>
      <c r="I289" s="10" t="n">
        <v>0.814708</v>
      </c>
      <c r="J289" s="5" t="inlineStr">
        <is>
          <t>Transition</t>
        </is>
      </c>
      <c r="K289" s="11" t="n">
        <v>18.03443451417524</v>
      </c>
      <c r="L289" s="12" t="n">
        <v>1.900577726302743</v>
      </c>
      <c r="M289" s="12" t="n">
        <v>5.68388011558692</v>
      </c>
      <c r="N289" s="12" t="n">
        <v>4.62108813029306</v>
      </c>
      <c r="O289" s="12" t="n">
        <v>237.7079770944935</v>
      </c>
      <c r="P289" s="5" t="inlineStr">
        <is>
          <t>Normal</t>
        </is>
      </c>
      <c r="Q289" s="5" t="inlineStr">
        <is>
          <t>Build</t>
        </is>
      </c>
      <c r="R289" s="12" t="n">
        <v>0.71</v>
      </c>
      <c r="S289" s="5" t="inlineStr">
        <is>
          <t>ACCEPTED</t>
        </is>
      </c>
      <c r="T289" s="5" t="inlineStr">
        <is>
          <t>Normal operation</t>
        </is>
      </c>
    </row>
    <row r="290" s="17">
      <c r="A290" s="7" t="n">
        <v>4775</v>
      </c>
      <c r="B290" s="8" t="n">
        <v>59923.643168</v>
      </c>
      <c r="C290" s="9" t="n">
        <v>59.92364316800001</v>
      </c>
      <c r="D290" s="9" t="n">
        <v>105.98703844</v>
      </c>
      <c r="E290" s="9" t="n">
        <v>40.3695266</v>
      </c>
      <c r="F290" s="10" t="n">
        <v>0.1074131858543951</v>
      </c>
      <c r="G290" s="10" t="n">
        <v>0.2687690939715451</v>
      </c>
      <c r="H290" s="10" t="n">
        <v>0.90570877233039</v>
      </c>
      <c r="I290" s="10" t="n">
        <v>1.00126</v>
      </c>
      <c r="J290" s="5" t="inlineStr">
        <is>
          <t>Transition</t>
        </is>
      </c>
      <c r="K290" s="11" t="n">
        <v>19.81800088961647</v>
      </c>
      <c r="L290" s="12" t="n">
        <v>2.020090115164411</v>
      </c>
      <c r="M290" s="12" t="n">
        <v>6.700760084018125</v>
      </c>
      <c r="N290" s="12" t="n">
        <v>6.615380139493742</v>
      </c>
      <c r="O290" s="12" t="n">
        <v>240.5153196220679</v>
      </c>
      <c r="P290" s="5" t="inlineStr">
        <is>
          <t>Caution</t>
        </is>
      </c>
      <c r="Q290" s="5" t="inlineStr">
        <is>
          <t>Build</t>
        </is>
      </c>
      <c r="R290" s="12" t="n">
        <v>0.75</v>
      </c>
      <c r="S290" s="5" t="inlineStr">
        <is>
          <t>ACCEPTED</t>
        </is>
      </c>
      <c r="T290" s="5" t="inlineStr">
        <is>
          <t>DLS exceeds normal range</t>
        </is>
      </c>
    </row>
    <row r="291" s="17">
      <c r="A291" s="7" t="n">
        <v>4780</v>
      </c>
      <c r="B291" s="8" t="n">
        <v>56947.981498</v>
      </c>
      <c r="C291" s="9" t="n">
        <v>56.947981498</v>
      </c>
      <c r="D291" s="9" t="n">
        <v>141.47759669</v>
      </c>
      <c r="E291" s="9" t="n">
        <v>56.48812966</v>
      </c>
      <c r="F291" s="10" t="n">
        <v>0.03317344662378625</v>
      </c>
      <c r="G291" s="10" t="n">
        <v>0.1629498264368627</v>
      </c>
      <c r="H291" s="10" t="n">
        <v>1</v>
      </c>
      <c r="I291" s="10" t="n">
        <v>0.001</v>
      </c>
      <c r="J291" s="5" t="inlineStr">
        <is>
          <t>Cleaner sand</t>
        </is>
      </c>
      <c r="K291" s="11" t="n">
        <v>18.3670209665547</v>
      </c>
      <c r="L291" s="12" t="n">
        <v>1.984811821647032</v>
      </c>
      <c r="M291" s="12" t="n">
        <v>5.320897866301868</v>
      </c>
      <c r="N291" s="12" t="n">
        <v>6.743441619360395</v>
      </c>
      <c r="O291" s="12" t="n">
        <v>241.3340959269567</v>
      </c>
      <c r="P291" s="5" t="inlineStr">
        <is>
          <t>Normal</t>
        </is>
      </c>
      <c r="Q291" s="5" t="inlineStr">
        <is>
          <t>Build</t>
        </is>
      </c>
      <c r="R291" s="12" t="n">
        <v>0.91</v>
      </c>
      <c r="S291" s="5" t="inlineStr">
        <is>
          <t>ACCEPTED</t>
        </is>
      </c>
      <c r="T291" s="5" t="inlineStr">
        <is>
          <t>Normal operation</t>
        </is>
      </c>
    </row>
    <row r="292" s="17">
      <c r="A292" s="7" t="n">
        <v>4785</v>
      </c>
      <c r="B292" s="8" t="n">
        <v>40424.028831</v>
      </c>
      <c r="C292" s="9" t="n">
        <v>40.424028831</v>
      </c>
      <c r="D292" s="9" t="n">
        <v>143.19072461</v>
      </c>
      <c r="E292" s="9" t="n">
        <v>48.22375392</v>
      </c>
      <c r="F292" s="10" t="n">
        <v>0.1407710351543349</v>
      </c>
      <c r="G292" s="10" t="n">
        <v>0.3294246056005379</v>
      </c>
      <c r="H292" s="10" t="n">
        <v>0.8660435082505573</v>
      </c>
      <c r="I292" s="10" t="n">
        <v>1.9183</v>
      </c>
      <c r="J292" s="5" t="inlineStr">
        <is>
          <t>Transition</t>
        </is>
      </c>
      <c r="K292" s="11" t="n">
        <v>15.74248597837503</v>
      </c>
      <c r="L292" s="12" t="n">
        <v>2.235002190167809</v>
      </c>
      <c r="M292" s="12" t="n">
        <v>5.628231512484439</v>
      </c>
      <c r="N292" s="12" t="n">
        <v>6.931280515922948</v>
      </c>
      <c r="O292" s="12" t="n">
        <v>228.3628364690345</v>
      </c>
      <c r="P292" s="5" t="inlineStr">
        <is>
          <t>Normal</t>
        </is>
      </c>
      <c r="Q292" s="5" t="inlineStr">
        <is>
          <t>Build</t>
        </is>
      </c>
      <c r="R292" s="12" t="n">
        <v>0.54</v>
      </c>
      <c r="S292" s="5" t="inlineStr">
        <is>
          <t>REDUCED</t>
        </is>
      </c>
      <c r="T292" s="5" t="inlineStr">
        <is>
          <t>Normal operation</t>
        </is>
      </c>
    </row>
    <row r="293" s="17">
      <c r="A293" s="7" t="n">
        <v>4790</v>
      </c>
      <c r="B293" s="8" t="n">
        <v>64705.098312</v>
      </c>
      <c r="C293" s="9" t="n">
        <v>64.705098312</v>
      </c>
      <c r="D293" s="9" t="n">
        <v>155.12920945</v>
      </c>
      <c r="E293" s="9" t="n">
        <v>35.04271476</v>
      </c>
      <c r="F293" s="10" t="n">
        <v>0.06183148956459639</v>
      </c>
      <c r="G293" s="10" t="n">
        <v>0.3183708643726437</v>
      </c>
      <c r="H293" s="10" t="n">
        <v>0.9925108648073546</v>
      </c>
      <c r="I293" s="10" t="n">
        <v>0.072958</v>
      </c>
      <c r="J293" s="5" t="inlineStr">
        <is>
          <t>Transition</t>
        </is>
      </c>
      <c r="K293" s="11" t="n">
        <v>19.92342109634609</v>
      </c>
      <c r="L293" s="12" t="n">
        <v>1.748700563764816</v>
      </c>
      <c r="M293" s="12" t="n">
        <v>5.684482457428388</v>
      </c>
      <c r="N293" s="12" t="n">
        <v>5.80665299435185</v>
      </c>
      <c r="O293" s="12" t="n">
        <v>235.4140913423375</v>
      </c>
      <c r="P293" s="5" t="inlineStr">
        <is>
          <t>Normal</t>
        </is>
      </c>
      <c r="Q293" s="5" t="inlineStr">
        <is>
          <t>Build</t>
        </is>
      </c>
      <c r="R293" s="12" t="n">
        <v>0.74</v>
      </c>
      <c r="S293" s="5" t="inlineStr">
        <is>
          <t>ACCEPTED</t>
        </is>
      </c>
      <c r="T293" s="5" t="inlineStr">
        <is>
          <t>Normal operation</t>
        </is>
      </c>
    </row>
    <row r="294" s="17">
      <c r="A294" s="7" t="n">
        <v>4795</v>
      </c>
      <c r="B294" s="8" t="n">
        <v>33169.211713</v>
      </c>
      <c r="C294" s="9" t="n">
        <v>33.169211713</v>
      </c>
      <c r="D294" s="9" t="n">
        <v>138.01628929</v>
      </c>
      <c r="E294" s="9" t="n">
        <v>59.7681313</v>
      </c>
      <c r="F294" s="10" t="n">
        <v>0.04080461160968357</v>
      </c>
      <c r="G294" s="10" t="n">
        <v>0.1969147247407829</v>
      </c>
      <c r="H294" s="10" t="n">
        <v>0.9408343037912814</v>
      </c>
      <c r="I294" s="10" t="n">
        <v>0.283653</v>
      </c>
      <c r="J294" s="5" t="inlineStr">
        <is>
          <t>Cleaner sand</t>
        </is>
      </c>
      <c r="K294" s="11" t="n">
        <v>14.02692570444757</v>
      </c>
      <c r="L294" s="12" t="n">
        <v>1.1</v>
      </c>
      <c r="M294" s="12" t="n">
        <v>6.292207675866608</v>
      </c>
      <c r="N294" s="12" t="n">
        <v>7.251935162580038</v>
      </c>
      <c r="O294" s="12" t="n">
        <v>215.2220816894057</v>
      </c>
      <c r="P294" s="5" t="inlineStr">
        <is>
          <t>Caution</t>
        </is>
      </c>
      <c r="Q294" s="5" t="inlineStr">
        <is>
          <t>Build</t>
        </is>
      </c>
      <c r="R294" s="12" t="n">
        <v>0.58</v>
      </c>
      <c r="S294" s="5" t="inlineStr">
        <is>
          <t>REDUCED</t>
        </is>
      </c>
      <c r="T294" s="5" t="inlineStr">
        <is>
          <t>DLS exceeds normal range</t>
        </is>
      </c>
    </row>
    <row r="295" s="17">
      <c r="A295" s="7" t="n">
        <v>4800</v>
      </c>
      <c r="B295" s="8" t="n">
        <v>53485.22536</v>
      </c>
      <c r="C295" s="9" t="n">
        <v>53.48522535999999</v>
      </c>
      <c r="D295" s="9" t="n">
        <v>148.75158084</v>
      </c>
      <c r="E295" s="9" t="n">
        <v>65.67989588</v>
      </c>
      <c r="F295" s="10" t="n">
        <v>0.1273523675109988</v>
      </c>
      <c r="G295" s="10" t="n">
        <v>0.2477899070609946</v>
      </c>
      <c r="H295" s="10" t="n">
        <v>0.8455143013240043</v>
      </c>
      <c r="I295" s="10" t="n">
        <v>2.006097</v>
      </c>
      <c r="J295" s="5" t="inlineStr">
        <is>
          <t>Cleaner sand</t>
        </is>
      </c>
      <c r="K295" s="11" t="n">
        <v>19.20244684087248</v>
      </c>
      <c r="L295" s="12" t="n">
        <v>1.855847096358794</v>
      </c>
      <c r="M295" s="12" t="n">
        <v>3.791176487150878</v>
      </c>
      <c r="N295" s="12" t="n">
        <v>5.045247965575856</v>
      </c>
      <c r="O295" s="12" t="n">
        <v>217.5984026064821</v>
      </c>
      <c r="P295" s="5" t="inlineStr">
        <is>
          <t>Normal</t>
        </is>
      </c>
      <c r="Q295" s="5" t="inlineStr">
        <is>
          <t>Build</t>
        </is>
      </c>
      <c r="R295" s="12" t="n">
        <v>0.52</v>
      </c>
      <c r="S295" s="5" t="inlineStr">
        <is>
          <t>REDUCED</t>
        </is>
      </c>
      <c r="T295" s="5" t="inlineStr">
        <is>
          <t>Normal operation</t>
        </is>
      </c>
    </row>
    <row r="296" s="17">
      <c r="A296" s="7" t="n">
        <v>4805</v>
      </c>
      <c r="B296" s="8" t="n">
        <v>55872.888109</v>
      </c>
      <c r="C296" s="9" t="n">
        <v>55.872888109</v>
      </c>
      <c r="D296" s="9" t="n">
        <v>122.63133864</v>
      </c>
      <c r="E296" s="9" t="n">
        <v>46.87824052</v>
      </c>
      <c r="F296" s="10" t="n">
        <v>0.09715843584735215</v>
      </c>
      <c r="G296" s="10" t="n">
        <v>0.3503335298843146</v>
      </c>
      <c r="H296" s="10" t="n">
        <v>0.9177595513454473</v>
      </c>
      <c r="I296" s="10" t="n">
        <v>0.798701</v>
      </c>
      <c r="J296" s="5" t="inlineStr">
        <is>
          <t>Transition</t>
        </is>
      </c>
      <c r="K296" s="11" t="n">
        <v>19.14900304714586</v>
      </c>
      <c r="L296" s="12" t="n">
        <v>1.340835122042004</v>
      </c>
      <c r="M296" s="12" t="n">
        <v>5.078380633267603</v>
      </c>
      <c r="N296" s="12" t="n">
        <v>8.494995441597711</v>
      </c>
      <c r="O296" s="12" t="n">
        <v>232.3066526350654</v>
      </c>
      <c r="P296" s="5" t="inlineStr">
        <is>
          <t>Normal</t>
        </is>
      </c>
      <c r="Q296" s="5" t="inlineStr">
        <is>
          <t>Turn Right</t>
        </is>
      </c>
      <c r="R296" s="12" t="n">
        <v>0.45</v>
      </c>
      <c r="S296" s="5" t="inlineStr">
        <is>
          <t>REJECTED</t>
        </is>
      </c>
      <c r="T296" s="5" t="inlineStr">
        <is>
          <t>Normal operation</t>
        </is>
      </c>
    </row>
    <row r="297" s="17">
      <c r="A297" s="7" t="n">
        <v>4810</v>
      </c>
      <c r="B297" s="8" t="n">
        <v>42197.167272</v>
      </c>
      <c r="C297" s="9" t="n">
        <v>42.197167272</v>
      </c>
      <c r="D297" s="9" t="n">
        <v>132.0066884</v>
      </c>
      <c r="E297" s="9" t="n">
        <v>46.4812941</v>
      </c>
      <c r="F297" s="10" t="n">
        <v>0.03030510457993665</v>
      </c>
      <c r="G297" s="10" t="n">
        <v>0.05124891637701902</v>
      </c>
      <c r="H297" s="10" t="n">
        <v>0.9020049725571558</v>
      </c>
      <c r="I297" s="10" t="n">
        <v>0.290138</v>
      </c>
      <c r="J297" s="5" t="inlineStr">
        <is>
          <t>Cleaner sand</t>
        </is>
      </c>
      <c r="K297" s="11" t="n">
        <v>15.58381714029254</v>
      </c>
      <c r="L297" s="12" t="n">
        <v>1.400977825942619</v>
      </c>
      <c r="M297" s="12" t="n">
        <v>5.707650326376824</v>
      </c>
      <c r="N297" s="12" t="n">
        <v>10.5080340512995</v>
      </c>
      <c r="O297" s="12" t="n">
        <v>228.550483887878</v>
      </c>
      <c r="P297" s="5" t="inlineStr">
        <is>
          <t>Normal</t>
        </is>
      </c>
      <c r="Q297" s="5" t="inlineStr">
        <is>
          <t>Turn Right</t>
        </is>
      </c>
      <c r="R297" s="12" t="n">
        <v>0.74</v>
      </c>
      <c r="S297" s="5" t="inlineStr">
        <is>
          <t>ACCEPTED</t>
        </is>
      </c>
      <c r="T297" s="5" t="inlineStr">
        <is>
          <t>Normal operation</t>
        </is>
      </c>
    </row>
    <row r="298" s="17">
      <c r="A298" s="7" t="n">
        <v>4815</v>
      </c>
      <c r="B298" s="8" t="n">
        <v>56636.155756</v>
      </c>
      <c r="C298" s="9" t="n">
        <v>56.636155756</v>
      </c>
      <c r="D298" s="9" t="n">
        <v>136.57242046</v>
      </c>
      <c r="E298" s="9" t="n">
        <v>61.2591291</v>
      </c>
      <c r="F298" s="10" t="n">
        <v>0.1433058341482462</v>
      </c>
      <c r="G298" s="10" t="n">
        <v>0.2084577415851896</v>
      </c>
      <c r="H298" s="10" t="n">
        <v>0.8760648203328156</v>
      </c>
      <c r="I298" s="10" t="n">
        <v>1.820126</v>
      </c>
      <c r="J298" s="5" t="inlineStr">
        <is>
          <t>Cleaner sand</t>
        </is>
      </c>
      <c r="K298" s="11" t="n">
        <v>19.83196886402475</v>
      </c>
      <c r="L298" s="12" t="n">
        <v>1.947318369189996</v>
      </c>
      <c r="M298" s="12" t="n">
        <v>6.473400299454509</v>
      </c>
      <c r="N298" s="12" t="n">
        <v>7.12169051208229</v>
      </c>
      <c r="O298" s="12" t="n">
        <v>215.6343362130556</v>
      </c>
      <c r="P298" s="5" t="inlineStr">
        <is>
          <t>Caution</t>
        </is>
      </c>
      <c r="Q298" s="5" t="inlineStr">
        <is>
          <t>Build</t>
        </is>
      </c>
      <c r="R298" s="12" t="n">
        <v>0.89</v>
      </c>
      <c r="S298" s="5" t="inlineStr">
        <is>
          <t>ACCEPTED</t>
        </is>
      </c>
      <c r="T298" s="5" t="inlineStr">
        <is>
          <t>DLS exceeds normal range</t>
        </is>
      </c>
    </row>
    <row r="299" s="17">
      <c r="A299" s="7" t="n">
        <v>4820</v>
      </c>
      <c r="B299" s="8" t="n">
        <v>37133.7054</v>
      </c>
      <c r="C299" s="9" t="n">
        <v>37.1337054</v>
      </c>
      <c r="D299" s="9" t="n">
        <v>130.68950241</v>
      </c>
      <c r="E299" s="9" t="n">
        <v>44.20593760000001</v>
      </c>
      <c r="F299" s="10" t="n">
        <v>0.06230981557688654</v>
      </c>
      <c r="G299" s="10" t="n">
        <v>0.1581350989448121</v>
      </c>
      <c r="H299" s="10" t="n">
        <v>0.9769982879800813</v>
      </c>
      <c r="I299" s="10" t="n">
        <v>0.17316</v>
      </c>
      <c r="J299" s="5" t="inlineStr">
        <is>
          <t>Cleaner sand</t>
        </is>
      </c>
      <c r="K299" s="11" t="n">
        <v>15.65274611109052</v>
      </c>
      <c r="L299" s="12" t="n">
        <v>2.266758705002482</v>
      </c>
      <c r="M299" s="12" t="n">
        <v>5.094361877124653</v>
      </c>
      <c r="N299" s="12" t="n">
        <v>8.663899561019107</v>
      </c>
      <c r="O299" s="12" t="n">
        <v>206.5502134193731</v>
      </c>
      <c r="P299" s="5" t="inlineStr">
        <is>
          <t>Normal</t>
        </is>
      </c>
      <c r="Q299" s="5" t="inlineStr">
        <is>
          <t>Turn Right</t>
        </is>
      </c>
      <c r="R299" s="12" t="n">
        <v>0.59</v>
      </c>
      <c r="S299" s="5" t="inlineStr">
        <is>
          <t>REDUCED</t>
        </is>
      </c>
      <c r="T299" s="5" t="inlineStr">
        <is>
          <t>Normal operation</t>
        </is>
      </c>
    </row>
    <row r="300" s="17">
      <c r="A300" s="7" t="n">
        <v>4825</v>
      </c>
      <c r="B300" s="8" t="n">
        <v>32100.969646</v>
      </c>
      <c r="C300" s="9" t="n">
        <v>32.100969646</v>
      </c>
      <c r="D300" s="9" t="n">
        <v>127.40527642</v>
      </c>
      <c r="E300" s="9" t="n">
        <v>69.71124875999999</v>
      </c>
      <c r="F300" s="10" t="n">
        <v>0.07011942423610473</v>
      </c>
      <c r="G300" s="10" t="n">
        <v>0.2980368827162694</v>
      </c>
      <c r="H300" s="10" t="n">
        <v>0.9057834765361684</v>
      </c>
      <c r="I300" s="10" t="n">
        <v>0.698331</v>
      </c>
      <c r="J300" s="5" t="inlineStr">
        <is>
          <t>Transition</t>
        </is>
      </c>
      <c r="K300" s="11" t="n">
        <v>15.23267976132506</v>
      </c>
      <c r="L300" s="12" t="n">
        <v>1.67042307260067</v>
      </c>
      <c r="M300" s="12" t="n">
        <v>3.961023002044508</v>
      </c>
      <c r="N300" s="12" t="n">
        <v>10.24098760125049</v>
      </c>
      <c r="O300" s="12" t="n">
        <v>203.7711454708982</v>
      </c>
      <c r="P300" s="5" t="inlineStr">
        <is>
          <t>Normal</t>
        </is>
      </c>
      <c r="Q300" s="5" t="inlineStr">
        <is>
          <t>Turn Right</t>
        </is>
      </c>
      <c r="R300" s="12" t="n">
        <v>0.7</v>
      </c>
      <c r="S300" s="5" t="inlineStr">
        <is>
          <t>ACCEPTED</t>
        </is>
      </c>
      <c r="T300" s="5" t="inlineStr">
        <is>
          <t>Normal operation</t>
        </is>
      </c>
    </row>
    <row r="301" s="17">
      <c r="A301" s="7" t="n">
        <v>4830</v>
      </c>
      <c r="B301" s="8" t="n">
        <v>48651.043821</v>
      </c>
      <c r="C301" s="9" t="n">
        <v>48.651043821</v>
      </c>
      <c r="D301" s="9" t="n">
        <v>154.3817684</v>
      </c>
      <c r="E301" s="9" t="n">
        <v>30</v>
      </c>
      <c r="F301" s="10" t="n">
        <v>0.09050684135791204</v>
      </c>
      <c r="G301" s="10" t="n">
        <v>0.1301534003887929</v>
      </c>
      <c r="H301" s="10" t="n">
        <v>0.9055364429703141</v>
      </c>
      <c r="I301" s="10" t="n">
        <v>0.872648</v>
      </c>
      <c r="J301" s="5" t="inlineStr">
        <is>
          <t>Cleaner sand</t>
        </is>
      </c>
      <c r="K301" s="11" t="n">
        <v>18.09336305230162</v>
      </c>
      <c r="L301" s="12" t="n">
        <v>1.811328176173492</v>
      </c>
      <c r="M301" s="12" t="n">
        <v>5.932251989198098</v>
      </c>
      <c r="N301" s="12" t="n">
        <v>11.82938746627822</v>
      </c>
      <c r="O301" s="12" t="n">
        <v>207.7803181208857</v>
      </c>
      <c r="P301" s="5" t="inlineStr">
        <is>
          <t>Normal</t>
        </is>
      </c>
      <c r="Q301" s="5" t="inlineStr">
        <is>
          <t>Turn Right</t>
        </is>
      </c>
      <c r="R301" s="12" t="n">
        <v>0.75</v>
      </c>
      <c r="S301" s="5" t="inlineStr">
        <is>
          <t>ACCEPTED</t>
        </is>
      </c>
      <c r="T301" s="5" t="inlineStr">
        <is>
          <t>Normal operation</t>
        </is>
      </c>
    </row>
    <row r="302" s="17">
      <c r="A302" s="7" t="n">
        <v>4835</v>
      </c>
      <c r="B302" s="8" t="n">
        <v>65750.104911</v>
      </c>
      <c r="C302" s="9" t="n">
        <v>65.75010491100001</v>
      </c>
      <c r="D302" s="9" t="n">
        <v>114.5874564</v>
      </c>
      <c r="E302" s="9" t="n">
        <v>30</v>
      </c>
      <c r="F302" s="10" t="n">
        <v>0.05696461290788773</v>
      </c>
      <c r="G302" s="10" t="n">
        <v>0.3209161094122912</v>
      </c>
      <c r="H302" s="10" t="n">
        <v>0.9899705573095501</v>
      </c>
      <c r="I302" s="10" t="n">
        <v>0.086939</v>
      </c>
      <c r="J302" s="5" t="inlineStr">
        <is>
          <t>Transition</t>
        </is>
      </c>
      <c r="K302" s="11" t="n">
        <v>19.77962633391176</v>
      </c>
      <c r="L302" s="12" t="n">
        <v>2.494085322871267</v>
      </c>
      <c r="M302" s="12" t="n">
        <v>4.902248634456523</v>
      </c>
      <c r="N302" s="12" t="n">
        <v>10.00554329292745</v>
      </c>
      <c r="O302" s="12" t="n">
        <v>215.5839790068362</v>
      </c>
      <c r="P302" s="5" t="inlineStr">
        <is>
          <t>Normal</t>
        </is>
      </c>
      <c r="Q302" s="5" t="inlineStr">
        <is>
          <t>Turn Right</t>
        </is>
      </c>
      <c r="R302" s="12" t="n">
        <v>0.63</v>
      </c>
      <c r="S302" s="5" t="inlineStr">
        <is>
          <t>REDUCED</t>
        </is>
      </c>
      <c r="T302" s="5" t="inlineStr">
        <is>
          <t>Normal operation</t>
        </is>
      </c>
    </row>
    <row r="303" s="17">
      <c r="A303" s="7" t="n">
        <v>4840</v>
      </c>
      <c r="B303" s="8" t="n">
        <v>47187.272136</v>
      </c>
      <c r="C303" s="9" t="n">
        <v>47.187272136</v>
      </c>
      <c r="D303" s="9" t="n">
        <v>123.25491081</v>
      </c>
      <c r="E303" s="9" t="n">
        <v>54.29964068</v>
      </c>
      <c r="F303" s="10" t="n">
        <v>0.0647468280408858</v>
      </c>
      <c r="G303" s="10" t="n">
        <v>0.1440352476434408</v>
      </c>
      <c r="H303" s="10" t="n">
        <v>0.9366691418506509</v>
      </c>
      <c r="I303" s="10" t="n">
        <v>0.433673</v>
      </c>
      <c r="J303" s="5" t="inlineStr">
        <is>
          <t>Cleaner sand</t>
        </is>
      </c>
      <c r="K303" s="11" t="n">
        <v>16.63433390043825</v>
      </c>
      <c r="L303" s="12" t="n">
        <v>1.777969057949398</v>
      </c>
      <c r="M303" s="12" t="n">
        <v>4.432700703392032</v>
      </c>
      <c r="N303" s="12" t="n">
        <v>10.07585311866714</v>
      </c>
      <c r="O303" s="12" t="n">
        <v>216.212030651526</v>
      </c>
      <c r="P303" s="5" t="inlineStr">
        <is>
          <t>Normal</t>
        </is>
      </c>
      <c r="Q303" s="5" t="inlineStr">
        <is>
          <t>Turn Right</t>
        </is>
      </c>
      <c r="R303" s="12" t="n">
        <v>0.9</v>
      </c>
      <c r="S303" s="5" t="inlineStr">
        <is>
          <t>ACCEPTED</t>
        </is>
      </c>
      <c r="T303" s="5" t="inlineStr">
        <is>
          <t>Normal operation</t>
        </is>
      </c>
    </row>
    <row r="304" s="17">
      <c r="A304" s="7" t="n">
        <v>4845</v>
      </c>
      <c r="B304" s="8" t="n">
        <v>61620.822531</v>
      </c>
      <c r="C304" s="9" t="n">
        <v>61.62082253099999</v>
      </c>
      <c r="D304" s="9" t="n">
        <v>148.60204482</v>
      </c>
      <c r="E304" s="9" t="n">
        <v>60.16186824</v>
      </c>
      <c r="F304" s="10" t="n">
        <v>0.1576416073215041</v>
      </c>
      <c r="G304" s="10" t="n">
        <v>0.123707026183735</v>
      </c>
      <c r="H304" s="10" t="n">
        <v>0.8933463241054496</v>
      </c>
      <c r="I304" s="10" t="n">
        <v>1.667351</v>
      </c>
      <c r="J304" s="5" t="inlineStr">
        <is>
          <t>Cleaner sand</t>
        </is>
      </c>
      <c r="K304" s="11" t="n">
        <v>20.59645061662058</v>
      </c>
      <c r="L304" s="12" t="n">
        <v>2.934824725948394</v>
      </c>
      <c r="M304" s="12" t="n">
        <v>4.858694711257615</v>
      </c>
      <c r="N304" s="12" t="n">
        <v>8.80372171416704</v>
      </c>
      <c r="O304" s="12" t="n">
        <v>199.9265471034973</v>
      </c>
      <c r="P304" s="5" t="inlineStr">
        <is>
          <t>Normal</t>
        </is>
      </c>
      <c r="Q304" s="5" t="inlineStr">
        <is>
          <t>Turn Right</t>
        </is>
      </c>
      <c r="R304" s="12" t="n">
        <v>0.6</v>
      </c>
      <c r="S304" s="5" t="inlineStr">
        <is>
          <t>REDUCED</t>
        </is>
      </c>
      <c r="T304" s="5" t="inlineStr">
        <is>
          <t>High vibration detected</t>
        </is>
      </c>
    </row>
    <row r="305" s="17">
      <c r="A305" s="7" t="n">
        <v>4850</v>
      </c>
      <c r="B305" s="8" t="n">
        <v>74686.072671</v>
      </c>
      <c r="C305" s="9" t="n">
        <v>74.68607267100001</v>
      </c>
      <c r="D305" s="9" t="n">
        <v>145.95365768</v>
      </c>
      <c r="E305" s="9" t="n">
        <v>49.07391926</v>
      </c>
      <c r="F305" s="10" t="n">
        <v>0.05081977624102334</v>
      </c>
      <c r="G305" s="10" t="n">
        <v>0.2566515558731879</v>
      </c>
      <c r="H305" s="10" t="n">
        <v>0.9210637728316164</v>
      </c>
      <c r="I305" s="10" t="n">
        <v>0.405647</v>
      </c>
      <c r="J305" s="5" t="inlineStr">
        <is>
          <t>Transition</t>
        </is>
      </c>
      <c r="K305" s="11" t="n">
        <v>22.86250933877995</v>
      </c>
      <c r="L305" s="12" t="n">
        <v>1.937099726359456</v>
      </c>
      <c r="M305" s="12" t="n">
        <v>5.184130982180061</v>
      </c>
      <c r="N305" s="12" t="n">
        <v>11.88533462000365</v>
      </c>
      <c r="O305" s="12" t="n">
        <v>191.4967603680013</v>
      </c>
      <c r="P305" s="5" t="inlineStr">
        <is>
          <t>Normal</t>
        </is>
      </c>
      <c r="Q305" s="5" t="inlineStr">
        <is>
          <t>Turn Right</t>
        </is>
      </c>
      <c r="R305" s="12" t="n">
        <v>0.47</v>
      </c>
      <c r="S305" s="5" t="inlineStr">
        <is>
          <t>REJECTED</t>
        </is>
      </c>
      <c r="T305" s="5" t="inlineStr">
        <is>
          <t>WOB outside preferred band</t>
        </is>
      </c>
    </row>
    <row r="306" s="17">
      <c r="A306" s="7" t="n">
        <v>4855</v>
      </c>
      <c r="B306" s="8" t="n">
        <v>47566.219921</v>
      </c>
      <c r="C306" s="9" t="n">
        <v>47.56621992100001</v>
      </c>
      <c r="D306" s="9" t="n">
        <v>130.55789514</v>
      </c>
      <c r="E306" s="9" t="n">
        <v>66.76127662</v>
      </c>
      <c r="F306" s="10" t="n">
        <v>0.07118732824648738</v>
      </c>
      <c r="G306" s="10" t="n">
        <v>0.02574970791319927</v>
      </c>
      <c r="H306" s="10" t="n">
        <v>0.9641782844516475</v>
      </c>
      <c r="I306" s="10" t="n">
        <v>0.235833</v>
      </c>
      <c r="J306" s="5" t="inlineStr">
        <is>
          <t>Cleaner sand</t>
        </is>
      </c>
      <c r="K306" s="11" t="n">
        <v>17.24331003980553</v>
      </c>
      <c r="L306" s="12" t="n">
        <v>1.1</v>
      </c>
      <c r="M306" s="12" t="n">
        <v>4.821380790978431</v>
      </c>
      <c r="N306" s="12" t="n">
        <v>14.79310715668514</v>
      </c>
      <c r="O306" s="12" t="n">
        <v>204.0329646686689</v>
      </c>
      <c r="P306" s="5" t="inlineStr">
        <is>
          <t>Normal</t>
        </is>
      </c>
      <c r="Q306" s="5" t="inlineStr">
        <is>
          <t>Turn Right</t>
        </is>
      </c>
      <c r="R306" s="12" t="n">
        <v>0.48</v>
      </c>
      <c r="S306" s="5" t="inlineStr">
        <is>
          <t>REJECTED</t>
        </is>
      </c>
      <c r="T306" s="5" t="inlineStr">
        <is>
          <t>Normal operation</t>
        </is>
      </c>
    </row>
    <row r="307" s="17">
      <c r="A307" s="7" t="n">
        <v>4860</v>
      </c>
      <c r="B307" s="8" t="n">
        <v>48253.076344</v>
      </c>
      <c r="C307" s="9" t="n">
        <v>48.253076344</v>
      </c>
      <c r="D307" s="9" t="n">
        <v>135.40264636</v>
      </c>
      <c r="E307" s="9" t="n">
        <v>35.19495924</v>
      </c>
      <c r="F307" s="10" t="n">
        <v>0.1138907452663787</v>
      </c>
      <c r="G307" s="10" t="n">
        <v>0.2186544474290001</v>
      </c>
      <c r="H307" s="10" t="n">
        <v>0.9363022139164625</v>
      </c>
      <c r="I307" s="10" t="n">
        <v>0.712382</v>
      </c>
      <c r="J307" s="5" t="inlineStr">
        <is>
          <t>Cleaner sand</t>
        </is>
      </c>
      <c r="K307" s="11" t="n">
        <v>17.50786676785621</v>
      </c>
      <c r="L307" s="12" t="n">
        <v>2.029137394341221</v>
      </c>
      <c r="M307" s="12" t="n">
        <v>3.513995706678976</v>
      </c>
      <c r="N307" s="12" t="n">
        <v>12.88651755764751</v>
      </c>
      <c r="O307" s="12" t="n">
        <v>191.6299992217517</v>
      </c>
      <c r="P307" s="5" t="inlineStr">
        <is>
          <t>Normal</t>
        </is>
      </c>
      <c r="Q307" s="5" t="inlineStr">
        <is>
          <t>Turn Right</t>
        </is>
      </c>
      <c r="R307" s="12" t="n">
        <v>0.89</v>
      </c>
      <c r="S307" s="5" t="inlineStr">
        <is>
          <t>ACCEPTED</t>
        </is>
      </c>
      <c r="T307" s="5" t="inlineStr">
        <is>
          <t>Normal operation</t>
        </is>
      </c>
    </row>
    <row r="308" s="17">
      <c r="A308" s="7" t="n">
        <v>4865</v>
      </c>
      <c r="B308" s="8" t="n">
        <v>73850.95073900001</v>
      </c>
      <c r="C308" s="9" t="n">
        <v>73.85095073900001</v>
      </c>
      <c r="D308" s="9" t="n">
        <v>148.28403319</v>
      </c>
      <c r="E308" s="9" t="n">
        <v>30</v>
      </c>
      <c r="F308" s="10" t="n">
        <v>0.05911753824517547</v>
      </c>
      <c r="G308" s="10" t="n">
        <v>0.2326433832550498</v>
      </c>
      <c r="H308" s="10" t="n">
        <v>0.9046839418906841</v>
      </c>
      <c r="I308" s="10" t="n">
        <v>0.590819</v>
      </c>
      <c r="J308" s="5" t="inlineStr">
        <is>
          <t>Cleaner sand</t>
        </is>
      </c>
      <c r="K308" s="11" t="n">
        <v>23.37620698472595</v>
      </c>
      <c r="L308" s="12" t="n">
        <v>1.846767608592561</v>
      </c>
      <c r="M308" s="12" t="n">
        <v>5.969222091664188</v>
      </c>
      <c r="N308" s="12" t="n">
        <v>12.88453213674977</v>
      </c>
      <c r="O308" s="12" t="n">
        <v>193.3860184462553</v>
      </c>
      <c r="P308" s="5" t="inlineStr">
        <is>
          <t>Normal</t>
        </is>
      </c>
      <c r="Q308" s="5" t="inlineStr">
        <is>
          <t>Turn Right</t>
        </is>
      </c>
      <c r="R308" s="12" t="n">
        <v>0.9399999999999999</v>
      </c>
      <c r="S308" s="5" t="inlineStr">
        <is>
          <t>ACCEPTED</t>
        </is>
      </c>
      <c r="T308" s="5" t="inlineStr">
        <is>
          <t>WOB outside preferred band</t>
        </is>
      </c>
    </row>
    <row r="309" s="17">
      <c r="A309" s="7" t="n">
        <v>4870</v>
      </c>
      <c r="B309" s="8" t="n">
        <v>57069.288311</v>
      </c>
      <c r="C309" s="9" t="n">
        <v>57.06928831099999</v>
      </c>
      <c r="D309" s="9" t="n">
        <v>142.89174136</v>
      </c>
      <c r="E309" s="9" t="n">
        <v>65.6766372</v>
      </c>
      <c r="F309" s="10" t="n">
        <v>0.07304449687760492</v>
      </c>
      <c r="G309" s="10" t="n">
        <v>0.1093043792685269</v>
      </c>
      <c r="H309" s="10" t="n">
        <v>0.9225107915351073</v>
      </c>
      <c r="I309" s="10" t="n">
        <v>0.602495</v>
      </c>
      <c r="J309" s="5" t="inlineStr">
        <is>
          <t>Cleaner sand</t>
        </is>
      </c>
      <c r="K309" s="11" t="n">
        <v>18.42046004394274</v>
      </c>
      <c r="L309" s="12" t="n">
        <v>2.291978849500545</v>
      </c>
      <c r="M309" s="12" t="n">
        <v>6.244440087689505</v>
      </c>
      <c r="N309" s="12" t="n">
        <v>13.71974506628081</v>
      </c>
      <c r="O309" s="12" t="n">
        <v>210.7207070273677</v>
      </c>
      <c r="P309" s="5" t="inlineStr">
        <is>
          <t>Caution</t>
        </is>
      </c>
      <c r="Q309" s="5" t="inlineStr">
        <is>
          <t>Turn Right</t>
        </is>
      </c>
      <c r="R309" s="12" t="n">
        <v>0.5600000000000001</v>
      </c>
      <c r="S309" s="5" t="inlineStr">
        <is>
          <t>REDUCED</t>
        </is>
      </c>
      <c r="T309" s="5" t="inlineStr">
        <is>
          <t>DLS exceeds normal range</t>
        </is>
      </c>
    </row>
    <row r="310" s="17">
      <c r="A310" s="7" t="n">
        <v>4875</v>
      </c>
      <c r="B310" s="8" t="n">
        <v>47704.522417</v>
      </c>
      <c r="C310" s="9" t="n">
        <v>47.704522417</v>
      </c>
      <c r="D310" s="9" t="n">
        <v>125.20314782</v>
      </c>
      <c r="E310" s="9" t="n">
        <v>48.34236118</v>
      </c>
      <c r="F310" s="10" t="n">
        <v>0.1457998975424524</v>
      </c>
      <c r="G310" s="10" t="n">
        <v>0.1520004689863438</v>
      </c>
      <c r="H310" s="10" t="n">
        <v>0.891832593326561</v>
      </c>
      <c r="I310" s="10" t="n">
        <v>1.618623</v>
      </c>
      <c r="J310" s="5" t="inlineStr">
        <is>
          <t>Cleaner sand</t>
        </is>
      </c>
      <c r="K310" s="11" t="n">
        <v>17.83674583501095</v>
      </c>
      <c r="L310" s="12" t="n">
        <v>1.989858862122279</v>
      </c>
      <c r="M310" s="12" t="n">
        <v>5.718580703582685</v>
      </c>
      <c r="N310" s="12" t="n">
        <v>13.67416170974571</v>
      </c>
      <c r="O310" s="12" t="n">
        <v>204.8379576976527</v>
      </c>
      <c r="P310" s="5" t="inlineStr">
        <is>
          <t>Normal</t>
        </is>
      </c>
      <c r="Q310" s="5" t="inlineStr">
        <is>
          <t>Turn Right</t>
        </is>
      </c>
      <c r="R310" s="12" t="n">
        <v>0.48</v>
      </c>
      <c r="S310" s="5" t="inlineStr">
        <is>
          <t>REJECTED</t>
        </is>
      </c>
      <c r="T310" s="5" t="inlineStr">
        <is>
          <t>Normal operation</t>
        </is>
      </c>
    </row>
    <row r="311" s="17">
      <c r="A311" s="7" t="n">
        <v>4880</v>
      </c>
      <c r="B311" s="8" t="n">
        <v>66872.13995300001</v>
      </c>
      <c r="C311" s="9" t="n">
        <v>66.872139953</v>
      </c>
      <c r="D311" s="9" t="n">
        <v>147.22979537</v>
      </c>
      <c r="E311" s="9" t="n">
        <v>37.26794302</v>
      </c>
      <c r="F311" s="10" t="n">
        <v>0.05265944614177104</v>
      </c>
      <c r="G311" s="10" t="n">
        <v>0.3340674346757803</v>
      </c>
      <c r="H311" s="10" t="n">
        <v>0.9952033903263136</v>
      </c>
      <c r="I311" s="10" t="n">
        <v>0.04796</v>
      </c>
      <c r="J311" s="5" t="inlineStr">
        <is>
          <t>Transition</t>
        </is>
      </c>
      <c r="K311" s="11" t="n">
        <v>20.61279520278442</v>
      </c>
      <c r="L311" s="12" t="n">
        <v>1.592156567847951</v>
      </c>
      <c r="M311" s="12" t="n">
        <v>4.259891571793533</v>
      </c>
      <c r="N311" s="12" t="n">
        <v>13.01920588353589</v>
      </c>
      <c r="O311" s="12" t="n">
        <v>197.4475213504363</v>
      </c>
      <c r="P311" s="5" t="inlineStr">
        <is>
          <t>Normal</t>
        </is>
      </c>
      <c r="Q311" s="5" t="inlineStr">
        <is>
          <t>Turn Right</t>
        </is>
      </c>
      <c r="R311" s="12" t="n">
        <v>0.67</v>
      </c>
      <c r="S311" s="5" t="inlineStr">
        <is>
          <t>REDUCED</t>
        </is>
      </c>
      <c r="T311" s="5" t="inlineStr">
        <is>
          <t>Normal operation</t>
        </is>
      </c>
    </row>
    <row r="312" s="17">
      <c r="A312" s="7" t="n">
        <v>4885</v>
      </c>
      <c r="B312" s="8" t="n">
        <v>48100.017285</v>
      </c>
      <c r="C312" s="9" t="n">
        <v>48.100017285</v>
      </c>
      <c r="D312" s="9" t="n">
        <v>136.15540798</v>
      </c>
      <c r="E312" s="9" t="n">
        <v>42.21476112000001</v>
      </c>
      <c r="F312" s="10" t="n">
        <v>0.0367020619494096</v>
      </c>
      <c r="G312" s="10" t="n">
        <v>0.1335173372503431</v>
      </c>
      <c r="H312" s="10" t="n">
        <v>0.9989212072487927</v>
      </c>
      <c r="I312" s="10" t="n">
        <v>0.024304</v>
      </c>
      <c r="J312" s="5" t="inlineStr">
        <is>
          <t>Cleaner sand</t>
        </is>
      </c>
      <c r="K312" s="11" t="n">
        <v>17.14470731017427</v>
      </c>
      <c r="L312" s="12" t="n">
        <v>1.1</v>
      </c>
      <c r="M312" s="12" t="n">
        <v>4.981379636529143</v>
      </c>
      <c r="N312" s="12" t="n">
        <v>15.53393171045023</v>
      </c>
      <c r="O312" s="12" t="n">
        <v>182.6537451313566</v>
      </c>
      <c r="P312" s="5" t="inlineStr">
        <is>
          <t>Normal</t>
        </is>
      </c>
      <c r="Q312" s="5" t="inlineStr">
        <is>
          <t>Turn Right</t>
        </is>
      </c>
      <c r="R312" s="12" t="n">
        <v>0.79</v>
      </c>
      <c r="S312" s="5" t="inlineStr">
        <is>
          <t>ACCEPTED</t>
        </is>
      </c>
      <c r="T312" s="5" t="inlineStr">
        <is>
          <t>Normal operation</t>
        </is>
      </c>
    </row>
    <row r="313" s="17">
      <c r="A313" s="7" t="n">
        <v>4890</v>
      </c>
      <c r="B313" s="8" t="n">
        <v>68306.53116499999</v>
      </c>
      <c r="C313" s="9" t="n">
        <v>68.306531165</v>
      </c>
      <c r="D313" s="9" t="n">
        <v>157.3075355</v>
      </c>
      <c r="E313" s="9" t="n">
        <v>31.42260828</v>
      </c>
      <c r="F313" s="10" t="n">
        <v>0.1046166372573624</v>
      </c>
      <c r="G313" s="10" t="n">
        <v>0.1234589298994543</v>
      </c>
      <c r="H313" s="10" t="n">
        <v>0.8448892180381475</v>
      </c>
      <c r="I313" s="10" t="n">
        <v>1.624077</v>
      </c>
      <c r="J313" s="5" t="inlineStr">
        <is>
          <t>Cleaner sand</t>
        </is>
      </c>
      <c r="K313" s="11" t="n">
        <v>22.17758027255449</v>
      </c>
      <c r="L313" s="12" t="n">
        <v>1.557578603929848</v>
      </c>
      <c r="M313" s="12" t="n">
        <v>5.109746150730262</v>
      </c>
      <c r="N313" s="12" t="n">
        <v>15.14470105270963</v>
      </c>
      <c r="O313" s="12" t="n">
        <v>197.1977013500252</v>
      </c>
      <c r="P313" s="5" t="inlineStr">
        <is>
          <t>Normal</t>
        </is>
      </c>
      <c r="Q313" s="5" t="inlineStr">
        <is>
          <t>Turn Right</t>
        </is>
      </c>
      <c r="R313" s="12" t="n">
        <v>0.74</v>
      </c>
      <c r="S313" s="5" t="inlineStr">
        <is>
          <t>ACCEPTED</t>
        </is>
      </c>
      <c r="T313" s="5" t="inlineStr">
        <is>
          <t>Normal operation</t>
        </is>
      </c>
    </row>
    <row r="314" s="17">
      <c r="A314" s="7" t="n">
        <v>4895</v>
      </c>
      <c r="B314" s="8" t="n">
        <v>65319.221782</v>
      </c>
      <c r="C314" s="9" t="n">
        <v>65.319221782</v>
      </c>
      <c r="D314" s="9" t="n">
        <v>149.31388791</v>
      </c>
      <c r="E314" s="9" t="n">
        <v>50.27868458</v>
      </c>
      <c r="F314" s="10" t="n">
        <v>0.05780831629698954</v>
      </c>
      <c r="G314" s="10" t="n">
        <v>0.2598528080483451</v>
      </c>
      <c r="H314" s="10" t="n">
        <v>0.9519271857864864</v>
      </c>
      <c r="I314" s="10" t="n">
        <v>0.317677</v>
      </c>
      <c r="J314" s="5" t="inlineStr">
        <is>
          <t>Transition</t>
        </is>
      </c>
      <c r="K314" s="11" t="n">
        <v>21.35478896772434</v>
      </c>
      <c r="L314" s="12" t="n">
        <v>1.243244977437443</v>
      </c>
      <c r="M314" s="12" t="n">
        <v>5.566248472670752</v>
      </c>
      <c r="N314" s="12" t="n">
        <v>15.26165155277327</v>
      </c>
      <c r="O314" s="12" t="n">
        <v>205.627606885269</v>
      </c>
      <c r="P314" s="5" t="inlineStr">
        <is>
          <t>Normal</t>
        </is>
      </c>
      <c r="Q314" s="5" t="inlineStr">
        <is>
          <t>Drop</t>
        </is>
      </c>
      <c r="R314" s="12" t="n">
        <v>0.92</v>
      </c>
      <c r="S314" s="5" t="inlineStr">
        <is>
          <t>ACCEPTED</t>
        </is>
      </c>
      <c r="T314" s="5" t="inlineStr">
        <is>
          <t>Normal operation</t>
        </is>
      </c>
    </row>
    <row r="315" s="17">
      <c r="A315" s="7" t="n">
        <v>4900</v>
      </c>
      <c r="B315" s="8" t="n">
        <v>36052.06148</v>
      </c>
      <c r="C315" s="9" t="n">
        <v>36.05206148</v>
      </c>
      <c r="D315" s="9" t="n">
        <v>135.39102853</v>
      </c>
      <c r="E315" s="9" t="n">
        <v>66.70267942</v>
      </c>
      <c r="F315" s="10" t="n">
        <v>0.06021276901382961</v>
      </c>
      <c r="G315" s="10" t="n">
        <v>0.1600277128564234</v>
      </c>
      <c r="H315" s="10" t="n">
        <v>0.9345761885953754</v>
      </c>
      <c r="I315" s="10" t="n">
        <v>0.400894</v>
      </c>
      <c r="J315" s="5" t="inlineStr">
        <is>
          <t>Cleaner sand</t>
        </is>
      </c>
      <c r="K315" s="11" t="n">
        <v>15.96001851670138</v>
      </c>
      <c r="L315" s="12" t="n">
        <v>1.375543509595686</v>
      </c>
      <c r="M315" s="12" t="n">
        <v>5.59399637353603</v>
      </c>
      <c r="N315" s="12" t="n">
        <v>14.35832174239295</v>
      </c>
      <c r="O315" s="12" t="n">
        <v>191.3687376506164</v>
      </c>
      <c r="P315" s="5" t="inlineStr">
        <is>
          <t>Normal</t>
        </is>
      </c>
      <c r="Q315" s="5" t="inlineStr">
        <is>
          <t>Turn Right</t>
        </is>
      </c>
      <c r="R315" s="12" t="n">
        <v>0.85</v>
      </c>
      <c r="S315" s="5" t="inlineStr">
        <is>
          <t>ACCEPTED</t>
        </is>
      </c>
      <c r="T315" s="5" t="inlineStr">
        <is>
          <t>Normal operation</t>
        </is>
      </c>
    </row>
    <row r="316" s="17">
      <c r="A316" s="7" t="n">
        <v>4905</v>
      </c>
      <c r="B316" s="8" t="n">
        <v>41122.951874</v>
      </c>
      <c r="C316" s="9" t="n">
        <v>41.122951874</v>
      </c>
      <c r="D316" s="9" t="n">
        <v>150.3041218</v>
      </c>
      <c r="E316" s="9" t="n">
        <v>61.76669516</v>
      </c>
      <c r="F316" s="10" t="n">
        <v>0.1523591966594601</v>
      </c>
      <c r="G316" s="10" t="n">
        <v>0.2382314903276445</v>
      </c>
      <c r="H316" s="10" t="n">
        <v>0.914876022275677</v>
      </c>
      <c r="I316" s="10" t="n">
        <v>1.299436</v>
      </c>
      <c r="J316" s="5" t="inlineStr">
        <is>
          <t>Cleaner sand</t>
        </is>
      </c>
      <c r="K316" s="11" t="n">
        <v>17.3846340990462</v>
      </c>
      <c r="L316" s="12" t="n">
        <v>1.948403418166099</v>
      </c>
      <c r="M316" s="12" t="n">
        <v>4.443959082286056</v>
      </c>
      <c r="N316" s="12" t="n">
        <v>17.70840114196502</v>
      </c>
      <c r="O316" s="12" t="n">
        <v>208.9666312145561</v>
      </c>
      <c r="P316" s="5" t="inlineStr">
        <is>
          <t>Normal</t>
        </is>
      </c>
      <c r="Q316" s="5" t="inlineStr">
        <is>
          <t>Drop</t>
        </is>
      </c>
      <c r="R316" s="12" t="n">
        <v>0.88</v>
      </c>
      <c r="S316" s="5" t="inlineStr">
        <is>
          <t>ACCEPTED</t>
        </is>
      </c>
      <c r="T316" s="5" t="inlineStr">
        <is>
          <t>Normal operation</t>
        </is>
      </c>
    </row>
    <row r="317" s="17">
      <c r="A317" s="7" t="n">
        <v>4910</v>
      </c>
      <c r="B317" s="8" t="n">
        <v>62499.246659</v>
      </c>
      <c r="C317" s="9" t="n">
        <v>62.49924665899999</v>
      </c>
      <c r="D317" s="9" t="n">
        <v>123.10358533</v>
      </c>
      <c r="E317" s="9" t="n">
        <v>33.42431766</v>
      </c>
      <c r="F317" s="10" t="n">
        <v>0.09841477797927255</v>
      </c>
      <c r="G317" s="10" t="n">
        <v>0.3283332199320335</v>
      </c>
      <c r="H317" s="10" t="n">
        <v>0.9170957110179508</v>
      </c>
      <c r="I317" s="10" t="n">
        <v>0.860584</v>
      </c>
      <c r="J317" s="5" t="inlineStr">
        <is>
          <t>Transition</t>
        </is>
      </c>
      <c r="K317" s="11" t="n">
        <v>20.03172204787652</v>
      </c>
      <c r="L317" s="12" t="n">
        <v>2.478253207132189</v>
      </c>
      <c r="M317" s="12" t="n">
        <v>5.068733685266511</v>
      </c>
      <c r="N317" s="12" t="n">
        <v>17.26549765197802</v>
      </c>
      <c r="O317" s="12" t="n">
        <v>208.9187590077621</v>
      </c>
      <c r="P317" s="5" t="inlineStr">
        <is>
          <t>Normal</t>
        </is>
      </c>
      <c r="Q317" s="5" t="inlineStr">
        <is>
          <t>Drop</t>
        </is>
      </c>
      <c r="R317" s="12" t="n">
        <v>0.7</v>
      </c>
      <c r="S317" s="5" t="inlineStr">
        <is>
          <t>ACCEPTED</t>
        </is>
      </c>
      <c r="T317" s="5" t="inlineStr">
        <is>
          <t>Normal operation</t>
        </is>
      </c>
    </row>
    <row r="318" s="17">
      <c r="A318" s="7" t="n">
        <v>4915</v>
      </c>
      <c r="B318" s="8" t="n">
        <v>46875.628851</v>
      </c>
      <c r="C318" s="9" t="n">
        <v>46.875628851</v>
      </c>
      <c r="D318" s="9" t="n">
        <v>129.33289366</v>
      </c>
      <c r="E318" s="9" t="n">
        <v>57.50879104</v>
      </c>
      <c r="F318" s="10" t="n">
        <v>0.04725192734850164</v>
      </c>
      <c r="G318" s="10" t="n">
        <v>0.1612406449689185</v>
      </c>
      <c r="H318" s="10" t="n">
        <v>0.9442063546422806</v>
      </c>
      <c r="I318" s="10" t="n">
        <v>0.270205</v>
      </c>
      <c r="J318" s="5" t="inlineStr">
        <is>
          <t>Cleaner sand</t>
        </is>
      </c>
      <c r="K318" s="11" t="n">
        <v>17.81914997193468</v>
      </c>
      <c r="L318" s="12" t="n">
        <v>1.853389049613261</v>
      </c>
      <c r="M318" s="12" t="n">
        <v>5.3406675345815</v>
      </c>
      <c r="N318" s="12" t="n">
        <v>16.07013024706264</v>
      </c>
      <c r="O318" s="12" t="n">
        <v>213.3682674907882</v>
      </c>
      <c r="P318" s="5" t="inlineStr">
        <is>
          <t>Normal</t>
        </is>
      </c>
      <c r="Q318" s="5" t="inlineStr">
        <is>
          <t>Drop</t>
        </is>
      </c>
      <c r="R318" s="12" t="n">
        <v>0.58</v>
      </c>
      <c r="S318" s="5" t="inlineStr">
        <is>
          <t>REDUCED</t>
        </is>
      </c>
      <c r="T318" s="5" t="inlineStr">
        <is>
          <t>Normal operation</t>
        </is>
      </c>
    </row>
    <row r="319" s="17">
      <c r="A319" s="7" t="n">
        <v>4920</v>
      </c>
      <c r="B319" s="8" t="n">
        <v>37962.77697</v>
      </c>
      <c r="C319" s="9" t="n">
        <v>37.96277697</v>
      </c>
      <c r="D319" s="9" t="n">
        <v>119.559833</v>
      </c>
      <c r="E319" s="9" t="n">
        <v>55.92872484</v>
      </c>
      <c r="F319" s="10" t="n">
        <v>0.1421842730043813</v>
      </c>
      <c r="G319" s="10" t="n">
        <v>0.151368586418069</v>
      </c>
      <c r="H319" s="10" t="n">
        <v>0.9159912079289946</v>
      </c>
      <c r="I319" s="10" t="n">
        <v>1.242731</v>
      </c>
      <c r="J319" s="5" t="inlineStr">
        <is>
          <t>Cleaner sand</t>
        </is>
      </c>
      <c r="K319" s="11" t="n">
        <v>15.18766402560694</v>
      </c>
      <c r="L319" s="12" t="n">
        <v>1.1</v>
      </c>
      <c r="M319" s="12" t="n">
        <v>6.111075771984838</v>
      </c>
      <c r="N319" s="12" t="n">
        <v>18.47884289802182</v>
      </c>
      <c r="O319" s="12" t="n">
        <v>200.7246362432162</v>
      </c>
      <c r="P319" s="5" t="inlineStr">
        <is>
          <t>Caution</t>
        </is>
      </c>
      <c r="Q319" s="5" t="inlineStr">
        <is>
          <t>Drop</t>
        </is>
      </c>
      <c r="R319" s="12" t="n">
        <v>0.79</v>
      </c>
      <c r="S319" s="5" t="inlineStr">
        <is>
          <t>ACCEPTED</t>
        </is>
      </c>
      <c r="T319" s="5" t="inlineStr">
        <is>
          <t>DLS exceeds normal range</t>
        </is>
      </c>
    </row>
    <row r="320" s="17">
      <c r="A320" s="7" t="n">
        <v>4925</v>
      </c>
      <c r="B320" s="8" t="n">
        <v>63862.021226</v>
      </c>
      <c r="C320" s="9" t="n">
        <v>63.862021226</v>
      </c>
      <c r="D320" s="9" t="n">
        <v>105.68331517</v>
      </c>
      <c r="E320" s="9" t="n">
        <v>34.01194606</v>
      </c>
      <c r="F320" s="10" t="n">
        <v>0.08209992393874865</v>
      </c>
      <c r="G320" s="10" t="n">
        <v>0.1931380187013056</v>
      </c>
      <c r="H320" s="10" t="n">
        <v>0.8848424273943649</v>
      </c>
      <c r="I320" s="10" t="n">
        <v>0.978734</v>
      </c>
      <c r="J320" s="5" t="inlineStr">
        <is>
          <t>Cleaner sand</t>
        </is>
      </c>
      <c r="K320" s="11" t="n">
        <v>20.58552827421833</v>
      </c>
      <c r="L320" s="12" t="n">
        <v>1.877855307427869</v>
      </c>
      <c r="M320" s="12" t="n">
        <v>5.481468471552747</v>
      </c>
      <c r="N320" s="12" t="n">
        <v>16.91717175092969</v>
      </c>
      <c r="O320" s="12" t="n">
        <v>204.6862405066107</v>
      </c>
      <c r="P320" s="5" t="inlineStr">
        <is>
          <t>Normal</t>
        </is>
      </c>
      <c r="Q320" s="5" t="inlineStr">
        <is>
          <t>Drop</t>
        </is>
      </c>
      <c r="R320" s="12" t="n">
        <v>0.64</v>
      </c>
      <c r="S320" s="5" t="inlineStr">
        <is>
          <t>REDUCED</t>
        </is>
      </c>
      <c r="T320" s="5" t="inlineStr">
        <is>
          <t>Normal operation</t>
        </is>
      </c>
    </row>
    <row r="321" s="17">
      <c r="A321" s="7" t="n">
        <v>4930</v>
      </c>
      <c r="B321" s="8" t="n">
        <v>36851.447092</v>
      </c>
      <c r="C321" s="9" t="n">
        <v>36.851447092</v>
      </c>
      <c r="D321" s="9" t="n">
        <v>119.71367875</v>
      </c>
      <c r="E321" s="9" t="n">
        <v>58.1662654</v>
      </c>
      <c r="F321" s="10" t="n">
        <v>0.03641655555023868</v>
      </c>
      <c r="G321" s="10" t="n">
        <v>0.2481038682585254</v>
      </c>
      <c r="H321" s="10" t="n">
        <v>0.9291615762053126</v>
      </c>
      <c r="I321" s="10" t="n">
        <v>0.256172</v>
      </c>
      <c r="J321" s="5" t="inlineStr">
        <is>
          <t>Cleaner sand</t>
        </is>
      </c>
      <c r="K321" s="11" t="n">
        <v>15.16339012862754</v>
      </c>
      <c r="L321" s="12" t="n">
        <v>2.246349428456369</v>
      </c>
      <c r="M321" s="12" t="n">
        <v>5.520426435089029</v>
      </c>
      <c r="N321" s="12" t="n">
        <v>16.93495255316125</v>
      </c>
      <c r="O321" s="12" t="n">
        <v>214.2898003031815</v>
      </c>
      <c r="P321" s="5" t="inlineStr">
        <is>
          <t>Normal</t>
        </is>
      </c>
      <c r="Q321" s="5" t="inlineStr">
        <is>
          <t>Drop</t>
        </is>
      </c>
      <c r="R321" s="12" t="n">
        <v>0.5600000000000001</v>
      </c>
      <c r="S321" s="5" t="inlineStr">
        <is>
          <t>REDUCED</t>
        </is>
      </c>
      <c r="T321" s="5" t="inlineStr">
        <is>
          <t>Normal operation</t>
        </is>
      </c>
    </row>
    <row r="322" s="17">
      <c r="A322" s="7" t="n">
        <v>4935</v>
      </c>
      <c r="B322" s="8" t="n">
        <v>61012.706591</v>
      </c>
      <c r="C322" s="9" t="n">
        <v>61.012706591</v>
      </c>
      <c r="D322" s="9" t="n">
        <v>118.79060425</v>
      </c>
      <c r="E322" s="9" t="n">
        <v>61.79866696000001</v>
      </c>
      <c r="F322" s="10" t="n">
        <v>0.08860151354652515</v>
      </c>
      <c r="G322" s="10" t="n">
        <v>0.1800851323632542</v>
      </c>
      <c r="H322" s="10" t="n">
        <v>0.8961859877372806</v>
      </c>
      <c r="I322" s="10" t="n">
        <v>0.936582</v>
      </c>
      <c r="J322" s="5" t="inlineStr">
        <is>
          <t>Cleaner sand</t>
        </is>
      </c>
      <c r="K322" s="11" t="n">
        <v>19.83430730345001</v>
      </c>
      <c r="L322" s="12" t="n">
        <v>1.361206376883503</v>
      </c>
      <c r="M322" s="12" t="n">
        <v>4.92743465959408</v>
      </c>
      <c r="N322" s="12" t="n">
        <v>16.91550013412684</v>
      </c>
      <c r="O322" s="12" t="n">
        <v>206.1490113748234</v>
      </c>
      <c r="P322" s="5" t="inlineStr">
        <is>
          <t>Normal</t>
        </is>
      </c>
      <c r="Q322" s="5" t="inlineStr">
        <is>
          <t>Drop</t>
        </is>
      </c>
      <c r="R322" s="12" t="n">
        <v>0.48</v>
      </c>
      <c r="S322" s="5" t="inlineStr">
        <is>
          <t>REJECTED</t>
        </is>
      </c>
      <c r="T322" s="5" t="inlineStr">
        <is>
          <t>Normal operation</t>
        </is>
      </c>
    </row>
    <row r="323" s="17">
      <c r="A323" s="7" t="n">
        <v>4940</v>
      </c>
      <c r="B323" s="8" t="n">
        <v>67548.11270500001</v>
      </c>
      <c r="C323" s="9" t="n">
        <v>67.54811270500001</v>
      </c>
      <c r="D323" s="9" t="n">
        <v>123.14301492</v>
      </c>
      <c r="E323" s="9" t="n">
        <v>51.13247022</v>
      </c>
      <c r="F323" s="10" t="n">
        <v>0.08716673758513779</v>
      </c>
      <c r="G323" s="10" t="n">
        <v>0.3493261447129219</v>
      </c>
      <c r="H323" s="10" t="n">
        <v>0.9083829395360044</v>
      </c>
      <c r="I323" s="10" t="n">
        <v>0.840795</v>
      </c>
      <c r="J323" s="5" t="inlineStr">
        <is>
          <t>Transition</t>
        </is>
      </c>
      <c r="K323" s="11" t="n">
        <v>21.53447088895581</v>
      </c>
      <c r="L323" s="12" t="n">
        <v>1.59433158833027</v>
      </c>
      <c r="M323" s="12" t="n">
        <v>5.959809286884775</v>
      </c>
      <c r="N323" s="12" t="n">
        <v>15.48999842423808</v>
      </c>
      <c r="O323" s="12" t="n">
        <v>198.3769057601048</v>
      </c>
      <c r="P323" s="5" t="inlineStr">
        <is>
          <t>Normal</t>
        </is>
      </c>
      <c r="Q323" s="5" t="inlineStr">
        <is>
          <t>Turn Right</t>
        </is>
      </c>
      <c r="R323" s="12" t="n">
        <v>0.6899999999999999</v>
      </c>
      <c r="S323" s="5" t="inlineStr">
        <is>
          <t>REDUCED</t>
        </is>
      </c>
      <c r="T323" s="5" t="inlineStr">
        <is>
          <t>Normal operation</t>
        </is>
      </c>
    </row>
    <row r="324" s="17">
      <c r="A324" s="7" t="n">
        <v>4945</v>
      </c>
      <c r="B324" s="8" t="n">
        <v>44651.500273</v>
      </c>
      <c r="C324" s="9" t="n">
        <v>44.651500273</v>
      </c>
      <c r="D324" s="9" t="n">
        <v>132.20664348</v>
      </c>
      <c r="E324" s="9" t="n">
        <v>44.38019088</v>
      </c>
      <c r="F324" s="10" t="n">
        <v>0.04485287821461565</v>
      </c>
      <c r="G324" s="10" t="n">
        <v>0.1068296294986634</v>
      </c>
      <c r="H324" s="10" t="n">
        <v>0.9388466665026417</v>
      </c>
      <c r="I324" s="10" t="n">
        <v>0.313694</v>
      </c>
      <c r="J324" s="5" t="inlineStr">
        <is>
          <t>Cleaner sand</t>
        </is>
      </c>
      <c r="K324" s="11" t="n">
        <v>15.90991097086401</v>
      </c>
      <c r="L324" s="12" t="n">
        <v>1.667197215417306</v>
      </c>
      <c r="M324" s="12" t="n">
        <v>5.130199085432989</v>
      </c>
      <c r="N324" s="12" t="n">
        <v>18.29466599419764</v>
      </c>
      <c r="O324" s="12" t="n">
        <v>200.7999607388158</v>
      </c>
      <c r="P324" s="5" t="inlineStr">
        <is>
          <t>Normal</t>
        </is>
      </c>
      <c r="Q324" s="5" t="inlineStr">
        <is>
          <t>Drop</t>
        </is>
      </c>
      <c r="R324" s="12" t="n">
        <v>0.73</v>
      </c>
      <c r="S324" s="5" t="inlineStr">
        <is>
          <t>ACCEPTED</t>
        </is>
      </c>
      <c r="T324" s="5" t="inlineStr">
        <is>
          <t>Normal operation</t>
        </is>
      </c>
    </row>
    <row r="325" s="17">
      <c r="A325" s="7" t="n">
        <v>4950</v>
      </c>
      <c r="B325" s="8" t="n">
        <v>51939.978936</v>
      </c>
      <c r="C325" s="9" t="n">
        <v>51.939978936</v>
      </c>
      <c r="D325" s="9" t="n">
        <v>137.572592</v>
      </c>
      <c r="E325" s="9" t="n">
        <v>42.95303172</v>
      </c>
      <c r="F325" s="10" t="n">
        <v>0.06714128075666415</v>
      </c>
      <c r="G325" s="10" t="n">
        <v>0.0432627091022732</v>
      </c>
      <c r="H325" s="10" t="n">
        <v>0.9527984384501389</v>
      </c>
      <c r="I325" s="10" t="n">
        <v>0.297495</v>
      </c>
      <c r="J325" s="5" t="inlineStr">
        <is>
          <t>Cleaner sand</t>
        </is>
      </c>
      <c r="K325" s="11" t="n">
        <v>20.16102778324446</v>
      </c>
      <c r="L325" s="12" t="n">
        <v>1.275399826589702</v>
      </c>
      <c r="M325" s="12" t="n">
        <v>4.084345594096353</v>
      </c>
      <c r="N325" s="12" t="n">
        <v>15.19044591421551</v>
      </c>
      <c r="O325" s="12" t="n">
        <v>209.7434480817115</v>
      </c>
      <c r="P325" s="5" t="inlineStr">
        <is>
          <t>Normal</t>
        </is>
      </c>
      <c r="Q325" s="5" t="inlineStr">
        <is>
          <t>Turn Right</t>
        </is>
      </c>
      <c r="R325" s="12" t="n">
        <v>0.71</v>
      </c>
      <c r="S325" s="5" t="inlineStr">
        <is>
          <t>ACCEPTED</t>
        </is>
      </c>
      <c r="T325" s="5" t="inlineStr">
        <is>
          <t>Normal operation</t>
        </is>
      </c>
    </row>
    <row r="326" s="17">
      <c r="A326" s="7" t="n">
        <v>4955</v>
      </c>
      <c r="B326" s="8" t="n">
        <v>56879.36678</v>
      </c>
      <c r="C326" s="9" t="n">
        <v>56.87936678</v>
      </c>
      <c r="D326" s="9" t="n">
        <v>124.54761125</v>
      </c>
      <c r="E326" s="9" t="n">
        <v>30</v>
      </c>
      <c r="F326" s="10" t="n">
        <v>0.06867311330648468</v>
      </c>
      <c r="G326" s="10" t="n">
        <v>0.3617538454061443</v>
      </c>
      <c r="H326" s="10" t="n">
        <v>0.8833850988461202</v>
      </c>
      <c r="I326" s="10" t="n">
        <v>0.850534</v>
      </c>
      <c r="J326" s="5" t="inlineStr">
        <is>
          <t>Transition</t>
        </is>
      </c>
      <c r="K326" s="11" t="n">
        <v>17.97108337431045</v>
      </c>
      <c r="L326" s="12" t="n">
        <v>1.977657412583491</v>
      </c>
      <c r="M326" s="12" t="n">
        <v>5.866621106649312</v>
      </c>
      <c r="N326" s="12" t="n">
        <v>15.86323063181126</v>
      </c>
      <c r="O326" s="12" t="n">
        <v>196.6950397791062</v>
      </c>
      <c r="P326" s="5" t="inlineStr">
        <is>
          <t>Normal</t>
        </is>
      </c>
      <c r="Q326" s="5" t="inlineStr">
        <is>
          <t>Turn Right</t>
        </is>
      </c>
      <c r="R326" s="12" t="n">
        <v>0.46</v>
      </c>
      <c r="S326" s="5" t="inlineStr">
        <is>
          <t>REJECTED</t>
        </is>
      </c>
      <c r="T326" s="5" t="inlineStr">
        <is>
          <t>Normal operation</t>
        </is>
      </c>
    </row>
    <row r="327" s="17">
      <c r="A327" s="7" t="n">
        <v>4960</v>
      </c>
      <c r="B327" s="8" t="n">
        <v>32043.515114</v>
      </c>
      <c r="C327" s="9" t="n">
        <v>32.043515114</v>
      </c>
      <c r="D327" s="9" t="n">
        <v>149.33734213</v>
      </c>
      <c r="E327" s="9" t="n">
        <v>55.37619982</v>
      </c>
      <c r="F327" s="10" t="n">
        <v>0.06544305837208597</v>
      </c>
      <c r="G327" s="10" t="n">
        <v>0.1563919574505175</v>
      </c>
      <c r="H327" s="10" t="n">
        <v>0.9668209481804363</v>
      </c>
      <c r="I327" s="10" t="n">
        <v>0.23651</v>
      </c>
      <c r="J327" s="5" t="inlineStr">
        <is>
          <t>Cleaner sand</t>
        </is>
      </c>
      <c r="K327" s="11" t="n">
        <v>13.19506189869907</v>
      </c>
      <c r="L327" s="12" t="n">
        <v>1.600735407182187</v>
      </c>
      <c r="M327" s="12" t="n">
        <v>5.27284103859067</v>
      </c>
      <c r="N327" s="12" t="n">
        <v>14.65121655705604</v>
      </c>
      <c r="O327" s="12" t="n">
        <v>210.5744423333516</v>
      </c>
      <c r="P327" s="5" t="inlineStr">
        <is>
          <t>Normal</t>
        </is>
      </c>
      <c r="Q327" s="5" t="inlineStr">
        <is>
          <t>Turn Right</t>
        </is>
      </c>
      <c r="R327" s="12" t="n">
        <v>0.71</v>
      </c>
      <c r="S327" s="5" t="inlineStr">
        <is>
          <t>ACCEPTED</t>
        </is>
      </c>
      <c r="T327" s="5" t="inlineStr">
        <is>
          <t>Normal operation</t>
        </is>
      </c>
    </row>
    <row r="328" s="17">
      <c r="A328" s="7" t="n">
        <v>4965</v>
      </c>
      <c r="B328" s="8" t="n">
        <v>64938.935003</v>
      </c>
      <c r="C328" s="9" t="n">
        <v>64.938935003</v>
      </c>
      <c r="D328" s="9" t="n">
        <v>123.95512241</v>
      </c>
      <c r="E328" s="9" t="n">
        <v>54.3399445</v>
      </c>
      <c r="F328" s="10" t="n">
        <v>0.1041370914959838</v>
      </c>
      <c r="G328" s="10" t="n">
        <v>0.146159974196058</v>
      </c>
      <c r="H328" s="10" t="n">
        <v>0.9731074604106749</v>
      </c>
      <c r="I328" s="10" t="n">
        <v>0.305697</v>
      </c>
      <c r="J328" s="5" t="inlineStr">
        <is>
          <t>Cleaner sand</t>
        </is>
      </c>
      <c r="K328" s="11" t="n">
        <v>21.61754052914701</v>
      </c>
      <c r="L328" s="12" t="n">
        <v>1.865570897514444</v>
      </c>
      <c r="M328" s="12" t="n">
        <v>4.330562530020563</v>
      </c>
      <c r="N328" s="12" t="n">
        <v>17.12686372463135</v>
      </c>
      <c r="O328" s="12" t="n">
        <v>225.5353949527988</v>
      </c>
      <c r="P328" s="5" t="inlineStr">
        <is>
          <t>Normal</t>
        </is>
      </c>
      <c r="Q328" s="5" t="inlineStr">
        <is>
          <t>Drop</t>
        </is>
      </c>
      <c r="R328" s="12" t="n">
        <v>0.49</v>
      </c>
      <c r="S328" s="5" t="inlineStr">
        <is>
          <t>REJECTED</t>
        </is>
      </c>
      <c r="T328" s="5" t="inlineStr">
        <is>
          <t>Normal operation</t>
        </is>
      </c>
    </row>
    <row r="329" s="17">
      <c r="A329" s="7" t="n">
        <v>4970</v>
      </c>
      <c r="B329" s="8" t="n">
        <v>70499.838063</v>
      </c>
      <c r="C329" s="9" t="n">
        <v>70.499838063</v>
      </c>
      <c r="D329" s="9" t="n">
        <v>118.82710377</v>
      </c>
      <c r="E329" s="9" t="n">
        <v>49.85142768</v>
      </c>
      <c r="F329" s="10" t="n">
        <v>0.06613283160415741</v>
      </c>
      <c r="G329" s="10" t="n">
        <v>0.3372783730748012</v>
      </c>
      <c r="H329" s="10" t="n">
        <v>0.9131019903634759</v>
      </c>
      <c r="I329" s="10" t="n">
        <v>0.586318</v>
      </c>
      <c r="J329" s="5" t="inlineStr">
        <is>
          <t>Transition</t>
        </is>
      </c>
      <c r="K329" s="11" t="n">
        <v>22.27386268754251</v>
      </c>
      <c r="L329" s="12" t="n">
        <v>1.225128832876971</v>
      </c>
      <c r="M329" s="12" t="n">
        <v>4.271770697953881</v>
      </c>
      <c r="N329" s="12" t="n">
        <v>16.93261108330747</v>
      </c>
      <c r="O329" s="12" t="n">
        <v>195.3692228320379</v>
      </c>
      <c r="P329" s="5" t="inlineStr">
        <is>
          <t>Normal</t>
        </is>
      </c>
      <c r="Q329" s="5" t="inlineStr">
        <is>
          <t>Drop</t>
        </is>
      </c>
      <c r="R329" s="12" t="n">
        <v>0.77</v>
      </c>
      <c r="S329" s="5" t="inlineStr">
        <is>
          <t>ACCEPTED</t>
        </is>
      </c>
      <c r="T329" s="5" t="inlineStr">
        <is>
          <t>WOB outside preferred band</t>
        </is>
      </c>
    </row>
    <row r="330" s="17">
      <c r="A330" s="7" t="n">
        <v>4975</v>
      </c>
      <c r="B330" s="8" t="n">
        <v>57886.499828</v>
      </c>
      <c r="C330" s="9" t="n">
        <v>57.886499828</v>
      </c>
      <c r="D330" s="9" t="n">
        <v>144.97306775</v>
      </c>
      <c r="E330" s="9" t="n">
        <v>47.17170212000001</v>
      </c>
      <c r="F330" s="10" t="n">
        <v>0.064681281158943</v>
      </c>
      <c r="G330" s="10" t="n">
        <v>0.05141325479884641</v>
      </c>
      <c r="H330" s="10" t="n">
        <v>0.9232010618020244</v>
      </c>
      <c r="I330" s="10" t="n">
        <v>0.51012</v>
      </c>
      <c r="J330" s="5" t="inlineStr">
        <is>
          <t>Cleaner sand</t>
        </is>
      </c>
      <c r="K330" s="11" t="n">
        <v>19.7864541215741</v>
      </c>
      <c r="L330" s="12" t="n">
        <v>1.445645432841529</v>
      </c>
      <c r="M330" s="12" t="n">
        <v>4.862882801198947</v>
      </c>
      <c r="N330" s="12" t="n">
        <v>16.59259596092001</v>
      </c>
      <c r="O330" s="12" t="n">
        <v>235.479355809048</v>
      </c>
      <c r="P330" s="5" t="inlineStr">
        <is>
          <t>Normal</t>
        </is>
      </c>
      <c r="Q330" s="5" t="inlineStr">
        <is>
          <t>Drop</t>
        </is>
      </c>
      <c r="R330" s="12" t="n">
        <v>0.64</v>
      </c>
      <c r="S330" s="5" t="inlineStr">
        <is>
          <t>REDUCED</t>
        </is>
      </c>
      <c r="T330" s="5" t="inlineStr">
        <is>
          <t>Normal operation</t>
        </is>
      </c>
    </row>
    <row r="331" s="17">
      <c r="A331" s="7" t="n">
        <v>4980</v>
      </c>
      <c r="B331" s="8" t="n">
        <v>38457.391326</v>
      </c>
      <c r="C331" s="9" t="n">
        <v>38.457391326</v>
      </c>
      <c r="D331" s="9" t="n">
        <v>119.47755199</v>
      </c>
      <c r="E331" s="9" t="n">
        <v>60.92958832</v>
      </c>
      <c r="F331" s="10" t="n">
        <v>0.1265900757185385</v>
      </c>
      <c r="G331" s="10" t="n">
        <v>0.2276683630649493</v>
      </c>
      <c r="H331" s="10" t="n">
        <v>0.9129906517488054</v>
      </c>
      <c r="I331" s="10" t="n">
        <v>1.130088</v>
      </c>
      <c r="J331" s="5" t="inlineStr">
        <is>
          <t>Cleaner sand</t>
        </is>
      </c>
      <c r="K331" s="11" t="n">
        <v>16.21724656851756</v>
      </c>
      <c r="L331" s="12" t="n">
        <v>2.013966865335608</v>
      </c>
      <c r="M331" s="12" t="n">
        <v>4.966319439767513</v>
      </c>
      <c r="N331" s="12" t="n">
        <v>15.55122339139192</v>
      </c>
      <c r="O331" s="12" t="n">
        <v>234.3435606300182</v>
      </c>
      <c r="P331" s="5" t="inlineStr">
        <is>
          <t>Normal</t>
        </is>
      </c>
      <c r="Q331" s="5" t="inlineStr">
        <is>
          <t>Drop</t>
        </is>
      </c>
      <c r="R331" s="12" t="n">
        <v>0.87</v>
      </c>
      <c r="S331" s="5" t="inlineStr">
        <is>
          <t>ACCEPTED</t>
        </is>
      </c>
      <c r="T331" s="5" t="inlineStr">
        <is>
          <t>Normal operation</t>
        </is>
      </c>
    </row>
    <row r="332" s="17">
      <c r="A332" s="7" t="n">
        <v>4985</v>
      </c>
      <c r="B332" s="8" t="n">
        <v>74591.01209400001</v>
      </c>
      <c r="C332" s="9" t="n">
        <v>74.59101209400001</v>
      </c>
      <c r="D332" s="9" t="n">
        <v>147.3792426</v>
      </c>
      <c r="E332" s="9" t="n">
        <v>42.81272561999999</v>
      </c>
      <c r="F332" s="10" t="n">
        <v>0.0908838079058267</v>
      </c>
      <c r="G332" s="10" t="n">
        <v>0.2695394590456212</v>
      </c>
      <c r="H332" s="10" t="n">
        <v>0.9313651096131021</v>
      </c>
      <c r="I332" s="10" t="n">
        <v>0.633918</v>
      </c>
      <c r="J332" s="5" t="inlineStr">
        <is>
          <t>Transition</t>
        </is>
      </c>
      <c r="K332" s="11" t="n">
        <v>22.2224086045219</v>
      </c>
      <c r="L332" s="12" t="n">
        <v>1.477311755475034</v>
      </c>
      <c r="M332" s="12" t="n">
        <v>4.723648583952832</v>
      </c>
      <c r="N332" s="12" t="n">
        <v>15.27194387139742</v>
      </c>
      <c r="O332" s="12" t="n">
        <v>221.6311491022465</v>
      </c>
      <c r="P332" s="5" t="inlineStr">
        <is>
          <t>Normal</t>
        </is>
      </c>
      <c r="Q332" s="5" t="inlineStr">
        <is>
          <t>Drop</t>
        </is>
      </c>
      <c r="R332" s="12" t="n">
        <v>0.83</v>
      </c>
      <c r="S332" s="5" t="inlineStr">
        <is>
          <t>ACCEPTED</t>
        </is>
      </c>
      <c r="T332" s="5" t="inlineStr">
        <is>
          <t>WOB outside preferred band</t>
        </is>
      </c>
    </row>
    <row r="333" s="17">
      <c r="A333" s="7" t="n">
        <v>4990</v>
      </c>
      <c r="B333" s="8" t="n">
        <v>49746.220596</v>
      </c>
      <c r="C333" s="9" t="n">
        <v>49.746220596</v>
      </c>
      <c r="D333" s="9" t="n">
        <v>136.96553477</v>
      </c>
      <c r="E333" s="9" t="n">
        <v>49.43326130000001</v>
      </c>
      <c r="F333" s="10" t="n">
        <v>0.04278359605678528</v>
      </c>
      <c r="G333" s="10" t="n">
        <v>0.1663246335914943</v>
      </c>
      <c r="H333" s="10" t="n">
        <v>0.9937473744747287</v>
      </c>
      <c r="I333" s="10" t="n">
        <v>0.038086</v>
      </c>
      <c r="J333" s="5" t="inlineStr">
        <is>
          <t>Cleaner sand</t>
        </is>
      </c>
      <c r="K333" s="11" t="n">
        <v>16.7679065331138</v>
      </c>
      <c r="L333" s="12" t="n">
        <v>2.506212287104368</v>
      </c>
      <c r="M333" s="12" t="n">
        <v>4.78480079874768</v>
      </c>
      <c r="N333" s="12" t="n">
        <v>17.28880192987698</v>
      </c>
      <c r="O333" s="12" t="n">
        <v>234.8861911558132</v>
      </c>
      <c r="P333" s="5" t="inlineStr">
        <is>
          <t>Normal</t>
        </is>
      </c>
      <c r="Q333" s="5" t="inlineStr">
        <is>
          <t>Drop</t>
        </is>
      </c>
      <c r="R333" s="12" t="n">
        <v>0.8</v>
      </c>
      <c r="S333" s="5" t="inlineStr">
        <is>
          <t>ACCEPTED</t>
        </is>
      </c>
      <c r="T333" s="5" t="inlineStr">
        <is>
          <t>High vibration detected</t>
        </is>
      </c>
    </row>
    <row r="334" s="17">
      <c r="A334" s="7" t="n">
        <v>4995</v>
      </c>
      <c r="B334" s="8" t="n">
        <v>41481.05978</v>
      </c>
      <c r="C334" s="9" t="n">
        <v>41.48105978</v>
      </c>
      <c r="D334" s="9" t="n">
        <v>135.47733241</v>
      </c>
      <c r="E334" s="9" t="n">
        <v>48.14502408</v>
      </c>
      <c r="F334" s="10" t="n">
        <v>0.1499665945642943</v>
      </c>
      <c r="G334" s="10" t="n">
        <v>0.3333758573431239</v>
      </c>
      <c r="H334" s="10" t="n">
        <v>0.8673573846558945</v>
      </c>
      <c r="I334" s="10" t="n">
        <v>2.017683</v>
      </c>
      <c r="J334" s="5" t="inlineStr">
        <is>
          <t>Transition</t>
        </is>
      </c>
      <c r="K334" s="11" t="n">
        <v>16.22082363876958</v>
      </c>
      <c r="L334" s="12" t="n">
        <v>1.464178269048845</v>
      </c>
      <c r="M334" s="12" t="n">
        <v>5.865556766992957</v>
      </c>
      <c r="N334" s="12" t="n">
        <v>15.85867695244679</v>
      </c>
      <c r="O334" s="12" t="n">
        <v>232.8122379871995</v>
      </c>
      <c r="P334" s="5" t="inlineStr">
        <is>
          <t>Normal</t>
        </is>
      </c>
      <c r="Q334" s="5" t="inlineStr">
        <is>
          <t>Drop</t>
        </is>
      </c>
      <c r="R334" s="12" t="n">
        <v>0.79</v>
      </c>
      <c r="S334" s="5" t="inlineStr">
        <is>
          <t>ACCEPTED</t>
        </is>
      </c>
      <c r="T334" s="5" t="inlineStr">
        <is>
          <t>Normal operation</t>
        </is>
      </c>
    </row>
    <row r="335" s="17">
      <c r="A335" s="7" t="n">
        <v>5000</v>
      </c>
      <c r="B335" s="8" t="n">
        <v>69662.094226</v>
      </c>
      <c r="C335" s="9" t="n">
        <v>69.66209422600001</v>
      </c>
      <c r="D335" s="9" t="n">
        <v>100.33507684</v>
      </c>
      <c r="E335" s="9" t="n">
        <v>50.267517</v>
      </c>
      <c r="F335" s="10" t="n">
        <v>0.06585614248031488</v>
      </c>
      <c r="G335" s="10" t="n">
        <v>0.1873629165188469</v>
      </c>
      <c r="H335" s="10" t="n">
        <v>0.8947901348872068</v>
      </c>
      <c r="I335" s="10" t="n">
        <v>0.738985</v>
      </c>
      <c r="J335" s="5" t="inlineStr">
        <is>
          <t>Cleaner sand</t>
        </is>
      </c>
      <c r="K335" s="11" t="n">
        <v>20.65095907262527</v>
      </c>
      <c r="L335" s="12" t="n">
        <v>1.770095515618424</v>
      </c>
      <c r="M335" s="12" t="n">
        <v>5.332562320178424</v>
      </c>
      <c r="N335" s="12" t="n">
        <v>16.87493363806619</v>
      </c>
      <c r="O335" s="12" t="n">
        <v>248.5043018048281</v>
      </c>
      <c r="P335" s="5" t="inlineStr">
        <is>
          <t>Normal</t>
        </is>
      </c>
      <c r="Q335" s="5" t="inlineStr">
        <is>
          <t>Drop</t>
        </is>
      </c>
      <c r="R335" s="12" t="n">
        <v>0.71</v>
      </c>
      <c r="S335" s="5" t="inlineStr">
        <is>
          <t>ACCEPTED</t>
        </is>
      </c>
      <c r="T335" s="5" t="inlineStr">
        <is>
          <t>Normal operation</t>
        </is>
      </c>
    </row>
    <row r="336" s="17">
      <c r="A336" s="7" t="n">
        <v>5005</v>
      </c>
      <c r="B336" s="8" t="n">
        <v>37759.360351</v>
      </c>
      <c r="C336" s="9" t="n">
        <v>37.75936035100001</v>
      </c>
      <c r="D336" s="9" t="n">
        <v>139.23411927</v>
      </c>
      <c r="E336" s="9" t="n">
        <v>67.00089538</v>
      </c>
      <c r="F336" s="10" t="n">
        <v>0.07112438659678581</v>
      </c>
      <c r="G336" s="10" t="n">
        <v>0.1993728610303609</v>
      </c>
      <c r="H336" s="10" t="n">
        <v>0.9918741100529818</v>
      </c>
      <c r="I336" s="10" t="n">
        <v>0.054333</v>
      </c>
      <c r="J336" s="5" t="inlineStr">
        <is>
          <t>Cleaner sand</t>
        </is>
      </c>
      <c r="K336" s="11" t="n">
        <v>16.43563780010935</v>
      </c>
      <c r="L336" s="12" t="n">
        <v>2.116969507617814</v>
      </c>
      <c r="M336" s="12" t="n">
        <v>4.597475137760632</v>
      </c>
      <c r="N336" s="12" t="n">
        <v>15.2021178845091</v>
      </c>
      <c r="O336" s="12" t="n">
        <v>249.5399147945988</v>
      </c>
      <c r="P336" s="5" t="inlineStr">
        <is>
          <t>Normal</t>
        </is>
      </c>
      <c r="Q336" s="5" t="inlineStr">
        <is>
          <t>Drop</t>
        </is>
      </c>
      <c r="R336" s="12" t="n">
        <v>0.43</v>
      </c>
      <c r="S336" s="5" t="inlineStr">
        <is>
          <t>REJECTED</t>
        </is>
      </c>
      <c r="T336" s="5" t="inlineStr">
        <is>
          <t>Normal operation</t>
        </is>
      </c>
    </row>
    <row r="337" s="17">
      <c r="A337" s="7" t="n">
        <v>5010</v>
      </c>
      <c r="B337" s="8" t="n">
        <v>68635.210674</v>
      </c>
      <c r="C337" s="9" t="n">
        <v>68.63521067400001</v>
      </c>
      <c r="D337" s="9" t="n">
        <v>125.36304495</v>
      </c>
      <c r="E337" s="9" t="n">
        <v>45.6655786</v>
      </c>
      <c r="F337" s="10" t="n">
        <v>0.1227631353285149</v>
      </c>
      <c r="G337" s="10" t="n">
        <v>0.1114525339267364</v>
      </c>
      <c r="H337" s="10" t="n">
        <v>0.9406309241526808</v>
      </c>
      <c r="I337" s="10" t="n">
        <v>0.739537</v>
      </c>
      <c r="J337" s="5" t="inlineStr">
        <is>
          <t>Cleaner sand</t>
        </is>
      </c>
      <c r="K337" s="11" t="n">
        <v>20.9921973090953</v>
      </c>
      <c r="L337" s="12" t="n">
        <v>1.1</v>
      </c>
      <c r="M337" s="12" t="n">
        <v>5.167557949117727</v>
      </c>
      <c r="N337" s="12" t="n">
        <v>16.47759609847438</v>
      </c>
      <c r="O337" s="12" t="n">
        <v>229.2957463196622</v>
      </c>
      <c r="P337" s="5" t="inlineStr">
        <is>
          <t>Normal</t>
        </is>
      </c>
      <c r="Q337" s="5" t="inlineStr">
        <is>
          <t>Drop</t>
        </is>
      </c>
      <c r="R337" s="12" t="n">
        <v>0.76</v>
      </c>
      <c r="S337" s="5" t="inlineStr">
        <is>
          <t>ACCEPTED</t>
        </is>
      </c>
      <c r="T337" s="5" t="inlineStr">
        <is>
          <t>Normal operation</t>
        </is>
      </c>
    </row>
    <row r="338" s="17">
      <c r="A338" s="7" t="n">
        <v>5015</v>
      </c>
      <c r="B338" s="8" t="n">
        <v>48108.683306</v>
      </c>
      <c r="C338" s="9" t="n">
        <v>48.108683306</v>
      </c>
      <c r="D338" s="9" t="n">
        <v>127.67675526</v>
      </c>
      <c r="E338" s="9" t="n">
        <v>65.06258921999999</v>
      </c>
      <c r="F338" s="10" t="n">
        <v>0.03231601816722342</v>
      </c>
      <c r="G338" s="10" t="n">
        <v>0.1378830789427546</v>
      </c>
      <c r="H338" s="10" t="n">
        <v>0.9486758076017464</v>
      </c>
      <c r="I338" s="10" t="n">
        <v>0.150662</v>
      </c>
      <c r="J338" s="5" t="inlineStr">
        <is>
          <t>Cleaner sand</t>
        </is>
      </c>
      <c r="K338" s="11" t="n">
        <v>16.53848518529021</v>
      </c>
      <c r="L338" s="12" t="n">
        <v>1.1</v>
      </c>
      <c r="M338" s="12" t="n">
        <v>3.557939159315659</v>
      </c>
      <c r="N338" s="12" t="n">
        <v>17.82574933778424</v>
      </c>
      <c r="O338" s="12" t="n">
        <v>252.81654932079</v>
      </c>
      <c r="P338" s="5" t="inlineStr">
        <is>
          <t>Normal</t>
        </is>
      </c>
      <c r="Q338" s="5" t="inlineStr">
        <is>
          <t>Drop</t>
        </is>
      </c>
      <c r="R338" s="12" t="n">
        <v>0.66</v>
      </c>
      <c r="S338" s="5" t="inlineStr">
        <is>
          <t>REDUCED</t>
        </is>
      </c>
      <c r="T338" s="5" t="inlineStr">
        <is>
          <t>Normal operation</t>
        </is>
      </c>
    </row>
    <row r="339" s="17">
      <c r="A339" s="7" t="n">
        <v>5020</v>
      </c>
      <c r="B339" s="8" t="n">
        <v>38119.249952</v>
      </c>
      <c r="C339" s="9" t="n">
        <v>38.119249952</v>
      </c>
      <c r="D339" s="9" t="n">
        <v>141.40870248</v>
      </c>
      <c r="E339" s="9" t="n">
        <v>47.36416104</v>
      </c>
      <c r="F339" s="10" t="n">
        <v>0.03769441192283812</v>
      </c>
      <c r="G339" s="10" t="n">
        <v>0.1124426931557355</v>
      </c>
      <c r="H339" s="10" t="n">
        <v>0.9136376607581157</v>
      </c>
      <c r="I339" s="10" t="n">
        <v>0.309051</v>
      </c>
      <c r="J339" s="5" t="inlineStr">
        <is>
          <t>Cleaner sand</t>
        </is>
      </c>
      <c r="K339" s="11" t="n">
        <v>15.20532370596566</v>
      </c>
      <c r="L339" s="12" t="n">
        <v>1.1</v>
      </c>
      <c r="M339" s="12" t="n">
        <v>4.671656728339324</v>
      </c>
      <c r="N339" s="12" t="n">
        <v>16.78277678618536</v>
      </c>
      <c r="O339" s="12" t="n">
        <v>248.5884469226554</v>
      </c>
      <c r="P339" s="5" t="inlineStr">
        <is>
          <t>Normal</t>
        </is>
      </c>
      <c r="Q339" s="5" t="inlineStr">
        <is>
          <t>Drop</t>
        </is>
      </c>
      <c r="R339" s="12" t="n">
        <v>0.66</v>
      </c>
      <c r="S339" s="5" t="inlineStr">
        <is>
          <t>REDUCED</t>
        </is>
      </c>
      <c r="T339" s="5" t="inlineStr">
        <is>
          <t>Normal operation</t>
        </is>
      </c>
    </row>
    <row r="340" s="17">
      <c r="A340" s="7" t="n">
        <v>5025</v>
      </c>
      <c r="B340" s="8" t="n">
        <v>41192.722141</v>
      </c>
      <c r="C340" s="9" t="n">
        <v>41.192722141</v>
      </c>
      <c r="D340" s="9" t="n">
        <v>120.35849905</v>
      </c>
      <c r="E340" s="9" t="n">
        <v>55.21361924</v>
      </c>
      <c r="F340" s="10" t="n">
        <v>0.1097744390139468</v>
      </c>
      <c r="G340" s="10" t="n">
        <v>0.1985761179868433</v>
      </c>
      <c r="H340" s="10" t="n">
        <v>0.8636906336733785</v>
      </c>
      <c r="I340" s="10" t="n">
        <v>1.537081</v>
      </c>
      <c r="J340" s="5" t="inlineStr">
        <is>
          <t>Cleaner sand</t>
        </is>
      </c>
      <c r="K340" s="11" t="n">
        <v>16.50491900718468</v>
      </c>
      <c r="L340" s="12" t="n">
        <v>2.278666210679319</v>
      </c>
      <c r="M340" s="12" t="n">
        <v>5.770027019868854</v>
      </c>
      <c r="N340" s="12" t="n">
        <v>15.3738966383947</v>
      </c>
      <c r="O340" s="12" t="n">
        <v>255.216249757516</v>
      </c>
      <c r="P340" s="5" t="inlineStr">
        <is>
          <t>Normal</t>
        </is>
      </c>
      <c r="Q340" s="5" t="inlineStr">
        <is>
          <t>Drop</t>
        </is>
      </c>
      <c r="R340" s="12" t="n">
        <v>0.61</v>
      </c>
      <c r="S340" s="5" t="inlineStr">
        <is>
          <t>REDUCED</t>
        </is>
      </c>
      <c r="T340" s="5" t="inlineStr">
        <is>
          <t>Normal operation</t>
        </is>
      </c>
    </row>
    <row r="341" s="17">
      <c r="A341" s="7" t="n">
        <v>5030</v>
      </c>
      <c r="B341" s="8" t="n">
        <v>64052.58974</v>
      </c>
      <c r="C341" s="9" t="n">
        <v>64.05258974</v>
      </c>
      <c r="D341" s="9" t="n">
        <v>116.85728396</v>
      </c>
      <c r="E341" s="9" t="n">
        <v>48.76392974</v>
      </c>
      <c r="F341" s="10" t="n">
        <v>0.1184937925494726</v>
      </c>
      <c r="G341" s="10" t="n">
        <v>0.3745331097832854</v>
      </c>
      <c r="H341" s="10" t="n">
        <v>0.9011979482980614</v>
      </c>
      <c r="I341" s="10" t="n">
        <v>1.177696</v>
      </c>
      <c r="J341" s="5" t="inlineStr">
        <is>
          <t>Transition</t>
        </is>
      </c>
      <c r="K341" s="11" t="n">
        <v>19.73268704006028</v>
      </c>
      <c r="L341" s="12" t="n">
        <v>1.389589508512701</v>
      </c>
      <c r="M341" s="12" t="n">
        <v>4.117324163750578</v>
      </c>
      <c r="N341" s="12" t="n">
        <v>16.13366661994021</v>
      </c>
      <c r="O341" s="12" t="n">
        <v>250.880746414726</v>
      </c>
      <c r="P341" s="5" t="inlineStr">
        <is>
          <t>Normal</t>
        </is>
      </c>
      <c r="Q341" s="5" t="inlineStr">
        <is>
          <t>Drop</t>
        </is>
      </c>
      <c r="R341" s="12" t="n">
        <v>0.91</v>
      </c>
      <c r="S341" s="5" t="inlineStr">
        <is>
          <t>ACCEPTED</t>
        </is>
      </c>
      <c r="T341" s="5" t="inlineStr">
        <is>
          <t>Normal operation</t>
        </is>
      </c>
    </row>
    <row r="342" s="17">
      <c r="A342" s="7" t="n">
        <v>5035</v>
      </c>
      <c r="B342" s="8" t="n">
        <v>43400.494817</v>
      </c>
      <c r="C342" s="9" t="n">
        <v>43.400494817</v>
      </c>
      <c r="D342" s="9" t="n">
        <v>137.52343649</v>
      </c>
      <c r="E342" s="9" t="n">
        <v>43.38103154</v>
      </c>
      <c r="F342" s="10" t="n">
        <v>0.06342863243298488</v>
      </c>
      <c r="G342" s="10" t="n">
        <v>0.0718253696675826</v>
      </c>
      <c r="H342" s="10" t="n">
        <v>0.9443275850757488</v>
      </c>
      <c r="I342" s="10" t="n">
        <v>0.395997</v>
      </c>
      <c r="J342" s="5" t="inlineStr">
        <is>
          <t>Cleaner sand</t>
        </is>
      </c>
      <c r="K342" s="11" t="n">
        <v>15.6758242997793</v>
      </c>
      <c r="L342" s="12" t="n">
        <v>2.913517649977444</v>
      </c>
      <c r="M342" s="12" t="n">
        <v>3.582746814101743</v>
      </c>
      <c r="N342" s="12" t="n">
        <v>15.37571658798962</v>
      </c>
      <c r="O342" s="12" t="n">
        <v>279.4385721541643</v>
      </c>
      <c r="P342" s="5" t="inlineStr">
        <is>
          <t>Normal</t>
        </is>
      </c>
      <c r="Q342" s="5" t="inlineStr">
        <is>
          <t>Drop</t>
        </is>
      </c>
      <c r="R342" s="12" t="n">
        <v>0.54</v>
      </c>
      <c r="S342" s="5" t="inlineStr">
        <is>
          <t>REDUCED</t>
        </is>
      </c>
      <c r="T342" s="5" t="inlineStr">
        <is>
          <t>High vibration detected</t>
        </is>
      </c>
    </row>
    <row r="343" s="17">
      <c r="A343" s="7" t="n">
        <v>5040</v>
      </c>
      <c r="B343" s="8" t="n">
        <v>45856.562478</v>
      </c>
      <c r="C343" s="9" t="n">
        <v>45.856562478</v>
      </c>
      <c r="D343" s="9" t="n">
        <v>116.02756873</v>
      </c>
      <c r="E343" s="9" t="n">
        <v>32.85569358</v>
      </c>
      <c r="F343" s="10" t="n">
        <v>0.1402768516421331</v>
      </c>
      <c r="G343" s="10" t="n">
        <v>0.1022887579032224</v>
      </c>
      <c r="H343" s="10" t="n">
        <v>0.8793788195402649</v>
      </c>
      <c r="I343" s="10" t="n">
        <v>1.739372</v>
      </c>
      <c r="J343" s="5" t="inlineStr">
        <is>
          <t>Cleaner sand</t>
        </is>
      </c>
      <c r="K343" s="11" t="n">
        <v>17.19345586687128</v>
      </c>
      <c r="L343" s="12" t="n">
        <v>1.38351867665788</v>
      </c>
      <c r="M343" s="12" t="n">
        <v>3.708192114381604</v>
      </c>
      <c r="N343" s="12" t="n">
        <v>15.58809891138342</v>
      </c>
      <c r="O343" s="12" t="n">
        <v>276.1615426095857</v>
      </c>
      <c r="P343" s="5" t="inlineStr">
        <is>
          <t>Normal</t>
        </is>
      </c>
      <c r="Q343" s="5" t="inlineStr">
        <is>
          <t>Drop</t>
        </is>
      </c>
      <c r="R343" s="12" t="n">
        <v>0.57</v>
      </c>
      <c r="S343" s="5" t="inlineStr">
        <is>
          <t>REDUCED</t>
        </is>
      </c>
      <c r="T343" s="5" t="inlineStr">
        <is>
          <t>Normal operation</t>
        </is>
      </c>
    </row>
    <row r="344" s="17">
      <c r="A344" s="7" t="n">
        <v>5045</v>
      </c>
      <c r="B344" s="8" t="n">
        <v>59247.717098</v>
      </c>
      <c r="C344" s="9" t="n">
        <v>59.247717098</v>
      </c>
      <c r="D344" s="9" t="n">
        <v>161.96242638</v>
      </c>
      <c r="E344" s="9" t="n">
        <v>49.92475618</v>
      </c>
      <c r="F344" s="10" t="n">
        <v>0.07535592677206071</v>
      </c>
      <c r="G344" s="10" t="n">
        <v>0.3678281346004546</v>
      </c>
      <c r="H344" s="10" t="n">
        <v>0.8824586777415258</v>
      </c>
      <c r="I344" s="10" t="n">
        <v>0.920579</v>
      </c>
      <c r="J344" s="5" t="inlineStr">
        <is>
          <t>Transition</t>
        </is>
      </c>
      <c r="K344" s="11" t="n">
        <v>19.65765817051897</v>
      </c>
      <c r="L344" s="12" t="n">
        <v>1.750430138566548</v>
      </c>
      <c r="M344" s="12" t="n">
        <v>3.327084314914527</v>
      </c>
      <c r="N344" s="12" t="n">
        <v>15.04383365988861</v>
      </c>
      <c r="O344" s="12" t="n">
        <v>262.1646883272892</v>
      </c>
      <c r="P344" s="5" t="inlineStr">
        <is>
          <t>Normal</t>
        </is>
      </c>
      <c r="Q344" s="5" t="inlineStr">
        <is>
          <t>Drop</t>
        </is>
      </c>
      <c r="R344" s="12" t="n">
        <v>0.93</v>
      </c>
      <c r="S344" s="5" t="inlineStr">
        <is>
          <t>ACCEPTED</t>
        </is>
      </c>
      <c r="T344" s="5" t="inlineStr">
        <is>
          <t>Normal operation</t>
        </is>
      </c>
    </row>
    <row r="345" s="17">
      <c r="A345" s="7" t="n">
        <v>5050</v>
      </c>
      <c r="B345" s="8" t="n">
        <v>33659.449509</v>
      </c>
      <c r="C345" s="9" t="n">
        <v>33.659449509</v>
      </c>
      <c r="D345" s="9" t="n">
        <v>131.69606</v>
      </c>
      <c r="E345" s="9" t="n">
        <v>59.62368748</v>
      </c>
      <c r="F345" s="10" t="n">
        <v>0.0515348944170396</v>
      </c>
      <c r="G345" s="10" t="n">
        <v>0.223245382325693</v>
      </c>
      <c r="H345" s="10" t="n">
        <v>0.9129689337033937</v>
      </c>
      <c r="I345" s="10" t="n">
        <v>0.455052</v>
      </c>
      <c r="J345" s="5" t="inlineStr">
        <is>
          <t>Cleaner sand</t>
        </is>
      </c>
      <c r="K345" s="11" t="n">
        <v>14.19951261903803</v>
      </c>
      <c r="L345" s="12" t="n">
        <v>2.415633876758259</v>
      </c>
      <c r="M345" s="12" t="n">
        <v>3.539829054472659</v>
      </c>
      <c r="N345" s="12" t="n">
        <v>15.14276561643203</v>
      </c>
      <c r="O345" s="12" t="n">
        <v>260.0042944006858</v>
      </c>
      <c r="P345" s="5" t="inlineStr">
        <is>
          <t>Normal</t>
        </is>
      </c>
      <c r="Q345" s="5" t="inlineStr">
        <is>
          <t>Drop</t>
        </is>
      </c>
      <c r="R345" s="12" t="n">
        <v>0.85</v>
      </c>
      <c r="S345" s="5" t="inlineStr">
        <is>
          <t>ACCEPTED</t>
        </is>
      </c>
      <c r="T345" s="5" t="inlineStr">
        <is>
          <t>Normal operation</t>
        </is>
      </c>
    </row>
    <row r="346" s="17">
      <c r="A346" s="7" t="n">
        <v>5055</v>
      </c>
      <c r="B346" s="8" t="n">
        <v>65122.98759</v>
      </c>
      <c r="C346" s="9" t="n">
        <v>65.12298758999999</v>
      </c>
      <c r="D346" s="9" t="n">
        <v>116.41215237</v>
      </c>
      <c r="E346" s="9" t="n">
        <v>49.45375638</v>
      </c>
      <c r="F346" s="10" t="n">
        <v>0.1440210817510764</v>
      </c>
      <c r="G346" s="10" t="n">
        <v>0.1795408344770924</v>
      </c>
      <c r="H346" s="10" t="n">
        <v>0.9408718221898156</v>
      </c>
      <c r="I346" s="10" t="n">
        <v>0.9002790000000001</v>
      </c>
      <c r="J346" s="5" t="inlineStr">
        <is>
          <t>Cleaner sand</t>
        </is>
      </c>
      <c r="K346" s="11" t="n">
        <v>20.02224260126826</v>
      </c>
      <c r="L346" s="12" t="n">
        <v>2.64298551519797</v>
      </c>
      <c r="M346" s="12" t="n">
        <v>3.84000232562037</v>
      </c>
      <c r="N346" s="12" t="n">
        <v>15.52139609948086</v>
      </c>
      <c r="O346" s="12" t="n">
        <v>273.2570117451306</v>
      </c>
      <c r="P346" s="5" t="inlineStr">
        <is>
          <t>Normal</t>
        </is>
      </c>
      <c r="Q346" s="5" t="inlineStr">
        <is>
          <t>Drop</t>
        </is>
      </c>
      <c r="R346" s="12" t="n">
        <v>0.41</v>
      </c>
      <c r="S346" s="5" t="inlineStr">
        <is>
          <t>REJECTED</t>
        </is>
      </c>
      <c r="T346" s="5" t="inlineStr">
        <is>
          <t>High vibration detected</t>
        </is>
      </c>
    </row>
    <row r="347" s="17">
      <c r="A347" s="7" t="n">
        <v>5060</v>
      </c>
      <c r="B347" s="8" t="n">
        <v>61529.180017</v>
      </c>
      <c r="C347" s="9" t="n">
        <v>61.529180017</v>
      </c>
      <c r="D347" s="9" t="n">
        <v>168.38390359</v>
      </c>
      <c r="E347" s="9" t="n">
        <v>30</v>
      </c>
      <c r="F347" s="10" t="n">
        <v>0.08871948698152546</v>
      </c>
      <c r="G347" s="10" t="n">
        <v>0.1811263262925586</v>
      </c>
      <c r="H347" s="10" t="n">
        <v>0.9531323595928465</v>
      </c>
      <c r="I347" s="10" t="n">
        <v>0.426503</v>
      </c>
      <c r="J347" s="5" t="inlineStr">
        <is>
          <t>Cleaner sand</t>
        </is>
      </c>
      <c r="K347" s="11" t="n">
        <v>20.06435190858515</v>
      </c>
      <c r="L347" s="12" t="n">
        <v>2.670136752551835</v>
      </c>
      <c r="M347" s="12" t="n">
        <v>2.980649875834319</v>
      </c>
      <c r="N347" s="12" t="n">
        <v>13.84358178742928</v>
      </c>
      <c r="O347" s="12" t="n">
        <v>285.1863241612945</v>
      </c>
      <c r="P347" s="5" t="inlineStr">
        <is>
          <t>Normal</t>
        </is>
      </c>
      <c r="Q347" s="5" t="inlineStr">
        <is>
          <t>Drop</t>
        </is>
      </c>
      <c r="R347" s="12" t="n">
        <v>0.9</v>
      </c>
      <c r="S347" s="5" t="inlineStr">
        <is>
          <t>ACCEPTED</t>
        </is>
      </c>
      <c r="T347" s="5" t="inlineStr">
        <is>
          <t>High vibration detected</t>
        </is>
      </c>
    </row>
    <row r="348" s="17">
      <c r="A348" s="7" t="n">
        <v>5065</v>
      </c>
      <c r="B348" s="8" t="n">
        <v>39158.098092</v>
      </c>
      <c r="C348" s="9" t="n">
        <v>39.158098092</v>
      </c>
      <c r="D348" s="9" t="n">
        <v>149.25442593</v>
      </c>
      <c r="E348" s="9" t="n">
        <v>60.76114474000001</v>
      </c>
      <c r="F348" s="10" t="n">
        <v>0.05938017481659517</v>
      </c>
      <c r="G348" s="10" t="n">
        <v>0.1755328096790812</v>
      </c>
      <c r="H348" s="10" t="n">
        <v>0.9233863126408837</v>
      </c>
      <c r="I348" s="10" t="n">
        <v>0.497239</v>
      </c>
      <c r="J348" s="5" t="inlineStr">
        <is>
          <t>Cleaner sand</t>
        </is>
      </c>
      <c r="K348" s="11" t="n">
        <v>14.26969184615165</v>
      </c>
      <c r="L348" s="12" t="n">
        <v>2.25209945299064</v>
      </c>
      <c r="M348" s="12" t="n">
        <v>4.086219389046025</v>
      </c>
      <c r="N348" s="12" t="n">
        <v>13.70357897820023</v>
      </c>
      <c r="O348" s="12" t="n">
        <v>286.9241284938524</v>
      </c>
      <c r="P348" s="5" t="inlineStr">
        <is>
          <t>Normal</t>
        </is>
      </c>
      <c r="Q348" s="5" t="inlineStr">
        <is>
          <t>Drop</t>
        </is>
      </c>
      <c r="R348" s="12" t="n">
        <v>0.52</v>
      </c>
      <c r="S348" s="5" t="inlineStr">
        <is>
          <t>REDUCED</t>
        </is>
      </c>
      <c r="T348" s="5" t="inlineStr">
        <is>
          <t>Normal operation</t>
        </is>
      </c>
    </row>
    <row r="349" s="17">
      <c r="A349" s="7" t="n">
        <v>5070</v>
      </c>
      <c r="B349" s="8" t="n">
        <v>57311.110722</v>
      </c>
      <c r="C349" s="9" t="n">
        <v>57.311110722</v>
      </c>
      <c r="D349" s="9" t="n">
        <v>143.0339283</v>
      </c>
      <c r="E349" s="9" t="n">
        <v>32.48286745999999</v>
      </c>
      <c r="F349" s="10" t="n">
        <v>0.0960627735186336</v>
      </c>
      <c r="G349" s="10" t="n">
        <v>0.1736972831553673</v>
      </c>
      <c r="H349" s="10" t="n">
        <v>0.9309239772213994</v>
      </c>
      <c r="I349" s="10" t="n">
        <v>0.676548</v>
      </c>
      <c r="J349" s="5" t="inlineStr">
        <is>
          <t>Cleaner sand</t>
        </is>
      </c>
      <c r="K349" s="11" t="n">
        <v>17.64904402965855</v>
      </c>
      <c r="L349" s="12" t="n">
        <v>2.161790637647616</v>
      </c>
      <c r="M349" s="12" t="n">
        <v>4.76409632138864</v>
      </c>
      <c r="N349" s="12" t="n">
        <v>13.108389489708</v>
      </c>
      <c r="O349" s="12" t="n">
        <v>300.6765121991239</v>
      </c>
      <c r="P349" s="5" t="inlineStr">
        <is>
          <t>Normal</t>
        </is>
      </c>
      <c r="Q349" s="5" t="inlineStr">
        <is>
          <t>Turn Left</t>
        </is>
      </c>
      <c r="R349" s="12" t="n">
        <v>0.79</v>
      </c>
      <c r="S349" s="5" t="inlineStr">
        <is>
          <t>ACCEPTED</t>
        </is>
      </c>
      <c r="T349" s="5" t="inlineStr">
        <is>
          <t>Normal operation</t>
        </is>
      </c>
    </row>
    <row r="350" s="17">
      <c r="A350" s="7" t="n">
        <v>5075</v>
      </c>
      <c r="B350" s="8" t="n">
        <v>55814.796708</v>
      </c>
      <c r="C350" s="9" t="n">
        <v>55.814796708</v>
      </c>
      <c r="D350" s="9" t="n">
        <v>101.57102681</v>
      </c>
      <c r="E350" s="9" t="n">
        <v>30</v>
      </c>
      <c r="F350" s="10" t="n">
        <v>0.09915756559866784</v>
      </c>
      <c r="G350" s="10" t="n">
        <v>0.3581301473459907</v>
      </c>
      <c r="H350" s="10" t="n">
        <v>0.8833717707020529</v>
      </c>
      <c r="I350" s="10" t="n">
        <v>1.193141</v>
      </c>
      <c r="J350" s="5" t="inlineStr">
        <is>
          <t>Transition</t>
        </is>
      </c>
      <c r="K350" s="11" t="n">
        <v>18.06285907494647</v>
      </c>
      <c r="L350" s="12" t="n">
        <v>1.95033820510858</v>
      </c>
      <c r="M350" s="12" t="n">
        <v>3.284550218962204</v>
      </c>
      <c r="N350" s="12" t="n">
        <v>12.72241573023515</v>
      </c>
      <c r="O350" s="12" t="n">
        <v>299.5991357421705</v>
      </c>
      <c r="P350" s="5" t="inlineStr">
        <is>
          <t>Normal</t>
        </is>
      </c>
      <c r="Q350" s="5" t="inlineStr">
        <is>
          <t>Hold</t>
        </is>
      </c>
      <c r="R350" s="12" t="n">
        <v>0.7</v>
      </c>
      <c r="S350" s="5" t="inlineStr">
        <is>
          <t>ACCEPTED</t>
        </is>
      </c>
      <c r="T350" s="5" t="inlineStr">
        <is>
          <t>Normal operation</t>
        </is>
      </c>
    </row>
    <row r="351" s="17">
      <c r="A351" s="7" t="n">
        <v>5080</v>
      </c>
      <c r="B351" s="8" t="n">
        <v>54820.45397</v>
      </c>
      <c r="C351" s="9" t="n">
        <v>54.82045397</v>
      </c>
      <c r="D351" s="9" t="n">
        <v>128.87044119</v>
      </c>
      <c r="E351" s="9" t="n">
        <v>52.68003654</v>
      </c>
      <c r="F351" s="10" t="n">
        <v>0.05539697710899023</v>
      </c>
      <c r="G351" s="10" t="n">
        <v>0.06942159492178487</v>
      </c>
      <c r="H351" s="10" t="n">
        <v>0.9017068064132305</v>
      </c>
      <c r="I351" s="10" t="n">
        <v>0.533207</v>
      </c>
      <c r="J351" s="5" t="inlineStr">
        <is>
          <t>Cleaner sand</t>
        </is>
      </c>
      <c r="K351" s="11" t="n">
        <v>18.38497501039927</v>
      </c>
      <c r="L351" s="12" t="n">
        <v>2.041396927321653</v>
      </c>
      <c r="M351" s="12" t="n">
        <v>5.194595698049581</v>
      </c>
      <c r="N351" s="12" t="n">
        <v>13.10957402260473</v>
      </c>
      <c r="O351" s="12" t="n">
        <v>304.8715250468645</v>
      </c>
      <c r="P351" s="5" t="inlineStr">
        <is>
          <t>Normal</t>
        </is>
      </c>
      <c r="Q351" s="5" t="inlineStr">
        <is>
          <t>Turn Left</t>
        </is>
      </c>
      <c r="R351" s="12" t="n">
        <v>0.7</v>
      </c>
      <c r="S351" s="5" t="inlineStr">
        <is>
          <t>ACCEPTED</t>
        </is>
      </c>
      <c r="T351" s="5" t="inlineStr">
        <is>
          <t>Normal operation</t>
        </is>
      </c>
    </row>
    <row r="352" s="17">
      <c r="A352" s="7" t="n">
        <v>5085</v>
      </c>
      <c r="B352" s="8" t="n">
        <v>51115.325583</v>
      </c>
      <c r="C352" s="9" t="n">
        <v>51.115325583</v>
      </c>
      <c r="D352" s="9" t="n">
        <v>112.17098874</v>
      </c>
      <c r="E352" s="9" t="n">
        <v>52.67756998</v>
      </c>
      <c r="F352" s="10" t="n">
        <v>0.1361166191904099</v>
      </c>
      <c r="G352" s="10" t="n">
        <v>0.1270719201265694</v>
      </c>
      <c r="H352" s="10" t="n">
        <v>0.8934110494046514</v>
      </c>
      <c r="I352" s="10" t="n">
        <v>1.442209</v>
      </c>
      <c r="J352" s="5" t="inlineStr">
        <is>
          <t>Cleaner sand</t>
        </is>
      </c>
      <c r="K352" s="11" t="n">
        <v>18.22787648682925</v>
      </c>
      <c r="L352" s="12" t="n">
        <v>1.389918998999019</v>
      </c>
      <c r="M352" s="12" t="n">
        <v>4.356150540905003</v>
      </c>
      <c r="N352" s="12" t="n">
        <v>14.7886161377381</v>
      </c>
      <c r="O352" s="12" t="n">
        <v>301.8311607007313</v>
      </c>
      <c r="P352" s="5" t="inlineStr">
        <is>
          <t>Normal</t>
        </is>
      </c>
      <c r="Q352" s="5" t="inlineStr">
        <is>
          <t>Drop</t>
        </is>
      </c>
      <c r="R352" s="12" t="n">
        <v>0.79</v>
      </c>
      <c r="S352" s="5" t="inlineStr">
        <is>
          <t>ACCEPTED</t>
        </is>
      </c>
      <c r="T352" s="5" t="inlineStr">
        <is>
          <t>Normal operation</t>
        </is>
      </c>
    </row>
    <row r="353" s="17">
      <c r="A353" s="7" t="n">
        <v>5090</v>
      </c>
      <c r="B353" s="8" t="n">
        <v>61347.210076</v>
      </c>
      <c r="C353" s="9" t="n">
        <v>61.347210076</v>
      </c>
      <c r="D353" s="9" t="n">
        <v>110.23917105</v>
      </c>
      <c r="E353" s="9" t="n">
        <v>33.3712038</v>
      </c>
      <c r="F353" s="10" t="n">
        <v>0.1072844989695421</v>
      </c>
      <c r="G353" s="10" t="n">
        <v>0.3687321066091964</v>
      </c>
      <c r="H353" s="10" t="n">
        <v>0.8707976455756473</v>
      </c>
      <c r="I353" s="10" t="n">
        <v>1.394451</v>
      </c>
      <c r="J353" s="5" t="inlineStr">
        <is>
          <t>Transition</t>
        </is>
      </c>
      <c r="K353" s="11" t="n">
        <v>21.27418998057804</v>
      </c>
      <c r="L353" s="12" t="n">
        <v>1.259082547123069</v>
      </c>
      <c r="M353" s="12" t="n">
        <v>4.740266668299782</v>
      </c>
      <c r="N353" s="12" t="n">
        <v>13.30996446515467</v>
      </c>
      <c r="O353" s="12" t="n">
        <v>287.957264099305</v>
      </c>
      <c r="P353" s="5" t="inlineStr">
        <is>
          <t>Normal</t>
        </is>
      </c>
      <c r="Q353" s="5" t="inlineStr">
        <is>
          <t>Drop</t>
        </is>
      </c>
      <c r="R353" s="12" t="n">
        <v>0.51</v>
      </c>
      <c r="S353" s="5" t="inlineStr">
        <is>
          <t>REDUCED</t>
        </is>
      </c>
      <c r="T353" s="5" t="inlineStr">
        <is>
          <t>Normal operation</t>
        </is>
      </c>
    </row>
    <row r="354" s="17">
      <c r="A354" s="7" t="n">
        <v>5095</v>
      </c>
      <c r="B354" s="8" t="n">
        <v>52114.036576</v>
      </c>
      <c r="C354" s="9" t="n">
        <v>52.114036576</v>
      </c>
      <c r="D354" s="9" t="n">
        <v>144.40815162</v>
      </c>
      <c r="E354" s="9" t="n">
        <v>45.54096484</v>
      </c>
      <c r="F354" s="10" t="n">
        <v>0.05145596688255064</v>
      </c>
      <c r="G354" s="10" t="n">
        <v>0.1347038675206018</v>
      </c>
      <c r="H354" s="10" t="n">
        <v>0.9150225054291697</v>
      </c>
      <c r="I354" s="10" t="n">
        <v>0.440022</v>
      </c>
      <c r="J354" s="5" t="inlineStr">
        <is>
          <t>Cleaner sand</t>
        </is>
      </c>
      <c r="K354" s="11" t="n">
        <v>18.95831309508745</v>
      </c>
      <c r="L354" s="12" t="n">
        <v>1.658346515868633</v>
      </c>
      <c r="M354" s="12" t="n">
        <v>3.357759013274149</v>
      </c>
      <c r="N354" s="12" t="n">
        <v>15.02756039519592</v>
      </c>
      <c r="O354" s="12" t="n">
        <v>303.0720735357069</v>
      </c>
      <c r="P354" s="5" t="inlineStr">
        <is>
          <t>Normal</t>
        </is>
      </c>
      <c r="Q354" s="5" t="inlineStr">
        <is>
          <t>Drop</t>
        </is>
      </c>
      <c r="R354" s="12" t="n">
        <v>0.49</v>
      </c>
      <c r="S354" s="5" t="inlineStr">
        <is>
          <t>REJECTED</t>
        </is>
      </c>
      <c r="T354" s="5" t="inlineStr">
        <is>
          <t>Normal operation</t>
        </is>
      </c>
    </row>
    <row r="355" s="17">
      <c r="A355" s="7" t="n">
        <v>5100</v>
      </c>
      <c r="B355" s="8" t="n">
        <v>59862.522096</v>
      </c>
      <c r="C355" s="9" t="n">
        <v>59.862522096</v>
      </c>
      <c r="D355" s="9" t="n">
        <v>139.31750674</v>
      </c>
      <c r="E355" s="9" t="n">
        <v>51.0205968</v>
      </c>
      <c r="F355" s="10" t="n">
        <v>0.09778490117846564</v>
      </c>
      <c r="G355" s="10" t="n">
        <v>0.3035712957669138</v>
      </c>
      <c r="H355" s="10" t="n">
        <v>0.8742834121771104</v>
      </c>
      <c r="I355" s="10" t="n">
        <v>1.220738</v>
      </c>
      <c r="J355" s="5" t="inlineStr">
        <is>
          <t>Transition</t>
        </is>
      </c>
      <c r="K355" s="11" t="n">
        <v>19.36582900491675</v>
      </c>
      <c r="L355" s="12" t="n">
        <v>1.576609534962785</v>
      </c>
      <c r="M355" s="12" t="n">
        <v>4.535812533515277</v>
      </c>
      <c r="N355" s="12" t="n">
        <v>14.29426282147522</v>
      </c>
      <c r="O355" s="12" t="n">
        <v>318.6905378194517</v>
      </c>
      <c r="P355" s="5" t="inlineStr">
        <is>
          <t>Normal</t>
        </is>
      </c>
      <c r="Q355" s="5" t="inlineStr">
        <is>
          <t>Turn Left</t>
        </is>
      </c>
      <c r="R355" s="12" t="n">
        <v>0.76</v>
      </c>
      <c r="S355" s="5" t="inlineStr">
        <is>
          <t>ACCEPTED</t>
        </is>
      </c>
      <c r="T355" s="5" t="inlineStr">
        <is>
          <t>Normal operation</t>
        </is>
      </c>
    </row>
    <row r="356" s="17">
      <c r="A356" s="7" t="n">
        <v>5105</v>
      </c>
      <c r="B356" s="8" t="n">
        <v>64796.641354</v>
      </c>
      <c r="C356" s="9" t="n">
        <v>64.796641354</v>
      </c>
      <c r="D356" s="9" t="n">
        <v>167.7696612</v>
      </c>
      <c r="E356" s="9" t="n">
        <v>30</v>
      </c>
      <c r="F356" s="10" t="n">
        <v>0.09719411106468151</v>
      </c>
      <c r="G356" s="10" t="n">
        <v>0.326590431561959</v>
      </c>
      <c r="H356" s="10" t="n">
        <v>0.9042435829279587</v>
      </c>
      <c r="I356" s="10" t="n">
        <v>0.964927</v>
      </c>
      <c r="J356" s="5" t="inlineStr">
        <is>
          <t>Transition</t>
        </is>
      </c>
      <c r="K356" s="11" t="n">
        <v>20.41424256831997</v>
      </c>
      <c r="L356" s="12" t="n">
        <v>1.437918255829635</v>
      </c>
      <c r="M356" s="12" t="n">
        <v>2.946754282021581</v>
      </c>
      <c r="N356" s="12" t="n">
        <v>11.5793528270288</v>
      </c>
      <c r="O356" s="12" t="n">
        <v>310.5077274044459</v>
      </c>
      <c r="P356" s="5" t="inlineStr">
        <is>
          <t>Normal</t>
        </is>
      </c>
      <c r="Q356" s="5" t="inlineStr">
        <is>
          <t>Turn Left</t>
        </is>
      </c>
      <c r="R356" s="12" t="n">
        <v>0.5600000000000001</v>
      </c>
      <c r="S356" s="5" t="inlineStr">
        <is>
          <t>REDUCED</t>
        </is>
      </c>
      <c r="T356" s="5" t="inlineStr">
        <is>
          <t>Normal operation</t>
        </is>
      </c>
    </row>
    <row r="357" s="17">
      <c r="A357" s="7" t="n">
        <v>5110</v>
      </c>
      <c r="B357" s="8" t="n">
        <v>36668.877494</v>
      </c>
      <c r="C357" s="9" t="n">
        <v>36.668877494</v>
      </c>
      <c r="D357" s="9" t="n">
        <v>145.69521731</v>
      </c>
      <c r="E357" s="9" t="n">
        <v>74.38988094</v>
      </c>
      <c r="F357" s="10" t="n">
        <v>0.06632211363416993</v>
      </c>
      <c r="G357" s="10" t="n">
        <v>0.1263422005122689</v>
      </c>
      <c r="H357" s="10" t="n">
        <v>1</v>
      </c>
      <c r="I357" s="10" t="n">
        <v>0.030752</v>
      </c>
      <c r="J357" s="5" t="inlineStr">
        <is>
          <t>Cleaner sand</t>
        </is>
      </c>
      <c r="K357" s="11" t="n">
        <v>14.25742532086735</v>
      </c>
      <c r="L357" s="12" t="n">
        <v>2.00122984925379</v>
      </c>
      <c r="M357" s="12" t="n">
        <v>4.500553928236715</v>
      </c>
      <c r="N357" s="12" t="n">
        <v>14.87914992038785</v>
      </c>
      <c r="O357" s="12" t="n">
        <v>318.8512477883302</v>
      </c>
      <c r="P357" s="5" t="inlineStr">
        <is>
          <t>Normal</t>
        </is>
      </c>
      <c r="Q357" s="5" t="inlineStr">
        <is>
          <t>Turn Left</t>
        </is>
      </c>
      <c r="R357" s="12" t="n">
        <v>0.9399999999999999</v>
      </c>
      <c r="S357" s="5" t="inlineStr">
        <is>
          <t>ACCEPTED</t>
        </is>
      </c>
      <c r="T357" s="5" t="inlineStr">
        <is>
          <t>Normal operation</t>
        </is>
      </c>
    </row>
    <row r="358" s="17">
      <c r="A358" s="7" t="n">
        <v>5115</v>
      </c>
      <c r="B358" s="8" t="n">
        <v>43518.851976</v>
      </c>
      <c r="C358" s="9" t="n">
        <v>43.518851976</v>
      </c>
      <c r="D358" s="9" t="n">
        <v>123.38071941</v>
      </c>
      <c r="E358" s="9" t="n">
        <v>50.99452818</v>
      </c>
      <c r="F358" s="10" t="n">
        <v>0.1367283638927088</v>
      </c>
      <c r="G358" s="10" t="n">
        <v>0.2680735095090004</v>
      </c>
      <c r="H358" s="10" t="n">
        <v>0.9031851089577031</v>
      </c>
      <c r="I358" s="10" t="n">
        <v>1.315323</v>
      </c>
      <c r="J358" s="5" t="inlineStr">
        <is>
          <t>Transition</t>
        </is>
      </c>
      <c r="K358" s="11" t="n">
        <v>16.5013000005941</v>
      </c>
      <c r="L358" s="12" t="n">
        <v>2.12809955219955</v>
      </c>
      <c r="M358" s="12" t="n">
        <v>3.893829522794223</v>
      </c>
      <c r="N358" s="12" t="n">
        <v>14.88794827387129</v>
      </c>
      <c r="O358" s="12" t="n">
        <v>313.2860574180788</v>
      </c>
      <c r="P358" s="5" t="inlineStr">
        <is>
          <t>Normal</t>
        </is>
      </c>
      <c r="Q358" s="5" t="inlineStr">
        <is>
          <t>Turn Left</t>
        </is>
      </c>
      <c r="R358" s="12" t="n">
        <v>0.65</v>
      </c>
      <c r="S358" s="5" t="inlineStr">
        <is>
          <t>REDUCED</t>
        </is>
      </c>
      <c r="T358" s="5" t="inlineStr">
        <is>
          <t>Normal operation</t>
        </is>
      </c>
    </row>
    <row r="359" s="17">
      <c r="A359" s="7" t="n">
        <v>5120</v>
      </c>
      <c r="B359" s="8" t="n">
        <v>66123.15416000001</v>
      </c>
      <c r="C359" s="9" t="n">
        <v>66.12315416</v>
      </c>
      <c r="D359" s="9" t="n">
        <v>165.12539255</v>
      </c>
      <c r="E359" s="9" t="n">
        <v>34.37604328</v>
      </c>
      <c r="F359" s="10" t="n">
        <v>0.05374395102930872</v>
      </c>
      <c r="G359" s="10" t="n">
        <v>0.2258687049492605</v>
      </c>
      <c r="H359" s="10" t="n">
        <v>0.9445433034565146</v>
      </c>
      <c r="I359" s="10" t="n">
        <v>0.345092</v>
      </c>
      <c r="J359" s="5" t="inlineStr">
        <is>
          <t>Cleaner sand</t>
        </is>
      </c>
      <c r="K359" s="11" t="n">
        <v>20.38857453071059</v>
      </c>
      <c r="L359" s="12" t="n">
        <v>1.703319374283005</v>
      </c>
      <c r="M359" s="12" t="n">
        <v>4.166910875392853</v>
      </c>
      <c r="N359" s="12" t="n">
        <v>12.32043527011954</v>
      </c>
      <c r="O359" s="12" t="n">
        <v>308.6765913907136</v>
      </c>
      <c r="P359" s="5" t="inlineStr">
        <is>
          <t>Normal</t>
        </is>
      </c>
      <c r="Q359" s="5" t="inlineStr">
        <is>
          <t>Turn Left</t>
        </is>
      </c>
      <c r="R359" s="12" t="n">
        <v>0.46</v>
      </c>
      <c r="S359" s="5" t="inlineStr">
        <is>
          <t>REJECTED</t>
        </is>
      </c>
      <c r="T359" s="5" t="inlineStr">
        <is>
          <t>Normal operation</t>
        </is>
      </c>
    </row>
    <row r="360" s="17">
      <c r="A360" s="7" t="n">
        <v>5125</v>
      </c>
      <c r="B360" s="8" t="n">
        <v>44341.459646</v>
      </c>
      <c r="C360" s="9" t="n">
        <v>44.341459646</v>
      </c>
      <c r="D360" s="9" t="n">
        <v>138.33880189</v>
      </c>
      <c r="E360" s="9" t="n">
        <v>65.39494669999999</v>
      </c>
      <c r="F360" s="10" t="n">
        <v>0.0508281554858015</v>
      </c>
      <c r="G360" s="10" t="n">
        <v>0.1157129414224932</v>
      </c>
      <c r="H360" s="10" t="n">
        <v>0.9801456083782206</v>
      </c>
      <c r="I360" s="10" t="n">
        <v>0.092248</v>
      </c>
      <c r="J360" s="5" t="inlineStr">
        <is>
          <t>Cleaner sand</t>
        </is>
      </c>
      <c r="K360" s="11" t="n">
        <v>16.99382703790682</v>
      </c>
      <c r="L360" s="12" t="n">
        <v>2.383989739717078</v>
      </c>
      <c r="M360" s="12" t="n">
        <v>2.751737918637791</v>
      </c>
      <c r="N360" s="12" t="n">
        <v>13.9372524659711</v>
      </c>
      <c r="O360" s="12" t="n">
        <v>320.0830241719103</v>
      </c>
      <c r="P360" s="5" t="inlineStr">
        <is>
          <t>Normal</t>
        </is>
      </c>
      <c r="Q360" s="5" t="inlineStr">
        <is>
          <t>Turn Left</t>
        </is>
      </c>
      <c r="R360" s="12" t="n">
        <v>0.78</v>
      </c>
      <c r="S360" s="5" t="inlineStr">
        <is>
          <t>ACCEPTED</t>
        </is>
      </c>
      <c r="T360" s="5" t="inlineStr">
        <is>
          <t>Normal operation</t>
        </is>
      </c>
    </row>
    <row r="361" s="17">
      <c r="A361" s="7" t="n">
        <v>5130</v>
      </c>
      <c r="B361" s="8" t="n">
        <v>40671.279156</v>
      </c>
      <c r="C361" s="9" t="n">
        <v>40.671279156</v>
      </c>
      <c r="D361" s="9" t="n">
        <v>144.62657502</v>
      </c>
      <c r="E361" s="9" t="n">
        <v>47.58855486</v>
      </c>
      <c r="F361" s="10" t="n">
        <v>0.1589877272145153</v>
      </c>
      <c r="G361" s="10" t="n">
        <v>0.2356816453436109</v>
      </c>
      <c r="H361" s="10" t="n">
        <v>0.9117467302972861</v>
      </c>
      <c r="I361" s="10" t="n">
        <v>1.438001</v>
      </c>
      <c r="J361" s="5" t="inlineStr">
        <is>
          <t>Cleaner sand</t>
        </is>
      </c>
      <c r="K361" s="11" t="n">
        <v>15.16885196721017</v>
      </c>
      <c r="L361" s="12" t="n">
        <v>1.100572334074582</v>
      </c>
      <c r="M361" s="12" t="n">
        <v>2.944015421769518</v>
      </c>
      <c r="N361" s="12" t="n">
        <v>12.05610246437842</v>
      </c>
      <c r="O361" s="12" t="n">
        <v>326.5823634336153</v>
      </c>
      <c r="P361" s="5" t="inlineStr">
        <is>
          <t>Normal</t>
        </is>
      </c>
      <c r="Q361" s="5" t="inlineStr">
        <is>
          <t>Turn Left</t>
        </is>
      </c>
      <c r="R361" s="12" t="n">
        <v>0.57</v>
      </c>
      <c r="S361" s="5" t="inlineStr">
        <is>
          <t>REDUCED</t>
        </is>
      </c>
      <c r="T361" s="5" t="inlineStr">
        <is>
          <t>Normal operation</t>
        </is>
      </c>
    </row>
    <row r="362" s="17">
      <c r="A362" s="7" t="n">
        <v>5135</v>
      </c>
      <c r="B362" s="8" t="n">
        <v>70175.135243</v>
      </c>
      <c r="C362" s="9" t="n">
        <v>70.175135243</v>
      </c>
      <c r="D362" s="9" t="n">
        <v>147.16596219</v>
      </c>
      <c r="E362" s="9" t="n">
        <v>40.99233792</v>
      </c>
      <c r="F362" s="10" t="n">
        <v>0.09309767586127746</v>
      </c>
      <c r="G362" s="10" t="n">
        <v>0.3629226553169115</v>
      </c>
      <c r="H362" s="10" t="n">
        <v>0.8722070494575137</v>
      </c>
      <c r="I362" s="10" t="n">
        <v>1.218874</v>
      </c>
      <c r="J362" s="5" t="inlineStr">
        <is>
          <t>Transition</t>
        </is>
      </c>
      <c r="K362" s="11" t="n">
        <v>21.94182663690124</v>
      </c>
      <c r="L362" s="12" t="n">
        <v>1.565106864952938</v>
      </c>
      <c r="M362" s="12" t="n">
        <v>4.105667687858929</v>
      </c>
      <c r="N362" s="12" t="n">
        <v>13.07506837558598</v>
      </c>
      <c r="O362" s="12" t="n">
        <v>318.937680136353</v>
      </c>
      <c r="P362" s="5" t="inlineStr">
        <is>
          <t>Normal</t>
        </is>
      </c>
      <c r="Q362" s="5" t="inlineStr">
        <is>
          <t>Turn Left</t>
        </is>
      </c>
      <c r="R362" s="12" t="n">
        <v>0.48</v>
      </c>
      <c r="S362" s="5" t="inlineStr">
        <is>
          <t>REJECTED</t>
        </is>
      </c>
      <c r="T362" s="5" t="inlineStr">
        <is>
          <t>WOB outside preferred band</t>
        </is>
      </c>
    </row>
    <row r="363" s="17">
      <c r="A363" s="7" t="n">
        <v>5140</v>
      </c>
      <c r="B363" s="8" t="n">
        <v>33565.986861</v>
      </c>
      <c r="C363" s="9" t="n">
        <v>33.565986861</v>
      </c>
      <c r="D363" s="9" t="n">
        <v>125.75553773</v>
      </c>
      <c r="E363" s="9" t="n">
        <v>57.74696414</v>
      </c>
      <c r="F363" s="10" t="n">
        <v>0.05603637084260767</v>
      </c>
      <c r="G363" s="10" t="n">
        <v>0.229570550101602</v>
      </c>
      <c r="H363" s="10" t="n">
        <v>0.9205697789281386</v>
      </c>
      <c r="I363" s="10" t="n">
        <v>0.491694</v>
      </c>
      <c r="J363" s="5" t="inlineStr">
        <is>
          <t>Cleaner sand</t>
        </is>
      </c>
      <c r="K363" s="11" t="n">
        <v>16.22200490513544</v>
      </c>
      <c r="L363" s="12" t="n">
        <v>1.308757062904625</v>
      </c>
      <c r="M363" s="12" t="n">
        <v>2.83697879216274</v>
      </c>
      <c r="N363" s="12" t="n">
        <v>11.08279566957447</v>
      </c>
      <c r="O363" s="12" t="n">
        <v>324.9614424635701</v>
      </c>
      <c r="P363" s="5" t="inlineStr">
        <is>
          <t>Normal</t>
        </is>
      </c>
      <c r="Q363" s="5" t="inlineStr">
        <is>
          <t>Turn Left</t>
        </is>
      </c>
      <c r="R363" s="12" t="n">
        <v>0.63</v>
      </c>
      <c r="S363" s="5" t="inlineStr">
        <is>
          <t>REDUCED</t>
        </is>
      </c>
      <c r="T363" s="5" t="inlineStr">
        <is>
          <t>Normal operation</t>
        </is>
      </c>
    </row>
    <row r="364" s="17">
      <c r="A364" s="7" t="n">
        <v>5145</v>
      </c>
      <c r="B364" s="8" t="n">
        <v>49850.264916</v>
      </c>
      <c r="C364" s="9" t="n">
        <v>49.850264916</v>
      </c>
      <c r="D364" s="9" t="n">
        <v>127.63232611</v>
      </c>
      <c r="E364" s="9" t="n">
        <v>49.7098842</v>
      </c>
      <c r="F364" s="10" t="n">
        <v>0.05793709545333514</v>
      </c>
      <c r="G364" s="10" t="n">
        <v>0.07326218161676691</v>
      </c>
      <c r="H364" s="10" t="n">
        <v>0.9256397835973723</v>
      </c>
      <c r="I364" s="10" t="n">
        <v>0.474598</v>
      </c>
      <c r="J364" s="5" t="inlineStr">
        <is>
          <t>Cleaner sand</t>
        </is>
      </c>
      <c r="K364" s="11" t="n">
        <v>17.57553675674884</v>
      </c>
      <c r="L364" s="12" t="n">
        <v>1.1</v>
      </c>
      <c r="M364" s="12" t="n">
        <v>3.933954718310031</v>
      </c>
      <c r="N364" s="12" t="n">
        <v>10.17415192312374</v>
      </c>
      <c r="O364" s="12" t="n">
        <v>319.5638621479272</v>
      </c>
      <c r="P364" s="5" t="inlineStr">
        <is>
          <t>Normal</t>
        </is>
      </c>
      <c r="Q364" s="5" t="inlineStr">
        <is>
          <t>Turn Left</t>
        </is>
      </c>
      <c r="R364" s="12" t="n">
        <v>0.93</v>
      </c>
      <c r="S364" s="5" t="inlineStr">
        <is>
          <t>ACCEPTED</t>
        </is>
      </c>
      <c r="T364" s="5" t="inlineStr">
        <is>
          <t>Normal operation</t>
        </is>
      </c>
    </row>
    <row r="365" s="17">
      <c r="A365" s="7" t="n">
        <v>5150</v>
      </c>
      <c r="B365" s="8" t="n">
        <v>67687.046162</v>
      </c>
      <c r="C365" s="9" t="n">
        <v>67.687046162</v>
      </c>
      <c r="D365" s="9" t="n">
        <v>165.77508264</v>
      </c>
      <c r="E365" s="9" t="n">
        <v>45.20984556000001</v>
      </c>
      <c r="F365" s="10" t="n">
        <v>0.110797370309876</v>
      </c>
      <c r="G365" s="10" t="n">
        <v>0.1991905013406641</v>
      </c>
      <c r="H365" s="10" t="n">
        <v>0.9164538156543335</v>
      </c>
      <c r="I365" s="10" t="n">
        <v>0.950062</v>
      </c>
      <c r="J365" s="5" t="inlineStr">
        <is>
          <t>Cleaner sand</t>
        </is>
      </c>
      <c r="K365" s="11" t="n">
        <v>21.36657845306272</v>
      </c>
      <c r="L365" s="12" t="n">
        <v>1.619486463937077</v>
      </c>
      <c r="M365" s="12" t="n">
        <v>2.43737448016798</v>
      </c>
      <c r="N365" s="12" t="n">
        <v>11.78607467772459</v>
      </c>
      <c r="O365" s="12" t="n">
        <v>341.6019819098499</v>
      </c>
      <c r="P365" s="5" t="inlineStr">
        <is>
          <t>Normal</t>
        </is>
      </c>
      <c r="Q365" s="5" t="inlineStr">
        <is>
          <t>Turn Left</t>
        </is>
      </c>
      <c r="R365" s="12" t="n">
        <v>0.63</v>
      </c>
      <c r="S365" s="5" t="inlineStr">
        <is>
          <t>REDUCED</t>
        </is>
      </c>
      <c r="T365" s="5" t="inlineStr">
        <is>
          <t>Normal operation</t>
        </is>
      </c>
    </row>
    <row r="366" s="17">
      <c r="A366" s="7" t="n">
        <v>5155</v>
      </c>
      <c r="B366" s="8" t="n">
        <v>49117.625088</v>
      </c>
      <c r="C366" s="9" t="n">
        <v>49.117625088</v>
      </c>
      <c r="D366" s="9" t="n">
        <v>147.7184887</v>
      </c>
      <c r="E366" s="9" t="n">
        <v>59.0223905</v>
      </c>
      <c r="F366" s="10" t="n">
        <v>0.03555681462567754</v>
      </c>
      <c r="G366" s="10" t="n">
        <v>0.09121250652436923</v>
      </c>
      <c r="H366" s="10" t="n">
        <v>0.9276066789074053</v>
      </c>
      <c r="I366" s="10" t="n">
        <v>0.249672</v>
      </c>
      <c r="J366" s="5" t="inlineStr">
        <is>
          <t>Cleaner sand</t>
        </is>
      </c>
      <c r="K366" s="11" t="n">
        <v>18.23969258780557</v>
      </c>
      <c r="L366" s="12" t="n">
        <v>1.600343720892191</v>
      </c>
      <c r="M366" s="12" t="n">
        <v>4.177283835095007</v>
      </c>
      <c r="N366" s="12" t="n">
        <v>11.90143610686693</v>
      </c>
      <c r="O366" s="12" t="n">
        <v>328.7228261925842</v>
      </c>
      <c r="P366" s="5" t="inlineStr">
        <is>
          <t>Normal</t>
        </is>
      </c>
      <c r="Q366" s="5" t="inlineStr">
        <is>
          <t>Turn Left</t>
        </is>
      </c>
      <c r="R366" s="12" t="n">
        <v>0.59</v>
      </c>
      <c r="S366" s="5" t="inlineStr">
        <is>
          <t>REDUCED</t>
        </is>
      </c>
      <c r="T366" s="5" t="inlineStr">
        <is>
          <t>Normal operation</t>
        </is>
      </c>
    </row>
    <row r="367" s="17">
      <c r="A367" s="7" t="n">
        <v>5160</v>
      </c>
      <c r="B367" s="8" t="n">
        <v>44729.99235</v>
      </c>
      <c r="C367" s="9" t="n">
        <v>44.72999235</v>
      </c>
      <c r="D367" s="9" t="n">
        <v>119.26984486</v>
      </c>
      <c r="E367" s="9" t="n">
        <v>59.4980274</v>
      </c>
      <c r="F367" s="10" t="n">
        <v>0.1249317025260108</v>
      </c>
      <c r="G367" s="10" t="n">
        <v>0.1246544144445524</v>
      </c>
      <c r="H367" s="10" t="n">
        <v>0.9151753968114411</v>
      </c>
      <c r="I367" s="10" t="n">
        <v>1.074569</v>
      </c>
      <c r="J367" s="5" t="inlineStr">
        <is>
          <t>Cleaner sand</t>
        </is>
      </c>
      <c r="K367" s="11" t="n">
        <v>16.34134757271372</v>
      </c>
      <c r="L367" s="12" t="n">
        <v>2.401590374188644</v>
      </c>
      <c r="M367" s="12" t="n">
        <v>2.480352401342106</v>
      </c>
      <c r="N367" s="12" t="n">
        <v>11.32384684812801</v>
      </c>
      <c r="O367" s="12" t="n">
        <v>344.5</v>
      </c>
      <c r="P367" s="5" t="inlineStr">
        <is>
          <t>Normal</t>
        </is>
      </c>
      <c r="Q367" s="5" t="inlineStr">
        <is>
          <t>Turn Left</t>
        </is>
      </c>
      <c r="R367" s="12" t="n">
        <v>0.64</v>
      </c>
      <c r="S367" s="5" t="inlineStr">
        <is>
          <t>REDUCED</t>
        </is>
      </c>
      <c r="T367" s="5" t="inlineStr">
        <is>
          <t>Normal operation</t>
        </is>
      </c>
    </row>
    <row r="368" s="17">
      <c r="A368" s="7" t="n">
        <v>5165</v>
      </c>
      <c r="B368" s="8" t="n">
        <v>66907.482885</v>
      </c>
      <c r="C368" s="9" t="n">
        <v>66.90748288500001</v>
      </c>
      <c r="D368" s="9" t="n">
        <v>146.66814398</v>
      </c>
      <c r="E368" s="9" t="n">
        <v>30</v>
      </c>
      <c r="F368" s="10" t="n">
        <v>0.09363455867976499</v>
      </c>
      <c r="G368" s="10" t="n">
        <v>0.3005053755740829</v>
      </c>
      <c r="H368" s="10" t="n">
        <v>0.9158411677068029</v>
      </c>
      <c r="I368" s="10" t="n">
        <v>0.805679</v>
      </c>
      <c r="J368" s="5" t="inlineStr">
        <is>
          <t>Transition</t>
        </is>
      </c>
      <c r="K368" s="11" t="n">
        <v>21.04558066658225</v>
      </c>
      <c r="L368" s="12" t="n">
        <v>1.969097725431841</v>
      </c>
      <c r="M368" s="12" t="n">
        <v>3.875806591918776</v>
      </c>
      <c r="N368" s="12" t="n">
        <v>10.08013743694043</v>
      </c>
      <c r="O368" s="12" t="n">
        <v>344.5</v>
      </c>
      <c r="P368" s="5" t="inlineStr">
        <is>
          <t>Normal</t>
        </is>
      </c>
      <c r="Q368" s="5" t="inlineStr">
        <is>
          <t>Turn Left</t>
        </is>
      </c>
      <c r="R368" s="12" t="n">
        <v>0.41</v>
      </c>
      <c r="S368" s="5" t="inlineStr">
        <is>
          <t>REJECTED</t>
        </is>
      </c>
      <c r="T368" s="5" t="inlineStr">
        <is>
          <t>Normal operation</t>
        </is>
      </c>
    </row>
    <row r="369" s="17">
      <c r="A369" s="7" t="n">
        <v>5170</v>
      </c>
      <c r="B369" s="8" t="n">
        <v>48811.204106</v>
      </c>
      <c r="C369" s="9" t="n">
        <v>48.811204106</v>
      </c>
      <c r="D369" s="9" t="n">
        <v>132.58885028</v>
      </c>
      <c r="E369" s="9" t="n">
        <v>55.346843</v>
      </c>
      <c r="F369" s="10" t="n">
        <v>0.06044825550984813</v>
      </c>
      <c r="G369" s="10" t="n">
        <v>0.1480924945458811</v>
      </c>
      <c r="H369" s="10" t="n">
        <v>0.9313445835061153</v>
      </c>
      <c r="I369" s="10" t="n">
        <v>0.407807</v>
      </c>
      <c r="J369" s="5" t="inlineStr">
        <is>
          <t>Cleaner sand</t>
        </is>
      </c>
      <c r="K369" s="11" t="n">
        <v>17.50578355134477</v>
      </c>
      <c r="L369" s="12" t="n">
        <v>1.15814845607869</v>
      </c>
      <c r="M369" s="12" t="n">
        <v>3.902038131647002</v>
      </c>
      <c r="N369" s="12" t="n">
        <v>10.87805509466205</v>
      </c>
      <c r="O369" s="12" t="n">
        <v>333.4371207950545</v>
      </c>
      <c r="P369" s="5" t="inlineStr">
        <is>
          <t>Normal</t>
        </is>
      </c>
      <c r="Q369" s="5" t="inlineStr">
        <is>
          <t>Turn Left</t>
        </is>
      </c>
      <c r="R369" s="12" t="n">
        <v>0.47</v>
      </c>
      <c r="S369" s="5" t="inlineStr">
        <is>
          <t>REJECTED</t>
        </is>
      </c>
      <c r="T369" s="5" t="inlineStr">
        <is>
          <t>Normal operation</t>
        </is>
      </c>
    </row>
    <row r="370" s="17">
      <c r="A370" s="7" t="n">
        <v>5175</v>
      </c>
      <c r="B370" s="8" t="n">
        <v>61417.036676</v>
      </c>
      <c r="C370" s="9" t="n">
        <v>61.417036676</v>
      </c>
      <c r="D370" s="9" t="n">
        <v>150.94830008</v>
      </c>
      <c r="E370" s="9" t="n">
        <v>30</v>
      </c>
      <c r="F370" s="10" t="n">
        <v>0.1482406138731192</v>
      </c>
      <c r="G370" s="10" t="n">
        <v>0.08438426817494464</v>
      </c>
      <c r="H370" s="10" t="n">
        <v>0.8737234492748139</v>
      </c>
      <c r="I370" s="10" t="n">
        <v>1.859264</v>
      </c>
      <c r="J370" s="5" t="inlineStr">
        <is>
          <t>Cleaner sand</t>
        </is>
      </c>
      <c r="K370" s="11" t="n">
        <v>19.90935248405152</v>
      </c>
      <c r="L370" s="12" t="n">
        <v>2.568505357503752</v>
      </c>
      <c r="M370" s="12" t="n">
        <v>2.811655983109547</v>
      </c>
      <c r="N370" s="12" t="n">
        <v>11.52655376659024</v>
      </c>
      <c r="O370" s="12" t="n">
        <v>324.6169050151789</v>
      </c>
      <c r="P370" s="5" t="inlineStr">
        <is>
          <t>Normal</t>
        </is>
      </c>
      <c r="Q370" s="5" t="inlineStr">
        <is>
          <t>Turn Left</t>
        </is>
      </c>
      <c r="R370" s="12" t="n">
        <v>0.87</v>
      </c>
      <c r="S370" s="5" t="inlineStr">
        <is>
          <t>ACCEPTED</t>
        </is>
      </c>
      <c r="T370" s="5" t="inlineStr">
        <is>
          <t>High vibration detected</t>
        </is>
      </c>
    </row>
    <row r="371" s="17">
      <c r="A371" s="7" t="n">
        <v>5180</v>
      </c>
      <c r="B371" s="8" t="n">
        <v>58794.769093</v>
      </c>
      <c r="C371" s="9" t="n">
        <v>58.794769093</v>
      </c>
      <c r="D371" s="9" t="n">
        <v>169.89456299</v>
      </c>
      <c r="E371" s="9" t="n">
        <v>30</v>
      </c>
      <c r="F371" s="10" t="n">
        <v>0.1071878601295741</v>
      </c>
      <c r="G371" s="10" t="n">
        <v>0.2117481832986136</v>
      </c>
      <c r="H371" s="10" t="n">
        <v>0.8963841612886474</v>
      </c>
      <c r="I371" s="10" t="n">
        <v>1.151185</v>
      </c>
      <c r="J371" s="5" t="inlineStr">
        <is>
          <t>Cleaner sand</t>
        </is>
      </c>
      <c r="K371" s="11" t="n">
        <v>18.55637488156558</v>
      </c>
      <c r="L371" s="12" t="n">
        <v>2.258306510807423</v>
      </c>
      <c r="M371" s="12" t="n">
        <v>3.802210212417189</v>
      </c>
      <c r="N371" s="12" t="n">
        <v>10.89665636187877</v>
      </c>
      <c r="O371" s="12" t="n">
        <v>314.0903623171178</v>
      </c>
      <c r="P371" s="5" t="inlineStr">
        <is>
          <t>Normal</t>
        </is>
      </c>
      <c r="Q371" s="5" t="inlineStr">
        <is>
          <t>Turn Left</t>
        </is>
      </c>
      <c r="R371" s="12" t="n">
        <v>0.9399999999999999</v>
      </c>
      <c r="S371" s="5" t="inlineStr">
        <is>
          <t>ACCEPTED</t>
        </is>
      </c>
      <c r="T371" s="5" t="inlineStr">
        <is>
          <t>Normal operation</t>
        </is>
      </c>
    </row>
    <row r="372" s="17">
      <c r="A372" s="7" t="n">
        <v>5185</v>
      </c>
      <c r="B372" s="8" t="n">
        <v>52353.455461</v>
      </c>
      <c r="C372" s="9" t="n">
        <v>52.353455461</v>
      </c>
      <c r="D372" s="9" t="n">
        <v>130.80136415</v>
      </c>
      <c r="E372" s="9" t="n">
        <v>61.43698546</v>
      </c>
      <c r="F372" s="10" t="n">
        <v>0.06173718480206435</v>
      </c>
      <c r="G372" s="10" t="n">
        <v>0.2102409503014001</v>
      </c>
      <c r="H372" s="10" t="n">
        <v>0.9364831202791062</v>
      </c>
      <c r="I372" s="10" t="n">
        <v>0.394919</v>
      </c>
      <c r="J372" s="5" t="inlineStr">
        <is>
          <t>Cleaner sand</t>
        </is>
      </c>
      <c r="K372" s="11" t="n">
        <v>18.16919795698865</v>
      </c>
      <c r="L372" s="12" t="n">
        <v>1.945227874699622</v>
      </c>
      <c r="M372" s="12" t="n">
        <v>3.51243591732152</v>
      </c>
      <c r="N372" s="12" t="n">
        <v>10.97081535361981</v>
      </c>
      <c r="O372" s="12" t="n">
        <v>320.270323656463</v>
      </c>
      <c r="P372" s="5" t="inlineStr">
        <is>
          <t>Normal</t>
        </is>
      </c>
      <c r="Q372" s="5" t="inlineStr">
        <is>
          <t>Turn Left</t>
        </is>
      </c>
      <c r="R372" s="12" t="n">
        <v>0.49</v>
      </c>
      <c r="S372" s="5" t="inlineStr">
        <is>
          <t>REJECTED</t>
        </is>
      </c>
      <c r="T372" s="5" t="inlineStr">
        <is>
          <t>Normal operation</t>
        </is>
      </c>
    </row>
    <row r="373" s="17">
      <c r="A373" s="7" t="n">
        <v>5190</v>
      </c>
      <c r="B373" s="8" t="n">
        <v>60270.045745</v>
      </c>
      <c r="C373" s="9" t="n">
        <v>60.270045745</v>
      </c>
      <c r="D373" s="9" t="n">
        <v>146.24374827</v>
      </c>
      <c r="E373" s="9" t="n">
        <v>51.27615964</v>
      </c>
      <c r="F373" s="10" t="n">
        <v>0.1131180164063565</v>
      </c>
      <c r="G373" s="10" t="n">
        <v>0.2980396853979808</v>
      </c>
      <c r="H373" s="10" t="n">
        <v>0.9289860101677629</v>
      </c>
      <c r="I373" s="10" t="n">
        <v>0.7931049999999999</v>
      </c>
      <c r="J373" s="5" t="inlineStr">
        <is>
          <t>Transition</t>
        </is>
      </c>
      <c r="K373" s="11" t="n">
        <v>20.09871823865757</v>
      </c>
      <c r="L373" s="12" t="n">
        <v>1.549022791563582</v>
      </c>
      <c r="M373" s="12" t="n">
        <v>2.840481557337826</v>
      </c>
      <c r="N373" s="12" t="n">
        <v>9.640960966053095</v>
      </c>
      <c r="O373" s="12" t="n">
        <v>321.0869818315076</v>
      </c>
      <c r="P373" s="5" t="inlineStr">
        <is>
          <t>Normal</t>
        </is>
      </c>
      <c r="Q373" s="5" t="inlineStr">
        <is>
          <t>Turn Left</t>
        </is>
      </c>
      <c r="R373" s="12" t="n">
        <v>0.6899999999999999</v>
      </c>
      <c r="S373" s="5" t="inlineStr">
        <is>
          <t>REDUCED</t>
        </is>
      </c>
      <c r="T373" s="5" t="inlineStr">
        <is>
          <t>Normal operation</t>
        </is>
      </c>
    </row>
    <row r="374" s="17">
      <c r="A374" s="7" t="n">
        <v>5195</v>
      </c>
      <c r="B374" s="8" t="n">
        <v>56450.309823</v>
      </c>
      <c r="C374" s="9" t="n">
        <v>56.450309823</v>
      </c>
      <c r="D374" s="9" t="n">
        <v>110.83450117</v>
      </c>
      <c r="E374" s="9" t="n">
        <v>30</v>
      </c>
      <c r="F374" s="10" t="n">
        <v>0.07590597016675696</v>
      </c>
      <c r="G374" s="10" t="n">
        <v>0.3320829669450731</v>
      </c>
      <c r="H374" s="10" t="n">
        <v>0.9257600444914037</v>
      </c>
      <c r="I374" s="10" t="n">
        <v>0.609341</v>
      </c>
      <c r="J374" s="5" t="inlineStr">
        <is>
          <t>Transition</t>
        </is>
      </c>
      <c r="K374" s="11" t="n">
        <v>20.34933151003295</v>
      </c>
      <c r="L374" s="12" t="n">
        <v>1.189874774005495</v>
      </c>
      <c r="M374" s="12" t="n">
        <v>2.432166180466982</v>
      </c>
      <c r="N374" s="12" t="n">
        <v>11.81389072857737</v>
      </c>
      <c r="O374" s="12" t="n">
        <v>344.5</v>
      </c>
      <c r="P374" s="5" t="inlineStr">
        <is>
          <t>Normal</t>
        </is>
      </c>
      <c r="Q374" s="5" t="inlineStr">
        <is>
          <t>Turn Left</t>
        </is>
      </c>
      <c r="R374" s="12" t="n">
        <v>0.93</v>
      </c>
      <c r="S374" s="5" t="inlineStr">
        <is>
          <t>ACCEPTED</t>
        </is>
      </c>
      <c r="T374" s="5" t="inlineStr">
        <is>
          <t>Normal operation</t>
        </is>
      </c>
    </row>
    <row r="375" s="17">
      <c r="A375" s="7" t="n">
        <v>5200</v>
      </c>
      <c r="B375" s="8" t="n">
        <v>35084.212246</v>
      </c>
      <c r="C375" s="9" t="n">
        <v>35.084212246</v>
      </c>
      <c r="D375" s="9" t="n">
        <v>138.33912973</v>
      </c>
      <c r="E375" s="9" t="n">
        <v>50.13607428</v>
      </c>
      <c r="F375" s="10" t="n">
        <v>0.06769770949303704</v>
      </c>
      <c r="G375" s="10" t="n">
        <v>0.1903536394523937</v>
      </c>
      <c r="H375" s="10" t="n">
        <v>0.9671519426947432</v>
      </c>
      <c r="I375" s="10" t="n">
        <v>0.217809</v>
      </c>
      <c r="J375" s="5" t="inlineStr">
        <is>
          <t>Cleaner sand</t>
        </is>
      </c>
      <c r="K375" s="11" t="n">
        <v>15.92777130105661</v>
      </c>
      <c r="L375" s="12" t="n">
        <v>1.477618679725184</v>
      </c>
      <c r="M375" s="12" t="n">
        <v>1.85</v>
      </c>
      <c r="N375" s="12" t="n">
        <v>8.540178814727913</v>
      </c>
      <c r="O375" s="12" t="n">
        <v>335.0352572576059</v>
      </c>
      <c r="P375" s="5" t="inlineStr">
        <is>
          <t>Normal</t>
        </is>
      </c>
      <c r="Q375" s="5" t="inlineStr">
        <is>
          <t>Turn Left</t>
        </is>
      </c>
      <c r="R375" s="12" t="n">
        <v>0.49</v>
      </c>
      <c r="S375" s="5" t="inlineStr">
        <is>
          <t>REJECTED</t>
        </is>
      </c>
      <c r="T375" s="5" t="inlineStr">
        <is>
          <t>Normal operation</t>
        </is>
      </c>
    </row>
    <row r="376" s="17">
      <c r="A376" s="7" t="n">
        <v>5205</v>
      </c>
      <c r="B376" s="8" t="n">
        <v>48558.11653</v>
      </c>
      <c r="C376" s="9" t="n">
        <v>48.55811653</v>
      </c>
      <c r="D376" s="9" t="n">
        <v>127.92527164</v>
      </c>
      <c r="E376" s="9" t="n">
        <v>55.82751224</v>
      </c>
      <c r="F376" s="10" t="n">
        <v>0.1067511023334375</v>
      </c>
      <c r="G376" s="10" t="n">
        <v>0.103561821106296</v>
      </c>
      <c r="H376" s="10" t="n">
        <v>0.9361924368436931</v>
      </c>
      <c r="I376" s="10" t="n">
        <v>0.729105</v>
      </c>
      <c r="J376" s="5" t="inlineStr">
        <is>
          <t>Cleaner sand</t>
        </is>
      </c>
      <c r="K376" s="11" t="n">
        <v>19.59982532934369</v>
      </c>
      <c r="L376" s="12" t="n">
        <v>2.193486823655051</v>
      </c>
      <c r="M376" s="12" t="n">
        <v>3.453594239956558</v>
      </c>
      <c r="N376" s="12" t="n">
        <v>10.48157925126464</v>
      </c>
      <c r="O376" s="12" t="n">
        <v>336.9929030977214</v>
      </c>
      <c r="P376" s="5" t="inlineStr">
        <is>
          <t>Normal</t>
        </is>
      </c>
      <c r="Q376" s="5" t="inlineStr">
        <is>
          <t>Turn Left</t>
        </is>
      </c>
      <c r="R376" s="12" t="n">
        <v>0.5</v>
      </c>
      <c r="S376" s="5" t="inlineStr">
        <is>
          <t>REDUCED</t>
        </is>
      </c>
      <c r="T376" s="5" t="inlineStr">
        <is>
          <t>Normal operation</t>
        </is>
      </c>
    </row>
    <row r="377" s="17">
      <c r="A377" s="7" t="n">
        <v>5210</v>
      </c>
      <c r="B377" s="8" t="n">
        <v>42044.676183</v>
      </c>
      <c r="C377" s="9" t="n">
        <v>42.044676183</v>
      </c>
      <c r="D377" s="9" t="n">
        <v>135.43577869</v>
      </c>
      <c r="E377" s="9" t="n">
        <v>64.39084686</v>
      </c>
      <c r="F377" s="10" t="n">
        <v>0.05175737152834033</v>
      </c>
      <c r="G377" s="10" t="n">
        <v>0.06751254312721415</v>
      </c>
      <c r="H377" s="10" t="n">
        <v>0.9632688492226466</v>
      </c>
      <c r="I377" s="10" t="n">
        <v>0.1964</v>
      </c>
      <c r="J377" s="5" t="inlineStr">
        <is>
          <t>Cleaner sand</t>
        </is>
      </c>
      <c r="K377" s="11" t="n">
        <v>15.48133276348565</v>
      </c>
      <c r="L377" s="12" t="n">
        <v>2.583447289907959</v>
      </c>
      <c r="M377" s="12" t="n">
        <v>1.889445703536828</v>
      </c>
      <c r="N377" s="12" t="n">
        <v>11.16275599870262</v>
      </c>
      <c r="O377" s="12" t="n">
        <v>309.9113700888261</v>
      </c>
      <c r="P377" s="5" t="inlineStr">
        <is>
          <t>Normal</t>
        </is>
      </c>
      <c r="Q377" s="5" t="inlineStr">
        <is>
          <t>Turn Left</t>
        </is>
      </c>
      <c r="R377" s="12" t="n">
        <v>0.91</v>
      </c>
      <c r="S377" s="5" t="inlineStr">
        <is>
          <t>ACCEPTED</t>
        </is>
      </c>
      <c r="T377" s="5" t="inlineStr">
        <is>
          <t>High vibration detected</t>
        </is>
      </c>
    </row>
    <row r="378" s="17">
      <c r="A378" s="7" t="n">
        <v>5215</v>
      </c>
      <c r="B378" s="8" t="n">
        <v>35249.501134</v>
      </c>
      <c r="C378" s="9" t="n">
        <v>35.249501134</v>
      </c>
      <c r="D378" s="9" t="n">
        <v>141.28164399</v>
      </c>
      <c r="E378" s="9" t="n">
        <v>41.17888792</v>
      </c>
      <c r="F378" s="10" t="n">
        <v>0.06986652240432173</v>
      </c>
      <c r="G378" s="10" t="n">
        <v>0.07446177491850402</v>
      </c>
      <c r="H378" s="10" t="n">
        <v>0.9241950402590723</v>
      </c>
      <c r="I378" s="10" t="n">
        <v>0.558803</v>
      </c>
      <c r="J378" s="5" t="inlineStr">
        <is>
          <t>Cleaner sand</t>
        </is>
      </c>
      <c r="K378" s="11" t="n">
        <v>15.87122131288463</v>
      </c>
      <c r="L378" s="12" t="n">
        <v>2.416189328853373</v>
      </c>
      <c r="M378" s="12" t="n">
        <v>3.18496760731349</v>
      </c>
      <c r="N378" s="12" t="n">
        <v>10.030024811231</v>
      </c>
      <c r="O378" s="12" t="n">
        <v>318.956412262074</v>
      </c>
      <c r="P378" s="5" t="inlineStr">
        <is>
          <t>Normal</t>
        </is>
      </c>
      <c r="Q378" s="5" t="inlineStr">
        <is>
          <t>Turn Left</t>
        </is>
      </c>
      <c r="R378" s="12" t="n">
        <v>0.79</v>
      </c>
      <c r="S378" s="5" t="inlineStr">
        <is>
          <t>ACCEPTED</t>
        </is>
      </c>
      <c r="T378" s="5" t="inlineStr">
        <is>
          <t>Normal operation</t>
        </is>
      </c>
    </row>
    <row r="379" s="17">
      <c r="A379" s="7" t="n">
        <v>5220</v>
      </c>
      <c r="B379" s="8" t="n">
        <v>62145.861848</v>
      </c>
      <c r="C379" s="9" t="n">
        <v>62.145861848</v>
      </c>
      <c r="D379" s="9" t="n">
        <v>143.65724776</v>
      </c>
      <c r="E379" s="9" t="n">
        <v>60.61081332</v>
      </c>
      <c r="F379" s="10" t="n">
        <v>0.1460882015695397</v>
      </c>
      <c r="G379" s="10" t="n">
        <v>0.2001291066201112</v>
      </c>
      <c r="H379" s="10" t="n">
        <v>0.8856534205122895</v>
      </c>
      <c r="I379" s="10" t="n">
        <v>1.653398</v>
      </c>
      <c r="J379" s="5" t="inlineStr">
        <is>
          <t>Cleaner sand</t>
        </is>
      </c>
      <c r="K379" s="11" t="n">
        <v>20.12906510261462</v>
      </c>
      <c r="L379" s="12" t="n">
        <v>1.420463783324726</v>
      </c>
      <c r="M379" s="12" t="n">
        <v>2.865330777279823</v>
      </c>
      <c r="N379" s="12" t="n">
        <v>8.920109508275923</v>
      </c>
      <c r="O379" s="12" t="n">
        <v>338.4326284148181</v>
      </c>
      <c r="P379" s="5" t="inlineStr">
        <is>
          <t>Normal</t>
        </is>
      </c>
      <c r="Q379" s="5" t="inlineStr">
        <is>
          <t>Turn Left</t>
        </is>
      </c>
      <c r="R379" s="12" t="n">
        <v>0.48</v>
      </c>
      <c r="S379" s="5" t="inlineStr">
        <is>
          <t>REJECTED</t>
        </is>
      </c>
      <c r="T379" s="5" t="inlineStr">
        <is>
          <t>Normal operation</t>
        </is>
      </c>
    </row>
    <row r="380" s="17">
      <c r="A380" s="7" t="n">
        <v>5225</v>
      </c>
      <c r="B380" s="8" t="n">
        <v>74479.542508</v>
      </c>
      <c r="C380" s="9" t="n">
        <v>74.47954250799999</v>
      </c>
      <c r="D380" s="9" t="n">
        <v>124.97566101</v>
      </c>
      <c r="E380" s="9" t="n">
        <v>30</v>
      </c>
      <c r="F380" s="10" t="n">
        <v>0.1097793020696419</v>
      </c>
      <c r="G380" s="10" t="n">
        <v>0.2947611833180653</v>
      </c>
      <c r="H380" s="10" t="n">
        <v>0.930134682665823</v>
      </c>
      <c r="I380" s="10" t="n">
        <v>0.757903</v>
      </c>
      <c r="J380" s="5" t="inlineStr">
        <is>
          <t>Transition</t>
        </is>
      </c>
      <c r="K380" s="11" t="n">
        <v>24.40395664297741</v>
      </c>
      <c r="L380" s="12" t="n">
        <v>1.111387457688384</v>
      </c>
      <c r="M380" s="12" t="n">
        <v>3.586795615239699</v>
      </c>
      <c r="N380" s="12" t="n">
        <v>8.275151555601107</v>
      </c>
      <c r="O380" s="12" t="n">
        <v>330.8646424272291</v>
      </c>
      <c r="P380" s="5" t="inlineStr">
        <is>
          <t>Normal</t>
        </is>
      </c>
      <c r="Q380" s="5" t="inlineStr">
        <is>
          <t>Turn Left</t>
        </is>
      </c>
      <c r="R380" s="12" t="n">
        <v>0.62</v>
      </c>
      <c r="S380" s="5" t="inlineStr">
        <is>
          <t>REDUCED</t>
        </is>
      </c>
      <c r="T380" s="5" t="inlineStr">
        <is>
          <t>WOB outside preferred band</t>
        </is>
      </c>
    </row>
    <row r="381" s="17">
      <c r="A381" s="7" t="n">
        <v>5230</v>
      </c>
      <c r="B381" s="8" t="n">
        <v>55721.518187</v>
      </c>
      <c r="C381" s="9" t="n">
        <v>55.721518187</v>
      </c>
      <c r="D381" s="9" t="n">
        <v>138.03550208</v>
      </c>
      <c r="E381" s="9" t="n">
        <v>75.24107948</v>
      </c>
      <c r="F381" s="10" t="n">
        <v>0.063208296454906</v>
      </c>
      <c r="G381" s="10" t="n">
        <v>0.08093284509696229</v>
      </c>
      <c r="H381" s="10" t="n">
        <v>0.9857476135127489</v>
      </c>
      <c r="I381" s="10" t="n">
        <v>0.11903</v>
      </c>
      <c r="J381" s="5" t="inlineStr">
        <is>
          <t>Cleaner sand</t>
        </is>
      </c>
      <c r="K381" s="11" t="n">
        <v>17.95584907350487</v>
      </c>
      <c r="L381" s="12" t="n">
        <v>1.72903426098649</v>
      </c>
      <c r="M381" s="12" t="n">
        <v>2.769234149842419</v>
      </c>
      <c r="N381" s="12" t="n">
        <v>10.08739837542588</v>
      </c>
      <c r="O381" s="12" t="n">
        <v>324.7738577472086</v>
      </c>
      <c r="P381" s="5" t="inlineStr">
        <is>
          <t>Normal</t>
        </is>
      </c>
      <c r="Q381" s="5" t="inlineStr">
        <is>
          <t>Turn Left</t>
        </is>
      </c>
      <c r="R381" s="12" t="n">
        <v>0.43</v>
      </c>
      <c r="S381" s="5" t="inlineStr">
        <is>
          <t>REJECTED</t>
        </is>
      </c>
      <c r="T381" s="5" t="inlineStr">
        <is>
          <t>Normal operation</t>
        </is>
      </c>
    </row>
    <row r="382" s="17">
      <c r="A382" s="7" t="n">
        <v>5235</v>
      </c>
      <c r="B382" s="8" t="n">
        <v>55992.78352</v>
      </c>
      <c r="C382" s="9" t="n">
        <v>55.99278352</v>
      </c>
      <c r="D382" s="9" t="n">
        <v>132.5329399</v>
      </c>
      <c r="E382" s="9" t="n">
        <v>42.96031004</v>
      </c>
      <c r="F382" s="10" t="n">
        <v>0.1173068083784328</v>
      </c>
      <c r="G382" s="10" t="n">
        <v>0.3380220572885856</v>
      </c>
      <c r="H382" s="10" t="n">
        <v>0.9292180032553858</v>
      </c>
      <c r="I382" s="10" t="n">
        <v>0.845888</v>
      </c>
      <c r="J382" s="5" t="inlineStr">
        <is>
          <t>Transition</t>
        </is>
      </c>
      <c r="K382" s="11" t="n">
        <v>17.97431707805125</v>
      </c>
      <c r="L382" s="12" t="n">
        <v>1.1</v>
      </c>
      <c r="M382" s="12" t="n">
        <v>2.714700752338876</v>
      </c>
      <c r="N382" s="12" t="n">
        <v>6.669163739028335</v>
      </c>
      <c r="O382" s="12" t="n">
        <v>329.9624534816452</v>
      </c>
      <c r="P382" s="5" t="inlineStr">
        <is>
          <t>Normal</t>
        </is>
      </c>
      <c r="Q382" s="5" t="inlineStr">
        <is>
          <t>Turn Left</t>
        </is>
      </c>
      <c r="R382" s="12" t="n">
        <v>0.64</v>
      </c>
      <c r="S382" s="5" t="inlineStr">
        <is>
          <t>REDUCED</t>
        </is>
      </c>
      <c r="T382" s="5" t="inlineStr">
        <is>
          <t>Normal operation</t>
        </is>
      </c>
    </row>
    <row r="383" s="17">
      <c r="A383" s="7" t="n">
        <v>5240</v>
      </c>
      <c r="B383" s="8" t="n">
        <v>65911.70432200001</v>
      </c>
      <c r="C383" s="9" t="n">
        <v>65.91170432200001</v>
      </c>
      <c r="D383" s="9" t="n">
        <v>111.58752916</v>
      </c>
      <c r="E383" s="9" t="n">
        <v>45.19500028</v>
      </c>
      <c r="F383" s="10" t="n">
        <v>0.08579002332105407</v>
      </c>
      <c r="G383" s="10" t="n">
        <v>0.3271269234052944</v>
      </c>
      <c r="H383" s="10" t="n">
        <v>0.9161406199050832</v>
      </c>
      <c r="I383" s="10" t="n">
        <v>0.726169</v>
      </c>
      <c r="J383" s="5" t="inlineStr">
        <is>
          <t>Transition</t>
        </is>
      </c>
      <c r="K383" s="11" t="n">
        <v>20.03895032597004</v>
      </c>
      <c r="L383" s="12" t="n">
        <v>1.818352179950543</v>
      </c>
      <c r="M383" s="12" t="n">
        <v>3.531145421949944</v>
      </c>
      <c r="N383" s="12" t="n">
        <v>7.036416316177738</v>
      </c>
      <c r="O383" s="12" t="n">
        <v>338.5649432612466</v>
      </c>
      <c r="P383" s="5" t="inlineStr">
        <is>
          <t>Normal</t>
        </is>
      </c>
      <c r="Q383" s="5" t="inlineStr">
        <is>
          <t>Turn Left</t>
        </is>
      </c>
      <c r="R383" s="12" t="n">
        <v>0.83</v>
      </c>
      <c r="S383" s="5" t="inlineStr">
        <is>
          <t>ACCEPTED</t>
        </is>
      </c>
      <c r="T383" s="5" t="inlineStr">
        <is>
          <t>Normal operation</t>
        </is>
      </c>
    </row>
    <row r="384" s="17">
      <c r="A384" s="7" t="n">
        <v>5245</v>
      </c>
      <c r="B384" s="8" t="n">
        <v>46394.093564</v>
      </c>
      <c r="C384" s="9" t="n">
        <v>46.394093564</v>
      </c>
      <c r="D384" s="9" t="n">
        <v>136.67467922</v>
      </c>
      <c r="E384" s="9" t="n">
        <v>53.22095118</v>
      </c>
      <c r="F384" s="10" t="n">
        <v>0.07480498498872287</v>
      </c>
      <c r="G384" s="10" t="n">
        <v>0.1216450076323331</v>
      </c>
      <c r="H384" s="10" t="n">
        <v>0.9671486320182613</v>
      </c>
      <c r="I384" s="10" t="n">
        <v>0.234525</v>
      </c>
      <c r="J384" s="5" t="inlineStr">
        <is>
          <t>Cleaner sand</t>
        </is>
      </c>
      <c r="K384" s="11" t="n">
        <v>14.92473652292608</v>
      </c>
      <c r="L384" s="12" t="n">
        <v>1.587674732713652</v>
      </c>
      <c r="M384" s="12" t="n">
        <v>3.181088771597275</v>
      </c>
      <c r="N384" s="12" t="n">
        <v>7.559299472334816</v>
      </c>
      <c r="O384" s="12" t="n">
        <v>317.7205150294944</v>
      </c>
      <c r="P384" s="5" t="inlineStr">
        <is>
          <t>Normal</t>
        </is>
      </c>
      <c r="Q384" s="5" t="inlineStr">
        <is>
          <t>Build</t>
        </is>
      </c>
      <c r="R384" s="12" t="n">
        <v>0.7</v>
      </c>
      <c r="S384" s="5" t="inlineStr">
        <is>
          <t>ACCEPTED</t>
        </is>
      </c>
      <c r="T384" s="5" t="inlineStr">
        <is>
          <t>Normal operation</t>
        </is>
      </c>
    </row>
    <row r="385" s="17">
      <c r="A385" s="7" t="n">
        <v>5250</v>
      </c>
      <c r="B385" s="8" t="n">
        <v>64856.929966</v>
      </c>
      <c r="C385" s="9" t="n">
        <v>64.85692996600001</v>
      </c>
      <c r="D385" s="9" t="n">
        <v>130.02772322</v>
      </c>
      <c r="E385" s="9" t="n">
        <v>51.3970219</v>
      </c>
      <c r="F385" s="10" t="n">
        <v>0.09677712526483534</v>
      </c>
      <c r="G385" s="10" t="n">
        <v>0.320382587235139</v>
      </c>
      <c r="H385" s="10" t="n">
        <v>0.8648788771392484</v>
      </c>
      <c r="I385" s="10" t="n">
        <v>1.352287</v>
      </c>
      <c r="J385" s="5" t="inlineStr">
        <is>
          <t>Transition</t>
        </is>
      </c>
      <c r="K385" s="11" t="n">
        <v>19.91859213414561</v>
      </c>
      <c r="L385" s="12" t="n">
        <v>1.431642114084561</v>
      </c>
      <c r="M385" s="12" t="n">
        <v>3.133366383942052</v>
      </c>
      <c r="N385" s="12" t="n">
        <v>9.463621165042415</v>
      </c>
      <c r="O385" s="12" t="n">
        <v>318.1863735612591</v>
      </c>
      <c r="P385" s="5" t="inlineStr">
        <is>
          <t>Normal</t>
        </is>
      </c>
      <c r="Q385" s="5" t="inlineStr">
        <is>
          <t>Turn Left</t>
        </is>
      </c>
      <c r="R385" s="12" t="n">
        <v>0.76</v>
      </c>
      <c r="S385" s="5" t="inlineStr">
        <is>
          <t>ACCEPTED</t>
        </is>
      </c>
      <c r="T385" s="5" t="inlineStr">
        <is>
          <t>Normal operation</t>
        </is>
      </c>
    </row>
    <row r="386" s="17">
      <c r="A386" s="7" t="n">
        <v>5255</v>
      </c>
      <c r="B386" s="8" t="n">
        <v>72164.087216</v>
      </c>
      <c r="C386" s="9" t="n">
        <v>72.164087216</v>
      </c>
      <c r="D386" s="9" t="n">
        <v>152.01524853</v>
      </c>
      <c r="E386" s="9" t="n">
        <v>47.56835006</v>
      </c>
      <c r="F386" s="10" t="n">
        <v>0.08967256070205552</v>
      </c>
      <c r="G386" s="10" t="n">
        <v>0.3170754764463226</v>
      </c>
      <c r="H386" s="10" t="n">
        <v>0.9538264430849864</v>
      </c>
      <c r="I386" s="10" t="n">
        <v>0.437032</v>
      </c>
      <c r="J386" s="5" t="inlineStr">
        <is>
          <t>Transition</t>
        </is>
      </c>
      <c r="K386" s="11" t="n">
        <v>21.02915874384378</v>
      </c>
      <c r="L386" s="12" t="n">
        <v>1.1</v>
      </c>
      <c r="M386" s="12" t="n">
        <v>3.22326290692673</v>
      </c>
      <c r="N386" s="12" t="n">
        <v>8.126915919932747</v>
      </c>
      <c r="O386" s="12" t="n">
        <v>316.8253434126297</v>
      </c>
      <c r="P386" s="5" t="inlineStr">
        <is>
          <t>Normal</t>
        </is>
      </c>
      <c r="Q386" s="5" t="inlineStr">
        <is>
          <t>Build</t>
        </is>
      </c>
      <c r="R386" s="12" t="n">
        <v>0.58</v>
      </c>
      <c r="S386" s="5" t="inlineStr">
        <is>
          <t>REDUCED</t>
        </is>
      </c>
      <c r="T386" s="5" t="inlineStr">
        <is>
          <t>WOB outside preferred band</t>
        </is>
      </c>
    </row>
    <row r="387" s="17">
      <c r="A387" s="7" t="n">
        <v>5260</v>
      </c>
      <c r="B387" s="8" t="n">
        <v>35183.469148</v>
      </c>
      <c r="C387" s="9" t="n">
        <v>35.18346914799999</v>
      </c>
      <c r="D387" s="9" t="n">
        <v>142.05678752</v>
      </c>
      <c r="E387" s="9" t="n">
        <v>55.82304734</v>
      </c>
      <c r="F387" s="10" t="n">
        <v>0.04728339819117014</v>
      </c>
      <c r="G387" s="10" t="n">
        <v>0.1274472184921307</v>
      </c>
      <c r="H387" s="10" t="n">
        <v>0.9536293666355821</v>
      </c>
      <c r="I387" s="10" t="n">
        <v>0.268463</v>
      </c>
      <c r="J387" s="5" t="inlineStr">
        <is>
          <t>Cleaner sand</t>
        </is>
      </c>
      <c r="K387" s="11" t="n">
        <v>15.13714975234636</v>
      </c>
      <c r="L387" s="12" t="n">
        <v>1.911664052219161</v>
      </c>
      <c r="M387" s="12" t="n">
        <v>1.85</v>
      </c>
      <c r="N387" s="12" t="n">
        <v>6.153305219819029</v>
      </c>
      <c r="O387" s="12" t="n">
        <v>336.0797914079988</v>
      </c>
      <c r="P387" s="5" t="inlineStr">
        <is>
          <t>Normal</t>
        </is>
      </c>
      <c r="Q387" s="5" t="inlineStr">
        <is>
          <t>Build</t>
        </is>
      </c>
      <c r="R387" s="12" t="n">
        <v>0.49</v>
      </c>
      <c r="S387" s="5" t="inlineStr">
        <is>
          <t>REJECTED</t>
        </is>
      </c>
      <c r="T387" s="5" t="inlineStr">
        <is>
          <t>Normal operation</t>
        </is>
      </c>
    </row>
    <row r="388" s="17">
      <c r="A388" s="7" t="n">
        <v>5265</v>
      </c>
      <c r="B388" s="8" t="n">
        <v>45134.539545</v>
      </c>
      <c r="C388" s="9" t="n">
        <v>45.134539545</v>
      </c>
      <c r="D388" s="9" t="n">
        <v>137.42509815</v>
      </c>
      <c r="E388" s="9" t="n">
        <v>44.6872981</v>
      </c>
      <c r="F388" s="10" t="n">
        <v>0.1555218131273581</v>
      </c>
      <c r="G388" s="10" t="n">
        <v>0.1367945655760249</v>
      </c>
      <c r="H388" s="10" t="n">
        <v>0.923926801495798</v>
      </c>
      <c r="I388" s="10" t="n">
        <v>1.180534</v>
      </c>
      <c r="J388" s="5" t="inlineStr">
        <is>
          <t>Cleaner sand</t>
        </is>
      </c>
      <c r="K388" s="11" t="n">
        <v>17.15872899864652</v>
      </c>
      <c r="L388" s="12" t="n">
        <v>1.398976588565663</v>
      </c>
      <c r="M388" s="12" t="n">
        <v>3.388126718959399</v>
      </c>
      <c r="N388" s="12" t="n">
        <v>6.786911401684752</v>
      </c>
      <c r="O388" s="12" t="n">
        <v>288.2851699794804</v>
      </c>
      <c r="P388" s="5" t="inlineStr">
        <is>
          <t>Normal</t>
        </is>
      </c>
      <c r="Q388" s="5" t="inlineStr">
        <is>
          <t>Build</t>
        </is>
      </c>
      <c r="R388" s="12" t="n">
        <v>0.41</v>
      </c>
      <c r="S388" s="5" t="inlineStr">
        <is>
          <t>REJECTED</t>
        </is>
      </c>
      <c r="T388" s="5" t="inlineStr">
        <is>
          <t>Normal operation</t>
        </is>
      </c>
    </row>
    <row r="389" s="17">
      <c r="A389" s="7" t="n">
        <v>5270</v>
      </c>
      <c r="B389" s="8" t="n">
        <v>58690.2489</v>
      </c>
      <c r="C389" s="9" t="n">
        <v>58.6902489</v>
      </c>
      <c r="D389" s="9" t="n">
        <v>147.89337768</v>
      </c>
      <c r="E389" s="9" t="n">
        <v>38.42671536</v>
      </c>
      <c r="F389" s="10" t="n">
        <v>0.09826786512054822</v>
      </c>
      <c r="G389" s="10" t="n">
        <v>0.3387003039052504</v>
      </c>
      <c r="H389" s="10" t="n">
        <v>0.896878494385668</v>
      </c>
      <c r="I389" s="10" t="n">
        <v>1.040792</v>
      </c>
      <c r="J389" s="5" t="inlineStr">
        <is>
          <t>Transition</t>
        </is>
      </c>
      <c r="K389" s="11" t="n">
        <v>21.18633198069451</v>
      </c>
      <c r="L389" s="12" t="n">
        <v>1.1</v>
      </c>
      <c r="M389" s="12" t="n">
        <v>3.240114863895489</v>
      </c>
      <c r="N389" s="12" t="n">
        <v>6.170238044162708</v>
      </c>
      <c r="O389" s="12" t="n">
        <v>313.1002230508815</v>
      </c>
      <c r="P389" s="5" t="inlineStr">
        <is>
          <t>Normal</t>
        </is>
      </c>
      <c r="Q389" s="5" t="inlineStr">
        <is>
          <t>Build</t>
        </is>
      </c>
      <c r="R389" s="12" t="n">
        <v>0.85</v>
      </c>
      <c r="S389" s="5" t="inlineStr">
        <is>
          <t>ACCEPTED</t>
        </is>
      </c>
      <c r="T389" s="5" t="inlineStr">
        <is>
          <t>Normal operation</t>
        </is>
      </c>
    </row>
    <row r="390" s="17">
      <c r="A390" s="7" t="n">
        <v>5275</v>
      </c>
      <c r="B390" s="8" t="n">
        <v>50402.820188</v>
      </c>
      <c r="C390" s="9" t="n">
        <v>50.402820188</v>
      </c>
      <c r="D390" s="9" t="n">
        <v>128.49335689</v>
      </c>
      <c r="E390" s="9" t="n">
        <v>41.59912972</v>
      </c>
      <c r="F390" s="10" t="n">
        <v>0.06115691421513506</v>
      </c>
      <c r="G390" s="10" t="n">
        <v>0.1025724468832936</v>
      </c>
      <c r="H390" s="10" t="n">
        <v>0.9269798284663064</v>
      </c>
      <c r="I390" s="10" t="n">
        <v>0.470819</v>
      </c>
      <c r="J390" s="5" t="inlineStr">
        <is>
          <t>Cleaner sand</t>
        </is>
      </c>
      <c r="K390" s="11" t="n">
        <v>18.73634760798051</v>
      </c>
      <c r="L390" s="12" t="n">
        <v>1.1</v>
      </c>
      <c r="M390" s="12" t="n">
        <v>1.904253987686515</v>
      </c>
      <c r="N390" s="12" t="n">
        <v>5.824679154387061</v>
      </c>
      <c r="O390" s="12" t="n">
        <v>301.9873456289572</v>
      </c>
      <c r="P390" s="5" t="inlineStr">
        <is>
          <t>Normal</t>
        </is>
      </c>
      <c r="Q390" s="5" t="inlineStr">
        <is>
          <t>Build</t>
        </is>
      </c>
      <c r="R390" s="12" t="n">
        <v>0.75</v>
      </c>
      <c r="S390" s="5" t="inlineStr">
        <is>
          <t>ACCEPTED</t>
        </is>
      </c>
      <c r="T390" s="5" t="inlineStr">
        <is>
          <t>Normal operation</t>
        </is>
      </c>
    </row>
    <row r="391" s="17">
      <c r="A391" s="7" t="n">
        <v>5280</v>
      </c>
      <c r="B391" s="8" t="n">
        <v>65386.534573</v>
      </c>
      <c r="C391" s="9" t="n">
        <v>65.38653457299999</v>
      </c>
      <c r="D391" s="9" t="n">
        <v>136.43002862</v>
      </c>
      <c r="E391" s="9" t="n">
        <v>48.78181886</v>
      </c>
      <c r="F391" s="10" t="n">
        <v>0.1215667326767661</v>
      </c>
      <c r="G391" s="10" t="n">
        <v>0.164497069719615</v>
      </c>
      <c r="H391" s="10" t="n">
        <v>0.9042426755591429</v>
      </c>
      <c r="I391" s="10" t="n">
        <v>1.186197</v>
      </c>
      <c r="J391" s="5" t="inlineStr">
        <is>
          <t>Cleaner sand</t>
        </is>
      </c>
      <c r="K391" s="11" t="n">
        <v>19.96484924110706</v>
      </c>
      <c r="L391" s="12" t="n">
        <v>1.646517696525188</v>
      </c>
      <c r="M391" s="12" t="n">
        <v>2.489815544502115</v>
      </c>
      <c r="N391" s="12" t="n">
        <v>7.798507983217235</v>
      </c>
      <c r="O391" s="12" t="n">
        <v>305.5578277371816</v>
      </c>
      <c r="P391" s="5" t="inlineStr">
        <is>
          <t>Normal</t>
        </is>
      </c>
      <c r="Q391" s="5" t="inlineStr">
        <is>
          <t>Build</t>
        </is>
      </c>
      <c r="R391" s="12" t="n">
        <v>0.53</v>
      </c>
      <c r="S391" s="5" t="inlineStr">
        <is>
          <t>REDUCED</t>
        </is>
      </c>
      <c r="T391" s="5" t="inlineStr">
        <is>
          <t>Normal operation</t>
        </is>
      </c>
    </row>
    <row r="392" s="17">
      <c r="A392" s="7" t="n">
        <v>5285</v>
      </c>
      <c r="B392" s="8" t="n">
        <v>58894.989714</v>
      </c>
      <c r="C392" s="9" t="n">
        <v>58.894989714</v>
      </c>
      <c r="D392" s="9" t="n">
        <v>147.16934304</v>
      </c>
      <c r="E392" s="9" t="n">
        <v>36.04617992</v>
      </c>
      <c r="F392" s="10" t="n">
        <v>0.05306973966971128</v>
      </c>
      <c r="G392" s="10" t="n">
        <v>0.3485083583923542</v>
      </c>
      <c r="H392" s="10" t="n">
        <v>0.9205373151084244</v>
      </c>
      <c r="I392" s="10" t="n">
        <v>0.459889</v>
      </c>
      <c r="J392" s="5" t="inlineStr">
        <is>
          <t>Transition</t>
        </is>
      </c>
      <c r="K392" s="11" t="n">
        <v>18.44940273373781</v>
      </c>
      <c r="L392" s="12" t="n">
        <v>2.528403282368175</v>
      </c>
      <c r="M392" s="12" t="n">
        <v>2.621134458898434</v>
      </c>
      <c r="N392" s="12" t="n">
        <v>4.521232201853643</v>
      </c>
      <c r="O392" s="12" t="n">
        <v>289.9680793116972</v>
      </c>
      <c r="P392" s="5" t="inlineStr">
        <is>
          <t>Normal</t>
        </is>
      </c>
      <c r="Q392" s="5" t="inlineStr">
        <is>
          <t>Build</t>
        </is>
      </c>
      <c r="R392" s="12" t="n">
        <v>0.63</v>
      </c>
      <c r="S392" s="5" t="inlineStr">
        <is>
          <t>REDUCED</t>
        </is>
      </c>
      <c r="T392" s="5" t="inlineStr">
        <is>
          <t>High vibration detected</t>
        </is>
      </c>
    </row>
    <row r="393" s="17">
      <c r="A393" s="7" t="n">
        <v>5290</v>
      </c>
      <c r="B393" s="8" t="n">
        <v>43842.39306</v>
      </c>
      <c r="C393" s="9" t="n">
        <v>43.84239306</v>
      </c>
      <c r="D393" s="9" t="n">
        <v>143.2972248</v>
      </c>
      <c r="E393" s="9" t="n">
        <v>65.79519854</v>
      </c>
      <c r="F393" s="10" t="n">
        <v>0.05550935942180668</v>
      </c>
      <c r="G393" s="10" t="n">
        <v>0.05559511143683347</v>
      </c>
      <c r="H393" s="10" t="n">
        <v>0.9503755579266969</v>
      </c>
      <c r="I393" s="10" t="n">
        <v>0.310029</v>
      </c>
      <c r="J393" s="5" t="inlineStr">
        <is>
          <t>Cleaner sand</t>
        </is>
      </c>
      <c r="K393" s="11" t="n">
        <v>17.07123851063733</v>
      </c>
      <c r="L393" s="12" t="n">
        <v>2.474017015128456</v>
      </c>
      <c r="M393" s="12" t="n">
        <v>2.512506319946759</v>
      </c>
      <c r="N393" s="12" t="n">
        <v>8.17446009515365</v>
      </c>
      <c r="O393" s="12" t="n">
        <v>292.6106901614905</v>
      </c>
      <c r="P393" s="5" t="inlineStr">
        <is>
          <t>Normal</t>
        </is>
      </c>
      <c r="Q393" s="5" t="inlineStr">
        <is>
          <t>Build</t>
        </is>
      </c>
      <c r="R393" s="12" t="n">
        <v>0.84</v>
      </c>
      <c r="S393" s="5" t="inlineStr">
        <is>
          <t>ACCEPTED</t>
        </is>
      </c>
      <c r="T393" s="5" t="inlineStr">
        <is>
          <t>Normal operation</t>
        </is>
      </c>
    </row>
    <row r="394" s="17">
      <c r="A394" s="7" t="n">
        <v>5295</v>
      </c>
      <c r="B394" s="8" t="n">
        <v>55995.61132</v>
      </c>
      <c r="C394" s="9" t="n">
        <v>55.99561132</v>
      </c>
      <c r="D394" s="9" t="n">
        <v>141.39511078</v>
      </c>
      <c r="E394" s="9" t="n">
        <v>41.18618838</v>
      </c>
      <c r="F394" s="10" t="n">
        <v>0.1598824457377218</v>
      </c>
      <c r="G394" s="10" t="n">
        <v>0.2442240678718564</v>
      </c>
      <c r="H394" s="10" t="n">
        <v>0.9289755334581618</v>
      </c>
      <c r="I394" s="10" t="n">
        <v>1.13699</v>
      </c>
      <c r="J394" s="5" t="inlineStr">
        <is>
          <t>Cleaner sand</t>
        </is>
      </c>
      <c r="K394" s="11" t="n">
        <v>17.49432580678799</v>
      </c>
      <c r="L394" s="12" t="n">
        <v>1.436022834272727</v>
      </c>
      <c r="M394" s="12" t="n">
        <v>2.854740430807404</v>
      </c>
      <c r="N394" s="12" t="n">
        <v>7.163203787551429</v>
      </c>
      <c r="O394" s="12" t="n">
        <v>296.689987494401</v>
      </c>
      <c r="P394" s="5" t="inlineStr">
        <is>
          <t>Normal</t>
        </is>
      </c>
      <c r="Q394" s="5" t="inlineStr">
        <is>
          <t>Build</t>
        </is>
      </c>
      <c r="R394" s="12" t="n">
        <v>0.7</v>
      </c>
      <c r="S394" s="5" t="inlineStr">
        <is>
          <t>ACCEPTED</t>
        </is>
      </c>
      <c r="T394" s="5" t="inlineStr">
        <is>
          <t>Normal operation</t>
        </is>
      </c>
    </row>
    <row r="395" s="17">
      <c r="A395" s="7" t="n">
        <v>5300</v>
      </c>
      <c r="B395" s="8" t="n">
        <v>70428.40115000001</v>
      </c>
      <c r="C395" s="9" t="n">
        <v>70.42840115</v>
      </c>
      <c r="D395" s="9" t="n">
        <v>163.36866191</v>
      </c>
      <c r="E395" s="9" t="n">
        <v>30</v>
      </c>
      <c r="F395" s="10" t="n">
        <v>0.1013448860906791</v>
      </c>
      <c r="G395" s="10" t="n">
        <v>0.3487370422835854</v>
      </c>
      <c r="H395" s="10" t="n">
        <v>0.883023552220213</v>
      </c>
      <c r="I395" s="10" t="n">
        <v>1.203477</v>
      </c>
      <c r="J395" s="5" t="inlineStr">
        <is>
          <t>Transition</t>
        </is>
      </c>
      <c r="K395" s="11" t="n">
        <v>23.30051996617291</v>
      </c>
      <c r="L395" s="12" t="n">
        <v>1.364916090422728</v>
      </c>
      <c r="M395" s="12" t="n">
        <v>3.700322001748576</v>
      </c>
      <c r="N395" s="12" t="n">
        <v>7.643033666594499</v>
      </c>
      <c r="O395" s="12" t="n">
        <v>317.107940044236</v>
      </c>
      <c r="P395" s="5" t="inlineStr">
        <is>
          <t>Normal</t>
        </is>
      </c>
      <c r="Q395" s="5" t="inlineStr">
        <is>
          <t>Turn Left</t>
        </is>
      </c>
      <c r="R395" s="12" t="n">
        <v>0.57</v>
      </c>
      <c r="S395" s="5" t="inlineStr">
        <is>
          <t>REDUCED</t>
        </is>
      </c>
      <c r="T395" s="5" t="inlineStr">
        <is>
          <t>WOB outside preferred band</t>
        </is>
      </c>
    </row>
    <row r="396" s="17">
      <c r="A396" s="7" t="n">
        <v>5305</v>
      </c>
      <c r="B396" s="8" t="n">
        <v>54028.801343</v>
      </c>
      <c r="C396" s="9" t="n">
        <v>54.028801343</v>
      </c>
      <c r="D396" s="9" t="n">
        <v>142.17491237</v>
      </c>
      <c r="E396" s="9" t="n">
        <v>46.02394238</v>
      </c>
      <c r="F396" s="10" t="n">
        <v>0.03689496028730783</v>
      </c>
      <c r="G396" s="10" t="n">
        <v>0.1023943871900934</v>
      </c>
      <c r="H396" s="10" t="n">
        <v>0.9779027136538445</v>
      </c>
      <c r="I396" s="10" t="n">
        <v>0.103684</v>
      </c>
      <c r="J396" s="5" t="inlineStr">
        <is>
          <t>Cleaner sand</t>
        </is>
      </c>
      <c r="K396" s="11" t="n">
        <v>19.63226024372006</v>
      </c>
      <c r="L396" s="12" t="n">
        <v>1.889699385476762</v>
      </c>
      <c r="M396" s="12" t="n">
        <v>3.388247641007525</v>
      </c>
      <c r="N396" s="12" t="n">
        <v>5.761500433675118</v>
      </c>
      <c r="O396" s="12" t="n">
        <v>290.4001952389654</v>
      </c>
      <c r="P396" s="5" t="inlineStr">
        <is>
          <t>Normal</t>
        </is>
      </c>
      <c r="Q396" s="5" t="inlineStr">
        <is>
          <t>Build</t>
        </is>
      </c>
      <c r="R396" s="12" t="n">
        <v>0.55</v>
      </c>
      <c r="S396" s="5" t="inlineStr">
        <is>
          <t>REDUCED</t>
        </is>
      </c>
      <c r="T396" s="5" t="inlineStr">
        <is>
          <t>Normal operation</t>
        </is>
      </c>
    </row>
    <row r="397" s="17">
      <c r="A397" s="7" t="n">
        <v>5310</v>
      </c>
      <c r="B397" s="8" t="n">
        <v>41136.026806</v>
      </c>
      <c r="C397" s="9" t="n">
        <v>41.136026806</v>
      </c>
      <c r="D397" s="9" t="n">
        <v>129.35257772</v>
      </c>
      <c r="E397" s="9" t="n">
        <v>43.63440416</v>
      </c>
      <c r="F397" s="10" t="n">
        <v>0.1009477952836432</v>
      </c>
      <c r="G397" s="10" t="n">
        <v>0.1017986079232626</v>
      </c>
      <c r="H397" s="10" t="n">
        <v>0.9015829670178582</v>
      </c>
      <c r="I397" s="10" t="n">
        <v>0.981535</v>
      </c>
      <c r="J397" s="5" t="inlineStr">
        <is>
          <t>Cleaner sand</t>
        </is>
      </c>
      <c r="K397" s="11" t="n">
        <v>15.61238440255245</v>
      </c>
      <c r="L397" s="12" t="n">
        <v>1.170791134797737</v>
      </c>
      <c r="M397" s="12" t="n">
        <v>1.85</v>
      </c>
      <c r="N397" s="12" t="n">
        <v>6.306807169003384</v>
      </c>
      <c r="O397" s="12" t="n">
        <v>270.1290185275509</v>
      </c>
      <c r="P397" s="5" t="inlineStr">
        <is>
          <t>Normal</t>
        </is>
      </c>
      <c r="Q397" s="5" t="inlineStr">
        <is>
          <t>Build</t>
        </is>
      </c>
      <c r="R397" s="12" t="n">
        <v>0.52</v>
      </c>
      <c r="S397" s="5" t="inlineStr">
        <is>
          <t>REDUCED</t>
        </is>
      </c>
      <c r="T397" s="5" t="inlineStr">
        <is>
          <t>Normal operation</t>
        </is>
      </c>
    </row>
    <row r="398" s="17">
      <c r="A398" s="7" t="n">
        <v>5315</v>
      </c>
      <c r="B398" s="8" t="n">
        <v>61750.68258</v>
      </c>
      <c r="C398" s="9" t="n">
        <v>61.75068258</v>
      </c>
      <c r="D398" s="9" t="n">
        <v>167.27049065</v>
      </c>
      <c r="E398" s="9" t="n">
        <v>48.94291934</v>
      </c>
      <c r="F398" s="10" t="n">
        <v>0.04804472359590309</v>
      </c>
      <c r="G398" s="10" t="n">
        <v>0.185384412230129</v>
      </c>
      <c r="H398" s="10" t="n">
        <v>0.8915328014091241</v>
      </c>
      <c r="I398" s="10" t="n">
        <v>0.519597</v>
      </c>
      <c r="J398" s="5" t="inlineStr">
        <is>
          <t>Cleaner sand</t>
        </is>
      </c>
      <c r="K398" s="11" t="n">
        <v>18.15990655389027</v>
      </c>
      <c r="L398" s="12" t="n">
        <v>1.807878030911538</v>
      </c>
      <c r="M398" s="12" t="n">
        <v>2.955798918712274</v>
      </c>
      <c r="N398" s="12" t="n">
        <v>4.777041049422373</v>
      </c>
      <c r="O398" s="12" t="n">
        <v>270.6217226608109</v>
      </c>
      <c r="P398" s="5" t="inlineStr">
        <is>
          <t>Normal</t>
        </is>
      </c>
      <c r="Q398" s="5" t="inlineStr">
        <is>
          <t>Build</t>
        </is>
      </c>
      <c r="R398" s="12" t="n">
        <v>0.85</v>
      </c>
      <c r="S398" s="5" t="inlineStr">
        <is>
          <t>ACCEPTED</t>
        </is>
      </c>
      <c r="T398" s="5" t="inlineStr">
        <is>
          <t>Normal operation</t>
        </is>
      </c>
    </row>
    <row r="399" s="17">
      <c r="A399" s="7" t="n">
        <v>5320</v>
      </c>
      <c r="B399" s="8" t="n">
        <v>38116.018278</v>
      </c>
      <c r="C399" s="9" t="n">
        <v>38.11601827800001</v>
      </c>
      <c r="D399" s="9" t="n">
        <v>127.2590188</v>
      </c>
      <c r="E399" s="9" t="n">
        <v>78.17601610000001</v>
      </c>
      <c r="F399" s="10" t="n">
        <v>0.04996492311245817</v>
      </c>
      <c r="G399" s="10" t="n">
        <v>0.1157435611182417</v>
      </c>
      <c r="H399" s="10" t="n">
        <v>0.9418937350945433</v>
      </c>
      <c r="I399" s="10" t="n">
        <v>0.304497</v>
      </c>
      <c r="J399" s="5" t="inlineStr">
        <is>
          <t>Cleaner sand</t>
        </is>
      </c>
      <c r="K399" s="11" t="n">
        <v>16.87998754704432</v>
      </c>
      <c r="L399" s="12" t="n">
        <v>2.035379336408498</v>
      </c>
      <c r="M399" s="12" t="n">
        <v>3.488996867126343</v>
      </c>
      <c r="N399" s="12" t="n">
        <v>6.096485583615927</v>
      </c>
      <c r="O399" s="12" t="n">
        <v>266.545703858652</v>
      </c>
      <c r="P399" s="5" t="inlineStr">
        <is>
          <t>Normal</t>
        </is>
      </c>
      <c r="Q399" s="5" t="inlineStr">
        <is>
          <t>Build</t>
        </is>
      </c>
      <c r="R399" s="12" t="n">
        <v>0.72</v>
      </c>
      <c r="S399" s="5" t="inlineStr">
        <is>
          <t>ACCEPTED</t>
        </is>
      </c>
      <c r="T399" s="5" t="inlineStr">
        <is>
          <t>Normal operation</t>
        </is>
      </c>
    </row>
    <row r="400" s="17">
      <c r="A400" s="7" t="n">
        <v>5325</v>
      </c>
      <c r="B400" s="8" t="n">
        <v>56887.19168</v>
      </c>
      <c r="C400" s="9" t="n">
        <v>56.88719168</v>
      </c>
      <c r="D400" s="9" t="n">
        <v>124.13199209</v>
      </c>
      <c r="E400" s="9" t="n">
        <v>40.43351694</v>
      </c>
      <c r="F400" s="10" t="n">
        <v>0.09862339621092372</v>
      </c>
      <c r="G400" s="10" t="n">
        <v>0.3248346920742147</v>
      </c>
      <c r="H400" s="10" t="n">
        <v>0.9002065092054748</v>
      </c>
      <c r="I400" s="10" t="n">
        <v>1.004066</v>
      </c>
      <c r="J400" s="5" t="inlineStr">
        <is>
          <t>Transition</t>
        </is>
      </c>
      <c r="K400" s="11" t="n">
        <v>18.86400007889602</v>
      </c>
      <c r="L400" s="12" t="n">
        <v>2.26119727970331</v>
      </c>
      <c r="M400" s="12" t="n">
        <v>2.703042476684784</v>
      </c>
      <c r="N400" s="12" t="n">
        <v>7.558706319237138</v>
      </c>
      <c r="O400" s="12" t="n">
        <v>249.3259818484265</v>
      </c>
      <c r="P400" s="5" t="inlineStr">
        <is>
          <t>Normal</t>
        </is>
      </c>
      <c r="Q400" s="5" t="inlineStr">
        <is>
          <t>Build</t>
        </is>
      </c>
      <c r="R400" s="12" t="n">
        <v>0.79</v>
      </c>
      <c r="S400" s="5" t="inlineStr">
        <is>
          <t>ACCEPTED</t>
        </is>
      </c>
      <c r="T400" s="5" t="inlineStr">
        <is>
          <t>Normal operation</t>
        </is>
      </c>
    </row>
    <row r="401" s="17">
      <c r="A401" s="7" t="n">
        <v>5330</v>
      </c>
      <c r="B401" s="8" t="n">
        <v>73319.417237</v>
      </c>
      <c r="C401" s="9" t="n">
        <v>73.319417237</v>
      </c>
      <c r="D401" s="9" t="n">
        <v>156.97711376</v>
      </c>
      <c r="E401" s="9" t="n">
        <v>34.94149642</v>
      </c>
      <c r="F401" s="10" t="n">
        <v>0.08362118592263694</v>
      </c>
      <c r="G401" s="10" t="n">
        <v>0.3478065439370934</v>
      </c>
      <c r="H401" s="10" t="n">
        <v>0.8984802804920036</v>
      </c>
      <c r="I401" s="10" t="n">
        <v>0.884674</v>
      </c>
      <c r="J401" s="5" t="inlineStr">
        <is>
          <t>Transition</t>
        </is>
      </c>
      <c r="K401" s="11" t="n">
        <v>23.23859789446132</v>
      </c>
      <c r="L401" s="12" t="n">
        <v>1.610924502524823</v>
      </c>
      <c r="M401" s="12" t="n">
        <v>3.234165756475067</v>
      </c>
      <c r="N401" s="12" t="n">
        <v>8.74024530211512</v>
      </c>
      <c r="O401" s="12" t="n">
        <v>260.1773391787604</v>
      </c>
      <c r="P401" s="5" t="inlineStr">
        <is>
          <t>Normal</t>
        </is>
      </c>
      <c r="Q401" s="5" t="inlineStr">
        <is>
          <t>Build</t>
        </is>
      </c>
      <c r="R401" s="12" t="n">
        <v>0.87</v>
      </c>
      <c r="S401" s="5" t="inlineStr">
        <is>
          <t>ACCEPTED</t>
        </is>
      </c>
      <c r="T401" s="5" t="inlineStr">
        <is>
          <t>WOB outside preferred band</t>
        </is>
      </c>
    </row>
    <row r="402" s="17">
      <c r="A402" s="7" t="n">
        <v>5335</v>
      </c>
      <c r="B402" s="8" t="n">
        <v>33272.266646</v>
      </c>
      <c r="C402" s="9" t="n">
        <v>33.272266646</v>
      </c>
      <c r="D402" s="9" t="n">
        <v>122.92037058</v>
      </c>
      <c r="E402" s="9" t="n">
        <v>58.27155996</v>
      </c>
      <c r="F402" s="10" t="n">
        <v>0.06855387276534838</v>
      </c>
      <c r="G402" s="10" t="n">
        <v>0.0970861812551692</v>
      </c>
      <c r="H402" s="10" t="n">
        <v>0.9109666264189928</v>
      </c>
      <c r="I402" s="10" t="n">
        <v>0.629089</v>
      </c>
      <c r="J402" s="5" t="inlineStr">
        <is>
          <t>Cleaner sand</t>
        </is>
      </c>
      <c r="K402" s="11" t="n">
        <v>13.04081683353677</v>
      </c>
      <c r="L402" s="12" t="n">
        <v>1.560199862413287</v>
      </c>
      <c r="M402" s="12" t="n">
        <v>3.939025977910637</v>
      </c>
      <c r="N402" s="12" t="n">
        <v>5.75446776445439</v>
      </c>
      <c r="O402" s="12" t="n">
        <v>267.0068539517607</v>
      </c>
      <c r="P402" s="5" t="inlineStr">
        <is>
          <t>Normal</t>
        </is>
      </c>
      <c r="Q402" s="5" t="inlineStr">
        <is>
          <t>Build</t>
        </is>
      </c>
      <c r="R402" s="12" t="n">
        <v>0.9399999999999999</v>
      </c>
      <c r="S402" s="5" t="inlineStr">
        <is>
          <t>ACCEPTED</t>
        </is>
      </c>
      <c r="T402" s="5" t="inlineStr">
        <is>
          <t>Normal operation</t>
        </is>
      </c>
    </row>
    <row r="403" s="17">
      <c r="A403" s="7" t="n">
        <v>5340</v>
      </c>
      <c r="B403" s="8" t="n">
        <v>44622.661256</v>
      </c>
      <c r="C403" s="9" t="n">
        <v>44.622661256</v>
      </c>
      <c r="D403" s="9" t="n">
        <v>139.85569025</v>
      </c>
      <c r="E403" s="9" t="n">
        <v>45.73673</v>
      </c>
      <c r="F403" s="10" t="n">
        <v>0.0312205040909497</v>
      </c>
      <c r="G403" s="10" t="n">
        <v>0.1092115862374352</v>
      </c>
      <c r="H403" s="10" t="n">
        <v>0.9589104990097479</v>
      </c>
      <c r="I403" s="10" t="n">
        <v>0.136206</v>
      </c>
      <c r="J403" s="5" t="inlineStr">
        <is>
          <t>Cleaner sand</t>
        </is>
      </c>
      <c r="K403" s="11" t="n">
        <v>16.12345251221833</v>
      </c>
      <c r="L403" s="12" t="n">
        <v>1.229788532489285</v>
      </c>
      <c r="M403" s="12" t="n">
        <v>3.11605005054204</v>
      </c>
      <c r="N403" s="12" t="n">
        <v>6.857022212715004</v>
      </c>
      <c r="O403" s="12" t="n">
        <v>243.1522808506125</v>
      </c>
      <c r="P403" s="5" t="inlineStr">
        <is>
          <t>Normal</t>
        </is>
      </c>
      <c r="Q403" s="5" t="inlineStr">
        <is>
          <t>Build</t>
        </is>
      </c>
      <c r="R403" s="12" t="n">
        <v>0.54</v>
      </c>
      <c r="S403" s="5" t="inlineStr">
        <is>
          <t>REDUCED</t>
        </is>
      </c>
      <c r="T403" s="5" t="inlineStr">
        <is>
          <t>Normal operation</t>
        </is>
      </c>
    </row>
    <row r="404" s="17">
      <c r="A404" s="7" t="n">
        <v>5345</v>
      </c>
      <c r="B404" s="8" t="n">
        <v>59338.646508</v>
      </c>
      <c r="C404" s="9" t="n">
        <v>59.338646508</v>
      </c>
      <c r="D404" s="9" t="n">
        <v>120.35997433</v>
      </c>
      <c r="E404" s="9" t="n">
        <v>53.5251761</v>
      </c>
      <c r="F404" s="10" t="n">
        <v>0.102657532966866</v>
      </c>
      <c r="G404" s="10" t="n">
        <v>0.3304643638540279</v>
      </c>
      <c r="H404" s="10" t="n">
        <v>0.8843544606051106</v>
      </c>
      <c r="I404" s="10" t="n">
        <v>1.185386</v>
      </c>
      <c r="J404" s="5" t="inlineStr">
        <is>
          <t>Transition</t>
        </is>
      </c>
      <c r="K404" s="11" t="n">
        <v>19.43465918415039</v>
      </c>
      <c r="L404" s="12" t="n">
        <v>1.254828626520468</v>
      </c>
      <c r="M404" s="12" t="n">
        <v>2.464448805247103</v>
      </c>
      <c r="N404" s="12" t="n">
        <v>7.273899248991842</v>
      </c>
      <c r="O404" s="12" t="n">
        <v>262.6223602633459</v>
      </c>
      <c r="P404" s="5" t="inlineStr">
        <is>
          <t>Normal</t>
        </is>
      </c>
      <c r="Q404" s="5" t="inlineStr">
        <is>
          <t>Build</t>
        </is>
      </c>
      <c r="R404" s="12" t="n">
        <v>0.5</v>
      </c>
      <c r="S404" s="5" t="inlineStr">
        <is>
          <t>REDUCED</t>
        </is>
      </c>
      <c r="T404" s="5" t="inlineStr">
        <is>
          <t>Normal operation</t>
        </is>
      </c>
    </row>
    <row r="405" s="17">
      <c r="A405" s="7" t="n">
        <v>5350</v>
      </c>
      <c r="B405" s="8" t="n">
        <v>48988.956634</v>
      </c>
      <c r="C405" s="9" t="n">
        <v>48.988956634</v>
      </c>
      <c r="D405" s="9" t="n">
        <v>143.95207154</v>
      </c>
      <c r="E405" s="9" t="n">
        <v>69.11424283999999</v>
      </c>
      <c r="F405" s="10" t="n">
        <v>0.04087710568648983</v>
      </c>
      <c r="G405" s="10" t="n">
        <v>0.02397244566239175</v>
      </c>
      <c r="H405" s="10" t="n">
        <v>0.9841417926254882</v>
      </c>
      <c r="I405" s="10" t="n">
        <v>0.09336</v>
      </c>
      <c r="J405" s="5" t="inlineStr">
        <is>
          <t>Cleaner sand</t>
        </is>
      </c>
      <c r="K405" s="11" t="n">
        <v>17.5728642784664</v>
      </c>
      <c r="L405" s="12" t="n">
        <v>1.549025342968252</v>
      </c>
      <c r="M405" s="12" t="n">
        <v>3.069041078232097</v>
      </c>
      <c r="N405" s="12" t="n">
        <v>5.794470576942153</v>
      </c>
      <c r="O405" s="12" t="n">
        <v>253.2962029843922</v>
      </c>
      <c r="P405" s="5" t="inlineStr">
        <is>
          <t>Normal</t>
        </is>
      </c>
      <c r="Q405" s="5" t="inlineStr">
        <is>
          <t>Build</t>
        </is>
      </c>
      <c r="R405" s="12" t="n">
        <v>0.65</v>
      </c>
      <c r="S405" s="5" t="inlineStr">
        <is>
          <t>REDUCED</t>
        </is>
      </c>
      <c r="T405" s="5" t="inlineStr">
        <is>
          <t>Normal operation</t>
        </is>
      </c>
    </row>
    <row r="406" s="17">
      <c r="A406" s="7" t="n">
        <v>5355</v>
      </c>
      <c r="B406" s="8" t="n">
        <v>43561.83285</v>
      </c>
      <c r="C406" s="9" t="n">
        <v>43.56183285</v>
      </c>
      <c r="D406" s="9" t="n">
        <v>117.42594293</v>
      </c>
      <c r="E406" s="9" t="n">
        <v>39.3931444</v>
      </c>
      <c r="F406" s="10" t="n">
        <v>0.1592272224939104</v>
      </c>
      <c r="G406" s="10" t="n">
        <v>0.1048075302305938</v>
      </c>
      <c r="H406" s="10" t="n">
        <v>0.894477017501401</v>
      </c>
      <c r="I406" s="10" t="n">
        <v>1.701786</v>
      </c>
      <c r="J406" s="5" t="inlineStr">
        <is>
          <t>Cleaner sand</t>
        </is>
      </c>
      <c r="K406" s="11" t="n">
        <v>16.07765277737971</v>
      </c>
      <c r="L406" s="12" t="n">
        <v>1.840009098339927</v>
      </c>
      <c r="M406" s="12" t="n">
        <v>2.316899919960777</v>
      </c>
      <c r="N406" s="12" t="n">
        <v>8.516158858576578</v>
      </c>
      <c r="O406" s="12" t="n">
        <v>237.406016187953</v>
      </c>
      <c r="P406" s="5" t="inlineStr">
        <is>
          <t>Normal</t>
        </is>
      </c>
      <c r="Q406" s="5" t="inlineStr">
        <is>
          <t>Build</t>
        </is>
      </c>
      <c r="R406" s="12" t="n">
        <v>0.42</v>
      </c>
      <c r="S406" s="5" t="inlineStr">
        <is>
          <t>REJECTED</t>
        </is>
      </c>
      <c r="T406" s="5" t="inlineStr">
        <is>
          <t>Normal operation</t>
        </is>
      </c>
    </row>
    <row r="407" s="17">
      <c r="A407" s="7" t="n">
        <v>5360</v>
      </c>
      <c r="B407" s="8" t="n">
        <v>71147.40035900001</v>
      </c>
      <c r="C407" s="9" t="n">
        <v>71.147400359</v>
      </c>
      <c r="D407" s="9" t="n">
        <v>118.3587092</v>
      </c>
      <c r="E407" s="9" t="n">
        <v>34.42042004</v>
      </c>
      <c r="F407" s="10" t="n">
        <v>0.06238561623879635</v>
      </c>
      <c r="G407" s="10" t="n">
        <v>0.1965929382006798</v>
      </c>
      <c r="H407" s="10" t="n">
        <v>0.868452041774015</v>
      </c>
      <c r="I407" s="10" t="n">
        <v>0.830981</v>
      </c>
      <c r="J407" s="5" t="inlineStr">
        <is>
          <t>Cleaner sand</t>
        </is>
      </c>
      <c r="K407" s="11" t="n">
        <v>22.22415063693863</v>
      </c>
      <c r="L407" s="12" t="n">
        <v>2.107656466854292</v>
      </c>
      <c r="M407" s="12" t="n">
        <v>2.188184552664771</v>
      </c>
      <c r="N407" s="12" t="n">
        <v>6.944625717523537</v>
      </c>
      <c r="O407" s="12" t="n">
        <v>239.7227609423372</v>
      </c>
      <c r="P407" s="5" t="inlineStr">
        <is>
          <t>Normal</t>
        </is>
      </c>
      <c r="Q407" s="5" t="inlineStr">
        <is>
          <t>Build</t>
        </is>
      </c>
      <c r="R407" s="12" t="n">
        <v>0.84</v>
      </c>
      <c r="S407" s="5" t="inlineStr">
        <is>
          <t>ACCEPTED</t>
        </is>
      </c>
      <c r="T407" s="5" t="inlineStr">
        <is>
          <t>WOB outside preferred band</t>
        </is>
      </c>
    </row>
    <row r="408" s="17">
      <c r="A408" s="7" t="n">
        <v>5365</v>
      </c>
      <c r="B408" s="8" t="n">
        <v>45716.759806</v>
      </c>
      <c r="C408" s="9" t="n">
        <v>45.716759806</v>
      </c>
      <c r="D408" s="9" t="n">
        <v>123.94056085</v>
      </c>
      <c r="E408" s="9" t="n">
        <v>44.66577392000001</v>
      </c>
      <c r="F408" s="10" t="n">
        <v>0.06774386433779125</v>
      </c>
      <c r="G408" s="10" t="n">
        <v>0.1858554363688359</v>
      </c>
      <c r="H408" s="10" t="n">
        <v>0.9188153587949011</v>
      </c>
      <c r="I408" s="10" t="n">
        <v>0.582288</v>
      </c>
      <c r="J408" s="5" t="inlineStr">
        <is>
          <t>Cleaner sand</t>
        </is>
      </c>
      <c r="K408" s="11" t="n">
        <v>15.85643549111495</v>
      </c>
      <c r="L408" s="12" t="n">
        <v>1.266442314166631</v>
      </c>
      <c r="M408" s="12" t="n">
        <v>1.856058426269899</v>
      </c>
      <c r="N408" s="12" t="n">
        <v>7.770213996757069</v>
      </c>
      <c r="O408" s="12" t="n">
        <v>253.5814595760727</v>
      </c>
      <c r="P408" s="5" t="inlineStr">
        <is>
          <t>Normal</t>
        </is>
      </c>
      <c r="Q408" s="5" t="inlineStr">
        <is>
          <t>Build</t>
        </is>
      </c>
      <c r="R408" s="12" t="n">
        <v>0.89</v>
      </c>
      <c r="S408" s="5" t="inlineStr">
        <is>
          <t>ACCEPTED</t>
        </is>
      </c>
      <c r="T408" s="5" t="inlineStr">
        <is>
          <t>Normal operation</t>
        </is>
      </c>
    </row>
    <row r="409" s="17">
      <c r="A409" s="7" t="n">
        <v>5370</v>
      </c>
      <c r="B409" s="8" t="n">
        <v>68015.705965</v>
      </c>
      <c r="C409" s="9" t="n">
        <v>68.015705965</v>
      </c>
      <c r="D409" s="9" t="n">
        <v>113.10508686</v>
      </c>
      <c r="E409" s="9" t="n">
        <v>42.42277954</v>
      </c>
      <c r="F409" s="10" t="n">
        <v>0.1501543324476638</v>
      </c>
      <c r="G409" s="10" t="n">
        <v>0.132562648989531</v>
      </c>
      <c r="H409" s="10" t="n">
        <v>0.9129431498789484</v>
      </c>
      <c r="I409" s="10" t="n">
        <v>1.32929</v>
      </c>
      <c r="J409" s="5" t="inlineStr">
        <is>
          <t>Cleaner sand</t>
        </is>
      </c>
      <c r="K409" s="11" t="n">
        <v>20.88293489161304</v>
      </c>
      <c r="L409" s="12" t="n">
        <v>2.391417398790165</v>
      </c>
      <c r="M409" s="12" t="n">
        <v>3.356105549505873</v>
      </c>
      <c r="N409" s="12" t="n">
        <v>7.575095574300023</v>
      </c>
      <c r="O409" s="12" t="n">
        <v>241.4748349447545</v>
      </c>
      <c r="P409" s="5" t="inlineStr">
        <is>
          <t>Normal</t>
        </is>
      </c>
      <c r="Q409" s="5" t="inlineStr">
        <is>
          <t>Build</t>
        </is>
      </c>
      <c r="R409" s="12" t="n">
        <v>0.78</v>
      </c>
      <c r="S409" s="5" t="inlineStr">
        <is>
          <t>ACCEPTED</t>
        </is>
      </c>
      <c r="T409" s="5" t="inlineStr">
        <is>
          <t>Normal operation</t>
        </is>
      </c>
    </row>
    <row r="410" s="17">
      <c r="A410" s="7" t="n">
        <v>5375</v>
      </c>
      <c r="B410" s="8" t="n">
        <v>61207.217051</v>
      </c>
      <c r="C410" s="9" t="n">
        <v>61.207217051</v>
      </c>
      <c r="D410" s="9" t="n">
        <v>110.44057409</v>
      </c>
      <c r="E410" s="9" t="n">
        <v>51.42096836</v>
      </c>
      <c r="F410" s="10" t="n">
        <v>0.09452996544139082</v>
      </c>
      <c r="G410" s="10" t="n">
        <v>0.3666901686632414</v>
      </c>
      <c r="H410" s="10" t="n">
        <v>0.9791978193849756</v>
      </c>
      <c r="I410" s="10" t="n">
        <v>0.206643</v>
      </c>
      <c r="J410" s="5" t="inlineStr">
        <is>
          <t>Transition</t>
        </is>
      </c>
      <c r="K410" s="11" t="n">
        <v>19.89338165042511</v>
      </c>
      <c r="L410" s="12" t="n">
        <v>1.527149435489141</v>
      </c>
      <c r="M410" s="12" t="n">
        <v>1.85</v>
      </c>
      <c r="N410" s="12" t="n">
        <v>7.274898004848159</v>
      </c>
      <c r="O410" s="12" t="n">
        <v>230.8594556148137</v>
      </c>
      <c r="P410" s="5" t="inlineStr">
        <is>
          <t>Normal</t>
        </is>
      </c>
      <c r="Q410" s="5" t="inlineStr">
        <is>
          <t>Build</t>
        </is>
      </c>
      <c r="R410" s="12" t="n">
        <v>0.55</v>
      </c>
      <c r="S410" s="5" t="inlineStr">
        <is>
          <t>REDUCED</t>
        </is>
      </c>
      <c r="T410" s="5" t="inlineStr">
        <is>
          <t>Normal operation</t>
        </is>
      </c>
    </row>
    <row r="411" s="17">
      <c r="A411" s="7" t="n">
        <v>5380</v>
      </c>
      <c r="B411" s="8" t="n">
        <v>54054.506931</v>
      </c>
      <c r="C411" s="9" t="n">
        <v>54.05450693100001</v>
      </c>
      <c r="D411" s="9" t="n">
        <v>137.14374996</v>
      </c>
      <c r="E411" s="9" t="n">
        <v>61.64253814</v>
      </c>
      <c r="F411" s="10" t="n">
        <v>0.06428953073215665</v>
      </c>
      <c r="G411" s="10" t="n">
        <v>0.1801885838184234</v>
      </c>
      <c r="H411" s="10" t="n">
        <v>0.9525122760486864</v>
      </c>
      <c r="I411" s="10" t="n">
        <v>0.334179</v>
      </c>
      <c r="J411" s="5" t="inlineStr">
        <is>
          <t>Cleaner sand</t>
        </is>
      </c>
      <c r="K411" s="11" t="n">
        <v>18.97198677062338</v>
      </c>
      <c r="L411" s="12" t="n">
        <v>1.649530025769266</v>
      </c>
      <c r="M411" s="12" t="n">
        <v>3.267819644744654</v>
      </c>
      <c r="N411" s="12" t="n">
        <v>8.430287885657286</v>
      </c>
      <c r="O411" s="12" t="n">
        <v>225.1281417158649</v>
      </c>
      <c r="P411" s="5" t="inlineStr">
        <is>
          <t>Normal</t>
        </is>
      </c>
      <c r="Q411" s="5" t="inlineStr">
        <is>
          <t>Build</t>
        </is>
      </c>
      <c r="R411" s="12" t="n">
        <v>0.47</v>
      </c>
      <c r="S411" s="5" t="inlineStr">
        <is>
          <t>REJECTED</t>
        </is>
      </c>
      <c r="T411" s="5" t="inlineStr">
        <is>
          <t>Normal operation</t>
        </is>
      </c>
    </row>
    <row r="412" s="17">
      <c r="A412" s="7" t="n">
        <v>5385</v>
      </c>
      <c r="B412" s="8" t="n">
        <v>62233.456347</v>
      </c>
      <c r="C412" s="9" t="n">
        <v>62.233456347</v>
      </c>
      <c r="D412" s="9" t="n">
        <v>142.61909459</v>
      </c>
      <c r="E412" s="9" t="n">
        <v>45.66738014000001</v>
      </c>
      <c r="F412" s="10" t="n">
        <v>0.1002209562837327</v>
      </c>
      <c r="G412" s="10" t="n">
        <v>0.1803867107925061</v>
      </c>
      <c r="H412" s="10" t="n">
        <v>0.9725468306809241</v>
      </c>
      <c r="I412" s="10" t="n">
        <v>0.282593</v>
      </c>
      <c r="J412" s="5" t="inlineStr">
        <is>
          <t>Cleaner sand</t>
        </is>
      </c>
      <c r="K412" s="11" t="n">
        <v>20.67344849773037</v>
      </c>
      <c r="L412" s="12" t="n">
        <v>1.293866277217566</v>
      </c>
      <c r="M412" s="12" t="n">
        <v>2.410186536424035</v>
      </c>
      <c r="N412" s="12" t="n">
        <v>8.297562219141851</v>
      </c>
      <c r="O412" s="12" t="n">
        <v>225.1151630105839</v>
      </c>
      <c r="P412" s="5" t="inlineStr">
        <is>
          <t>Normal</t>
        </is>
      </c>
      <c r="Q412" s="5" t="inlineStr">
        <is>
          <t>Build</t>
        </is>
      </c>
      <c r="R412" s="12" t="n">
        <v>0.61</v>
      </c>
      <c r="S412" s="5" t="inlineStr">
        <is>
          <t>REDUCED</t>
        </is>
      </c>
      <c r="T412" s="5" t="inlineStr">
        <is>
          <t>Normal operation</t>
        </is>
      </c>
    </row>
    <row r="413" s="17">
      <c r="A413" s="7" t="n">
        <v>5390</v>
      </c>
      <c r="B413" s="8" t="n">
        <v>57827.625189</v>
      </c>
      <c r="C413" s="9" t="n">
        <v>57.827625189</v>
      </c>
      <c r="D413" s="9" t="n">
        <v>115.86243299</v>
      </c>
      <c r="E413" s="9" t="n">
        <v>44.15871216</v>
      </c>
      <c r="F413" s="10" t="n">
        <v>0.0541183586114095</v>
      </c>
      <c r="G413" s="10" t="n">
        <v>0.3611768090320818</v>
      </c>
      <c r="H413" s="10" t="n">
        <v>0.8086314651639224</v>
      </c>
      <c r="I413" s="10" t="n">
        <v>1.067007</v>
      </c>
      <c r="J413" s="5" t="inlineStr">
        <is>
          <t>Transition</t>
        </is>
      </c>
      <c r="K413" s="11" t="n">
        <v>18.02686389329494</v>
      </c>
      <c r="L413" s="12" t="n">
        <v>1.1</v>
      </c>
      <c r="M413" s="12" t="n">
        <v>1.85</v>
      </c>
      <c r="N413" s="12" t="n">
        <v>8.232847728816278</v>
      </c>
      <c r="O413" s="12" t="n">
        <v>216.1955967101818</v>
      </c>
      <c r="P413" s="5" t="inlineStr">
        <is>
          <t>Normal</t>
        </is>
      </c>
      <c r="Q413" s="5" t="inlineStr">
        <is>
          <t>Build</t>
        </is>
      </c>
      <c r="R413" s="12" t="n">
        <v>0.86</v>
      </c>
      <c r="S413" s="5" t="inlineStr">
        <is>
          <t>ACCEPTED</t>
        </is>
      </c>
      <c r="T413" s="5" t="inlineStr">
        <is>
          <t>Normal operation</t>
        </is>
      </c>
    </row>
    <row r="414" s="17">
      <c r="A414" s="7" t="n">
        <v>5395</v>
      </c>
      <c r="B414" s="8" t="n">
        <v>38714.54803</v>
      </c>
      <c r="C414" s="9" t="n">
        <v>38.71454803</v>
      </c>
      <c r="D414" s="9" t="n">
        <v>135.36087408</v>
      </c>
      <c r="E414" s="9" t="n">
        <v>72.11000788000001</v>
      </c>
      <c r="F414" s="10" t="n">
        <v>0.0572430228095042</v>
      </c>
      <c r="G414" s="10" t="n">
        <v>0.1312065128901287</v>
      </c>
      <c r="H414" s="10" t="n">
        <v>1</v>
      </c>
      <c r="I414" s="10" t="n">
        <v>0.017718</v>
      </c>
      <c r="J414" s="5" t="inlineStr">
        <is>
          <t>Cleaner sand</t>
        </is>
      </c>
      <c r="K414" s="11" t="n">
        <v>14.1020835678904</v>
      </c>
      <c r="L414" s="12" t="n">
        <v>2.093182244216914</v>
      </c>
      <c r="M414" s="12" t="n">
        <v>2.241353671111346</v>
      </c>
      <c r="N414" s="12" t="n">
        <v>7.907671172092369</v>
      </c>
      <c r="O414" s="12" t="n">
        <v>197.3589261359701</v>
      </c>
      <c r="P414" s="5" t="inlineStr">
        <is>
          <t>Normal</t>
        </is>
      </c>
      <c r="Q414" s="5" t="inlineStr">
        <is>
          <t>Build</t>
        </is>
      </c>
      <c r="R414" s="12" t="n">
        <v>0.59</v>
      </c>
      <c r="S414" s="5" t="inlineStr">
        <is>
          <t>REDUCED</t>
        </is>
      </c>
      <c r="T414" s="5" t="inlineStr">
        <is>
          <t>Normal operation</t>
        </is>
      </c>
    </row>
    <row r="415" s="17">
      <c r="A415" s="7" t="n">
        <v>5400</v>
      </c>
      <c r="B415" s="8" t="n">
        <v>68043.85226499999</v>
      </c>
      <c r="C415" s="9" t="n">
        <v>68.043852265</v>
      </c>
      <c r="D415" s="9" t="n">
        <v>113.58744195</v>
      </c>
      <c r="E415" s="9" t="n">
        <v>59.31396856</v>
      </c>
      <c r="F415" s="10" t="n">
        <v>0.1057306006121448</v>
      </c>
      <c r="G415" s="10" t="n">
        <v>0.1543508714321313</v>
      </c>
      <c r="H415" s="10" t="n">
        <v>0.9037075152377729</v>
      </c>
      <c r="I415" s="10" t="n">
        <v>1.060279</v>
      </c>
      <c r="J415" s="5" t="inlineStr">
        <is>
          <t>Cleaner sand</t>
        </is>
      </c>
      <c r="K415" s="11" t="n">
        <v>22.30816791182059</v>
      </c>
      <c r="L415" s="12" t="n">
        <v>2.021053509575292</v>
      </c>
      <c r="M415" s="12" t="n">
        <v>1.85</v>
      </c>
      <c r="N415" s="12" t="n">
        <v>9.408461656792928</v>
      </c>
      <c r="O415" s="12" t="n">
        <v>236.059003392087</v>
      </c>
      <c r="P415" s="5" t="inlineStr">
        <is>
          <t>Normal</t>
        </is>
      </c>
      <c r="Q415" s="5" t="inlineStr">
        <is>
          <t>Build</t>
        </is>
      </c>
      <c r="R415" s="12" t="n">
        <v>0.42</v>
      </c>
      <c r="S415" s="5" t="inlineStr">
        <is>
          <t>REJECTED</t>
        </is>
      </c>
      <c r="T415" s="5" t="inlineStr">
        <is>
          <t>Normal operation</t>
        </is>
      </c>
    </row>
    <row r="416" s="17">
      <c r="A416" s="7" t="n">
        <v>5405</v>
      </c>
      <c r="B416" s="8" t="n">
        <v>51610.526015</v>
      </c>
      <c r="C416" s="9" t="n">
        <v>51.610526015</v>
      </c>
      <c r="D416" s="9" t="n">
        <v>128.95919021</v>
      </c>
      <c r="E416" s="9" t="n">
        <v>49.78992276</v>
      </c>
      <c r="F416" s="10" t="n">
        <v>0.06823555490493619</v>
      </c>
      <c r="G416" s="10" t="n">
        <v>0.04934162747645196</v>
      </c>
      <c r="H416" s="10" t="n">
        <v>0.9469971927259119</v>
      </c>
      <c r="I416" s="10" t="n">
        <v>0.402294</v>
      </c>
      <c r="J416" s="5" t="inlineStr">
        <is>
          <t>Cleaner sand</t>
        </is>
      </c>
      <c r="K416" s="11" t="n">
        <v>18.34036100231514</v>
      </c>
      <c r="L416" s="12" t="n">
        <v>1.522149497012075</v>
      </c>
      <c r="M416" s="12" t="n">
        <v>2.384859553213962</v>
      </c>
      <c r="N416" s="12" t="n">
        <v>11.28119033831333</v>
      </c>
      <c r="O416" s="12" t="n">
        <v>214.5670703886701</v>
      </c>
      <c r="P416" s="5" t="inlineStr">
        <is>
          <t>Normal</t>
        </is>
      </c>
      <c r="Q416" s="5" t="inlineStr">
        <is>
          <t>Turn Right</t>
        </is>
      </c>
      <c r="R416" s="12" t="n">
        <v>0.55</v>
      </c>
      <c r="S416" s="5" t="inlineStr">
        <is>
          <t>REDUCED</t>
        </is>
      </c>
      <c r="T416" s="5" t="inlineStr">
        <is>
          <t>Normal operation</t>
        </is>
      </c>
    </row>
    <row r="417" s="17">
      <c r="A417" s="7" t="n">
        <v>5410</v>
      </c>
      <c r="B417" s="8" t="n">
        <v>57553.593558</v>
      </c>
      <c r="C417" s="9" t="n">
        <v>57.553593558</v>
      </c>
      <c r="D417" s="9" t="n">
        <v>143.80435913</v>
      </c>
      <c r="E417" s="9" t="n">
        <v>79.10141398</v>
      </c>
      <c r="F417" s="10" t="n">
        <v>0.04586701967513705</v>
      </c>
      <c r="G417" s="10" t="n">
        <v>0.1487657352620351</v>
      </c>
      <c r="H417" s="10" t="n">
        <v>0.9442619850188343</v>
      </c>
      <c r="I417" s="10" t="n">
        <v>0.299606</v>
      </c>
      <c r="J417" s="5" t="inlineStr">
        <is>
          <t>Cleaner sand</t>
        </is>
      </c>
      <c r="K417" s="11" t="n">
        <v>18.35261910517555</v>
      </c>
      <c r="L417" s="12" t="n">
        <v>1.692825451440187</v>
      </c>
      <c r="M417" s="12" t="n">
        <v>2.561357960808182</v>
      </c>
      <c r="N417" s="12" t="n">
        <v>9.451749596462488</v>
      </c>
      <c r="O417" s="12" t="n">
        <v>214.5254304006819</v>
      </c>
      <c r="P417" s="5" t="inlineStr">
        <is>
          <t>Normal</t>
        </is>
      </c>
      <c r="Q417" s="5" t="inlineStr">
        <is>
          <t>Build</t>
        </is>
      </c>
      <c r="R417" s="12" t="n">
        <v>0.9399999999999999</v>
      </c>
      <c r="S417" s="5" t="inlineStr">
        <is>
          <t>ACCEPTED</t>
        </is>
      </c>
      <c r="T417" s="5" t="inlineStr">
        <is>
          <t>Normal operation</t>
        </is>
      </c>
    </row>
    <row r="418" s="17">
      <c r="A418" s="7" t="n">
        <v>5415</v>
      </c>
      <c r="B418" s="8" t="n">
        <v>52438.836644</v>
      </c>
      <c r="C418" s="9" t="n">
        <v>52.43883664400001</v>
      </c>
      <c r="D418" s="9" t="n">
        <v>152.18179125</v>
      </c>
      <c r="E418" s="9" t="n">
        <v>50.65342458</v>
      </c>
      <c r="F418" s="10" t="n">
        <v>0.155577049061762</v>
      </c>
      <c r="G418" s="10" t="n">
        <v>0.1401056342226377</v>
      </c>
      <c r="H418" s="10" t="n">
        <v>0.9257695692782384</v>
      </c>
      <c r="I418" s="10" t="n">
        <v>1.162509</v>
      </c>
      <c r="J418" s="5" t="inlineStr">
        <is>
          <t>Cleaner sand</t>
        </is>
      </c>
      <c r="K418" s="11" t="n">
        <v>19.71154320433784</v>
      </c>
      <c r="L418" s="12" t="n">
        <v>1.912810216675009</v>
      </c>
      <c r="M418" s="12" t="n">
        <v>1.85</v>
      </c>
      <c r="N418" s="12" t="n">
        <v>10.70325817765436</v>
      </c>
      <c r="O418" s="12" t="n">
        <v>207.6558535885566</v>
      </c>
      <c r="P418" s="5" t="inlineStr">
        <is>
          <t>Normal</t>
        </is>
      </c>
      <c r="Q418" s="5" t="inlineStr">
        <is>
          <t>Turn Right</t>
        </is>
      </c>
      <c r="R418" s="12" t="n">
        <v>0.77</v>
      </c>
      <c r="S418" s="5" t="inlineStr">
        <is>
          <t>ACCEPTED</t>
        </is>
      </c>
      <c r="T418" s="5" t="inlineStr">
        <is>
          <t>Normal operation</t>
        </is>
      </c>
    </row>
    <row r="419" s="17">
      <c r="A419" s="7" t="n">
        <v>5420</v>
      </c>
      <c r="B419" s="8" t="n">
        <v>74143.27017600001</v>
      </c>
      <c r="C419" s="9" t="n">
        <v>74.143270176</v>
      </c>
      <c r="D419" s="9" t="n">
        <v>112.90175776</v>
      </c>
      <c r="E419" s="9" t="n">
        <v>51.49373188</v>
      </c>
      <c r="F419" s="10" t="n">
        <v>0.1185614194638332</v>
      </c>
      <c r="G419" s="10" t="n">
        <v>0.191111621571398</v>
      </c>
      <c r="H419" s="10" t="n">
        <v>0.9461093658022011</v>
      </c>
      <c r="I419" s="10" t="n">
        <v>0.626033</v>
      </c>
      <c r="J419" s="5" t="inlineStr">
        <is>
          <t>Cleaner sand</t>
        </is>
      </c>
      <c r="K419" s="11" t="n">
        <v>22.26798058966339</v>
      </c>
      <c r="L419" s="12" t="n">
        <v>1.1</v>
      </c>
      <c r="M419" s="12" t="n">
        <v>1.889680962677306</v>
      </c>
      <c r="N419" s="12" t="n">
        <v>7.739424300068665</v>
      </c>
      <c r="O419" s="12" t="n">
        <v>198.742392116011</v>
      </c>
      <c r="P419" s="5" t="inlineStr">
        <is>
          <t>Normal</t>
        </is>
      </c>
      <c r="Q419" s="5" t="inlineStr">
        <is>
          <t>Turn Right</t>
        </is>
      </c>
      <c r="R419" s="12" t="n">
        <v>0.9</v>
      </c>
      <c r="S419" s="5" t="inlineStr">
        <is>
          <t>ACCEPTED</t>
        </is>
      </c>
      <c r="T419" s="5" t="inlineStr">
        <is>
          <t>WOB outside preferred band</t>
        </is>
      </c>
    </row>
    <row r="420" s="17">
      <c r="A420" s="7" t="n">
        <v>5425</v>
      </c>
      <c r="B420" s="8" t="n">
        <v>55780.808748</v>
      </c>
      <c r="C420" s="9" t="n">
        <v>55.78080874800001</v>
      </c>
      <c r="D420" s="9" t="n">
        <v>142.68213549</v>
      </c>
      <c r="E420" s="9" t="n">
        <v>63.7496987</v>
      </c>
      <c r="F420" s="10" t="n">
        <v>0.03342118931378597</v>
      </c>
      <c r="G420" s="10" t="n">
        <v>0.1134996404791423</v>
      </c>
      <c r="H420" s="10" t="n">
        <v>0.9789009364024066</v>
      </c>
      <c r="I420" s="10" t="n">
        <v>0.06665600000000001</v>
      </c>
      <c r="J420" s="5" t="inlineStr">
        <is>
          <t>Cleaner sand</t>
        </is>
      </c>
      <c r="K420" s="11" t="n">
        <v>19.95434935936389</v>
      </c>
      <c r="L420" s="12" t="n">
        <v>1.400764188100315</v>
      </c>
      <c r="M420" s="12" t="n">
        <v>3.323123292799782</v>
      </c>
      <c r="N420" s="12" t="n">
        <v>9.890210978348339</v>
      </c>
      <c r="O420" s="12" t="n">
        <v>202.2669245894333</v>
      </c>
      <c r="P420" s="5" t="inlineStr">
        <is>
          <t>Normal</t>
        </is>
      </c>
      <c r="Q420" s="5" t="inlineStr">
        <is>
          <t>Turn Right</t>
        </is>
      </c>
      <c r="R420" s="12" t="n">
        <v>0.83</v>
      </c>
      <c r="S420" s="5" t="inlineStr">
        <is>
          <t>ACCEPTED</t>
        </is>
      </c>
      <c r="T420" s="5" t="inlineStr">
        <is>
          <t>Normal operation</t>
        </is>
      </c>
    </row>
    <row r="421" s="17">
      <c r="A421" s="7" t="n">
        <v>5430</v>
      </c>
      <c r="B421" s="8" t="n">
        <v>60288.780124</v>
      </c>
      <c r="C421" s="9" t="n">
        <v>60.288780124</v>
      </c>
      <c r="D421" s="9" t="n">
        <v>143.2859553</v>
      </c>
      <c r="E421" s="9" t="n">
        <v>41.13773622</v>
      </c>
      <c r="F421" s="10" t="n">
        <v>0.1510716322651036</v>
      </c>
      <c r="G421" s="10" t="n">
        <v>0.144135547259434</v>
      </c>
      <c r="H421" s="10" t="n">
        <v>0.9084972636843844</v>
      </c>
      <c r="I421" s="10" t="n">
        <v>1.406773</v>
      </c>
      <c r="J421" s="5" t="inlineStr">
        <is>
          <t>Cleaner sand</t>
        </is>
      </c>
      <c r="K421" s="11" t="n">
        <v>19.67168408628723</v>
      </c>
      <c r="L421" s="12" t="n">
        <v>2.049189693014695</v>
      </c>
      <c r="M421" s="12" t="n">
        <v>1.85</v>
      </c>
      <c r="N421" s="12" t="n">
        <v>8.396950597102323</v>
      </c>
      <c r="O421" s="12" t="n">
        <v>186.3446219832025</v>
      </c>
      <c r="P421" s="5" t="inlineStr">
        <is>
          <t>Normal</t>
        </is>
      </c>
      <c r="Q421" s="5" t="inlineStr">
        <is>
          <t>Turn Right</t>
        </is>
      </c>
      <c r="R421" s="12" t="n">
        <v>0.7</v>
      </c>
      <c r="S421" s="5" t="inlineStr">
        <is>
          <t>ACCEPTED</t>
        </is>
      </c>
      <c r="T421" s="5" t="inlineStr">
        <is>
          <t>Normal operation</t>
        </is>
      </c>
    </row>
    <row r="422" s="17">
      <c r="A422" s="7" t="n">
        <v>5435</v>
      </c>
      <c r="B422" s="8" t="n">
        <v>57146.518379</v>
      </c>
      <c r="C422" s="9" t="n">
        <v>57.146518379</v>
      </c>
      <c r="D422" s="9" t="n">
        <v>102.29452871</v>
      </c>
      <c r="E422" s="9" t="n">
        <v>50.21158070000001</v>
      </c>
      <c r="F422" s="10" t="n">
        <v>0.10504220237937</v>
      </c>
      <c r="G422" s="10" t="n">
        <v>0.2223747715646633</v>
      </c>
      <c r="H422" s="10" t="n">
        <v>0.9178088453855795</v>
      </c>
      <c r="I422" s="10" t="n">
        <v>0.845715</v>
      </c>
      <c r="J422" s="5" t="inlineStr">
        <is>
          <t>Cleaner sand</t>
        </is>
      </c>
      <c r="K422" s="11" t="n">
        <v>21.08698363741417</v>
      </c>
      <c r="L422" s="12" t="n">
        <v>1.1</v>
      </c>
      <c r="M422" s="12" t="n">
        <v>1.85</v>
      </c>
      <c r="N422" s="12" t="n">
        <v>8.041935310471501</v>
      </c>
      <c r="O422" s="12" t="n">
        <v>223.5069054005654</v>
      </c>
      <c r="P422" s="5" t="inlineStr">
        <is>
          <t>Normal</t>
        </is>
      </c>
      <c r="Q422" s="5" t="inlineStr">
        <is>
          <t>Build</t>
        </is>
      </c>
      <c r="R422" s="12" t="n">
        <v>0.48</v>
      </c>
      <c r="S422" s="5" t="inlineStr">
        <is>
          <t>REJECTED</t>
        </is>
      </c>
      <c r="T422" s="5" t="inlineStr">
        <is>
          <t>Normal operation</t>
        </is>
      </c>
    </row>
    <row r="423" s="17">
      <c r="A423" s="7" t="n">
        <v>5440</v>
      </c>
      <c r="B423" s="8" t="n">
        <v>54649.396763</v>
      </c>
      <c r="C423" s="9" t="n">
        <v>54.649396763</v>
      </c>
      <c r="D423" s="9" t="n">
        <v>128.94352219</v>
      </c>
      <c r="E423" s="9" t="n">
        <v>53.88121108</v>
      </c>
      <c r="F423" s="10" t="n">
        <v>0.04017156908193737</v>
      </c>
      <c r="G423" s="10" t="n">
        <v>0.1516254502891702</v>
      </c>
      <c r="H423" s="10" t="n">
        <v>0.9153654265170974</v>
      </c>
      <c r="I423" s="10" t="n">
        <v>0.387877</v>
      </c>
      <c r="J423" s="5" t="inlineStr">
        <is>
          <t>Cleaner sand</t>
        </is>
      </c>
      <c r="K423" s="11" t="n">
        <v>20.3223018847467</v>
      </c>
      <c r="L423" s="12" t="n">
        <v>1.803843386761648</v>
      </c>
      <c r="M423" s="12" t="n">
        <v>2.852494530150699</v>
      </c>
      <c r="N423" s="12" t="n">
        <v>9.139163191064497</v>
      </c>
      <c r="O423" s="12" t="n">
        <v>186.9781949311976</v>
      </c>
      <c r="P423" s="5" t="inlineStr">
        <is>
          <t>Normal</t>
        </is>
      </c>
      <c r="Q423" s="5" t="inlineStr">
        <is>
          <t>Turn Right</t>
        </is>
      </c>
      <c r="R423" s="12" t="n">
        <v>0.59</v>
      </c>
      <c r="S423" s="5" t="inlineStr">
        <is>
          <t>REDUCED</t>
        </is>
      </c>
      <c r="T423" s="5" t="inlineStr">
        <is>
          <t>Normal operation</t>
        </is>
      </c>
    </row>
    <row r="424" s="17">
      <c r="A424" s="7" t="n">
        <v>5445</v>
      </c>
      <c r="B424" s="8" t="n">
        <v>69852.721017</v>
      </c>
      <c r="C424" s="9" t="n">
        <v>69.85272101700001</v>
      </c>
      <c r="D424" s="9" t="n">
        <v>132.59314635</v>
      </c>
      <c r="E424" s="9" t="n">
        <v>40.12415226</v>
      </c>
      <c r="F424" s="10" t="n">
        <v>0.1475618890449442</v>
      </c>
      <c r="G424" s="10" t="n">
        <v>0.2125023373938804</v>
      </c>
      <c r="H424" s="10" t="n">
        <v>0.914013001896646</v>
      </c>
      <c r="I424" s="10" t="n">
        <v>1.282406</v>
      </c>
      <c r="J424" s="5" t="inlineStr">
        <is>
          <t>Cleaner sand</t>
        </is>
      </c>
      <c r="K424" s="11" t="n">
        <v>21.11421702519332</v>
      </c>
      <c r="L424" s="12" t="n">
        <v>1.1</v>
      </c>
      <c r="M424" s="12" t="n">
        <v>3.206530170465534</v>
      </c>
      <c r="N424" s="12" t="n">
        <v>11.78822345999716</v>
      </c>
      <c r="O424" s="12" t="n">
        <v>187.7849027392876</v>
      </c>
      <c r="P424" s="5" t="inlineStr">
        <is>
          <t>Normal</t>
        </is>
      </c>
      <c r="Q424" s="5" t="inlineStr">
        <is>
          <t>Turn Right</t>
        </is>
      </c>
      <c r="R424" s="12" t="n">
        <v>0.72</v>
      </c>
      <c r="S424" s="5" t="inlineStr">
        <is>
          <t>ACCEPTED</t>
        </is>
      </c>
      <c r="T424" s="5" t="inlineStr">
        <is>
          <t>Normal operation</t>
        </is>
      </c>
    </row>
    <row r="425" s="17">
      <c r="A425" s="7" t="n">
        <v>5450</v>
      </c>
      <c r="B425" s="8" t="n">
        <v>66407.111966</v>
      </c>
      <c r="C425" s="9" t="n">
        <v>66.407111966</v>
      </c>
      <c r="D425" s="9" t="n">
        <v>152.88445482</v>
      </c>
      <c r="E425" s="9" t="n">
        <v>44.48144776</v>
      </c>
      <c r="F425" s="10" t="n">
        <v>0.0785806897825921</v>
      </c>
      <c r="G425" s="10" t="n">
        <v>0.1843644444467227</v>
      </c>
      <c r="H425" s="10" t="n">
        <v>0.9134572159344138</v>
      </c>
      <c r="I425" s="10" t="n">
        <v>0.686202</v>
      </c>
      <c r="J425" s="5" t="inlineStr">
        <is>
          <t>Cleaner sand</t>
        </is>
      </c>
      <c r="K425" s="11" t="n">
        <v>21.70103010224088</v>
      </c>
      <c r="L425" s="12" t="n">
        <v>1.888550691392428</v>
      </c>
      <c r="M425" s="12" t="n">
        <v>1.85</v>
      </c>
      <c r="N425" s="12" t="n">
        <v>11.61218320702833</v>
      </c>
      <c r="O425" s="12" t="n">
        <v>192.6807999407898</v>
      </c>
      <c r="P425" s="5" t="inlineStr">
        <is>
          <t>Normal</t>
        </is>
      </c>
      <c r="Q425" s="5" t="inlineStr">
        <is>
          <t>Turn Right</t>
        </is>
      </c>
      <c r="R425" s="12" t="n">
        <v>0.88</v>
      </c>
      <c r="S425" s="5" t="inlineStr">
        <is>
          <t>ACCEPTED</t>
        </is>
      </c>
      <c r="T425" s="5" t="inlineStr">
        <is>
          <t>Normal operation</t>
        </is>
      </c>
    </row>
    <row r="426" s="17">
      <c r="A426" s="7" t="n">
        <v>5455</v>
      </c>
      <c r="B426" s="8" t="n">
        <v>51905.942673</v>
      </c>
      <c r="C426" s="9" t="n">
        <v>51.905942673</v>
      </c>
      <c r="D426" s="9" t="n">
        <v>119.74269942</v>
      </c>
      <c r="E426" s="9" t="n">
        <v>64.92832406000001</v>
      </c>
      <c r="F426" s="10" t="n">
        <v>0.05548235524803094</v>
      </c>
      <c r="G426" s="10" t="n">
        <v>0.05138662575463514</v>
      </c>
      <c r="H426" s="10" t="n">
        <v>0.9509699125203525</v>
      </c>
      <c r="I426" s="10" t="n">
        <v>0.26678</v>
      </c>
      <c r="J426" s="5" t="inlineStr">
        <is>
          <t>Cleaner sand</t>
        </is>
      </c>
      <c r="K426" s="11" t="n">
        <v>18.70775645227895</v>
      </c>
      <c r="L426" s="12" t="n">
        <v>1.642535673674233</v>
      </c>
      <c r="M426" s="12" t="n">
        <v>2.384498003401337</v>
      </c>
      <c r="N426" s="12" t="n">
        <v>10.83147707292677</v>
      </c>
      <c r="O426" s="12" t="n">
        <v>209.1435674220415</v>
      </c>
      <c r="P426" s="5" t="inlineStr">
        <is>
          <t>Normal</t>
        </is>
      </c>
      <c r="Q426" s="5" t="inlineStr">
        <is>
          <t>Turn Right</t>
        </is>
      </c>
      <c r="R426" s="12" t="n">
        <v>0.55</v>
      </c>
      <c r="S426" s="5" t="inlineStr">
        <is>
          <t>REDUCED</t>
        </is>
      </c>
      <c r="T426" s="5" t="inlineStr">
        <is>
          <t>Normal operation</t>
        </is>
      </c>
    </row>
    <row r="427" s="17">
      <c r="A427" s="7" t="n">
        <v>5460</v>
      </c>
      <c r="B427" s="8" t="n">
        <v>56775.84252</v>
      </c>
      <c r="C427" s="9" t="n">
        <v>56.77584252</v>
      </c>
      <c r="D427" s="9" t="n">
        <v>128.70776425</v>
      </c>
      <c r="E427" s="9" t="n">
        <v>59.62982272</v>
      </c>
      <c r="F427" s="10" t="n">
        <v>0.08694860722435545</v>
      </c>
      <c r="G427" s="10" t="n">
        <v>0.1685358442804818</v>
      </c>
      <c r="H427" s="10" t="n">
        <v>0.9715961636460614</v>
      </c>
      <c r="I427" s="10" t="n">
        <v>0.276109</v>
      </c>
      <c r="J427" s="5" t="inlineStr">
        <is>
          <t>Cleaner sand</t>
        </is>
      </c>
      <c r="K427" s="11" t="n">
        <v>20.32669196301775</v>
      </c>
      <c r="L427" s="12" t="n">
        <v>1.1</v>
      </c>
      <c r="M427" s="12" t="n">
        <v>2.618082918158893</v>
      </c>
      <c r="N427" s="12" t="n">
        <v>8.661468510897414</v>
      </c>
      <c r="O427" s="12" t="n">
        <v>195.790333726326</v>
      </c>
      <c r="P427" s="5" t="inlineStr">
        <is>
          <t>Normal</t>
        </is>
      </c>
      <c r="Q427" s="5" t="inlineStr">
        <is>
          <t>Turn Right</t>
        </is>
      </c>
      <c r="R427" s="12" t="n">
        <v>0.47</v>
      </c>
      <c r="S427" s="5" t="inlineStr">
        <is>
          <t>REJECTED</t>
        </is>
      </c>
      <c r="T427" s="5" t="inlineStr">
        <is>
          <t>Normal operation</t>
        </is>
      </c>
    </row>
    <row r="428" s="17">
      <c r="A428" s="7" t="n">
        <v>5465</v>
      </c>
      <c r="B428" s="8" t="n">
        <v>72929.868437</v>
      </c>
      <c r="C428" s="9" t="n">
        <v>72.929868437</v>
      </c>
      <c r="D428" s="9" t="n">
        <v>149.63418759</v>
      </c>
      <c r="E428" s="9" t="n">
        <v>30</v>
      </c>
      <c r="F428" s="10" t="n">
        <v>0.05199147039746176</v>
      </c>
      <c r="G428" s="10" t="n">
        <v>0.1938170032139336</v>
      </c>
      <c r="H428" s="10" t="n">
        <v>0.9477711014327619</v>
      </c>
      <c r="I428" s="10" t="n">
        <v>0.256806</v>
      </c>
      <c r="J428" s="5" t="inlineStr">
        <is>
          <t>Cleaner sand</t>
        </is>
      </c>
      <c r="K428" s="11" t="n">
        <v>20.96421167284751</v>
      </c>
      <c r="L428" s="12" t="n">
        <v>2.230722283684014</v>
      </c>
      <c r="M428" s="12" t="n">
        <v>1.85</v>
      </c>
      <c r="N428" s="12" t="n">
        <v>10.53722269644828</v>
      </c>
      <c r="O428" s="12" t="n">
        <v>182.8711586881034</v>
      </c>
      <c r="P428" s="5" t="inlineStr">
        <is>
          <t>Normal</t>
        </is>
      </c>
      <c r="Q428" s="5" t="inlineStr">
        <is>
          <t>Turn Right</t>
        </is>
      </c>
      <c r="R428" s="12" t="n">
        <v>0.71</v>
      </c>
      <c r="S428" s="5" t="inlineStr">
        <is>
          <t>ACCEPTED</t>
        </is>
      </c>
      <c r="T428" s="5" t="inlineStr">
        <is>
          <t>WOB outside preferred band</t>
        </is>
      </c>
    </row>
    <row r="429" s="17">
      <c r="A429" s="7" t="n">
        <v>5470</v>
      </c>
      <c r="B429" s="8" t="n">
        <v>40849.231348</v>
      </c>
      <c r="C429" s="9" t="n">
        <v>40.849231348</v>
      </c>
      <c r="D429" s="9" t="n">
        <v>130.46803966</v>
      </c>
      <c r="E429" s="9" t="n">
        <v>65.51771546000001</v>
      </c>
      <c r="F429" s="10" t="n">
        <v>0.07489993786874102</v>
      </c>
      <c r="G429" s="10" t="n">
        <v>0.1675281292769538</v>
      </c>
      <c r="H429" s="10" t="n">
        <v>0.8822970727714278</v>
      </c>
      <c r="I429" s="10" t="n">
        <v>0.896635</v>
      </c>
      <c r="J429" s="5" t="inlineStr">
        <is>
          <t>Cleaner sand</t>
        </is>
      </c>
      <c r="K429" s="11" t="n">
        <v>16.71486362742733</v>
      </c>
      <c r="L429" s="12" t="n">
        <v>1.300050127368956</v>
      </c>
      <c r="M429" s="12" t="n">
        <v>1.85</v>
      </c>
      <c r="N429" s="12" t="n">
        <v>11.32300585932312</v>
      </c>
      <c r="O429" s="12" t="n">
        <v>207.5692315151506</v>
      </c>
      <c r="P429" s="5" t="inlineStr">
        <is>
          <t>Normal</t>
        </is>
      </c>
      <c r="Q429" s="5" t="inlineStr">
        <is>
          <t>Turn Right</t>
        </is>
      </c>
      <c r="R429" s="12" t="n">
        <v>0.5</v>
      </c>
      <c r="S429" s="5" t="inlineStr">
        <is>
          <t>REDUCED</t>
        </is>
      </c>
      <c r="T429" s="5" t="inlineStr">
        <is>
          <t>Normal operation</t>
        </is>
      </c>
    </row>
    <row r="430" s="17">
      <c r="A430" s="7" t="n">
        <v>5475</v>
      </c>
      <c r="B430" s="8" t="n">
        <v>58523.390305</v>
      </c>
      <c r="C430" s="9" t="n">
        <v>58.523390305</v>
      </c>
      <c r="D430" s="9" t="n">
        <v>148.15520573</v>
      </c>
      <c r="E430" s="9" t="n">
        <v>65.38898858</v>
      </c>
      <c r="F430" s="10" t="n">
        <v>0.1175570381187144</v>
      </c>
      <c r="G430" s="10" t="n">
        <v>0.09933281079930345</v>
      </c>
      <c r="H430" s="10" t="n">
        <v>0.9413392570443353</v>
      </c>
      <c r="I430" s="10" t="n">
        <v>0.7074510000000001</v>
      </c>
      <c r="J430" s="5" t="inlineStr">
        <is>
          <t>Cleaner sand</t>
        </is>
      </c>
      <c r="K430" s="11" t="n">
        <v>20.33789672407044</v>
      </c>
      <c r="L430" s="12" t="n">
        <v>1.262976305862953</v>
      </c>
      <c r="M430" s="12" t="n">
        <v>2.438914005541349</v>
      </c>
      <c r="N430" s="12" t="n">
        <v>4.421968724749746</v>
      </c>
      <c r="O430" s="12" t="n">
        <v>202.335854175432</v>
      </c>
      <c r="P430" s="5" t="inlineStr">
        <is>
          <t>Normal</t>
        </is>
      </c>
      <c r="Q430" s="5" t="inlineStr">
        <is>
          <t>Build</t>
        </is>
      </c>
      <c r="R430" s="12" t="n">
        <v>0.74</v>
      </c>
      <c r="S430" s="5" t="inlineStr">
        <is>
          <t>ACCEPTED</t>
        </is>
      </c>
      <c r="T430" s="5" t="inlineStr">
        <is>
          <t>Normal operation</t>
        </is>
      </c>
    </row>
    <row r="431" s="17">
      <c r="A431" s="7" t="n">
        <v>5480</v>
      </c>
      <c r="B431" s="8" t="n">
        <v>56418.201156</v>
      </c>
      <c r="C431" s="9" t="n">
        <v>56.418201156</v>
      </c>
      <c r="D431" s="9" t="n">
        <v>165.86558697</v>
      </c>
      <c r="E431" s="9" t="n">
        <v>41.57644934</v>
      </c>
      <c r="F431" s="10" t="n">
        <v>0.07557122042881928</v>
      </c>
      <c r="G431" s="10" t="n">
        <v>0.3441796734178473</v>
      </c>
      <c r="H431" s="10" t="n">
        <v>0.8883036800460263</v>
      </c>
      <c r="I431" s="10" t="n">
        <v>0.83338</v>
      </c>
      <c r="J431" s="5" t="inlineStr">
        <is>
          <t>Transition</t>
        </is>
      </c>
      <c r="K431" s="11" t="n">
        <v>17.13354293754196</v>
      </c>
      <c r="L431" s="12" t="n">
        <v>1.758278906643162</v>
      </c>
      <c r="M431" s="12" t="n">
        <v>2.77219937796932</v>
      </c>
      <c r="N431" s="12" t="n">
        <v>2.18438322036776</v>
      </c>
      <c r="O431" s="12" t="n">
        <v>200.6168662205725</v>
      </c>
      <c r="P431" s="5" t="inlineStr">
        <is>
          <t>Normal</t>
        </is>
      </c>
      <c r="Q431" s="5" t="inlineStr">
        <is>
          <t>Build</t>
        </is>
      </c>
      <c r="R431" s="12" t="n">
        <v>0.54</v>
      </c>
      <c r="S431" s="5" t="inlineStr">
        <is>
          <t>REDUCED</t>
        </is>
      </c>
      <c r="T431" s="5" t="inlineStr">
        <is>
          <t>Normal operation</t>
        </is>
      </c>
    </row>
    <row r="432" s="17">
      <c r="A432" s="7" t="n">
        <v>5485</v>
      </c>
      <c r="B432" s="8" t="n">
        <v>52035.258443</v>
      </c>
      <c r="C432" s="9" t="n">
        <v>52.035258443</v>
      </c>
      <c r="D432" s="9" t="n">
        <v>133.74068197</v>
      </c>
      <c r="E432" s="9" t="n">
        <v>67.67981191999999</v>
      </c>
      <c r="F432" s="10" t="n">
        <v>0.06017446185070582</v>
      </c>
      <c r="G432" s="10" t="n">
        <v>0.1716184813815332</v>
      </c>
      <c r="H432" s="10" t="n">
        <v>0.9157003692941502</v>
      </c>
      <c r="I432" s="10" t="n">
        <v>0.534764</v>
      </c>
      <c r="J432" s="5" t="inlineStr">
        <is>
          <t>Cleaner sand</t>
        </is>
      </c>
      <c r="K432" s="11" t="n">
        <v>16.90290595683268</v>
      </c>
      <c r="L432" s="12" t="n">
        <v>2.222832301220071</v>
      </c>
      <c r="M432" s="12" t="n">
        <v>1.85</v>
      </c>
      <c r="N432" s="12" t="n">
        <v>3.811444929062058</v>
      </c>
      <c r="O432" s="12" t="n">
        <v>202.8025861454078</v>
      </c>
      <c r="P432" s="5" t="inlineStr">
        <is>
          <t>Normal</t>
        </is>
      </c>
      <c r="Q432" s="5" t="inlineStr">
        <is>
          <t>Build</t>
        </is>
      </c>
      <c r="R432" s="12" t="n">
        <v>0.53</v>
      </c>
      <c r="S432" s="5" t="inlineStr">
        <is>
          <t>REDUCED</t>
        </is>
      </c>
      <c r="T432" s="5" t="inlineStr">
        <is>
          <t>Normal operation</t>
        </is>
      </c>
    </row>
    <row r="433" s="17">
      <c r="A433" s="7" t="n">
        <v>5490</v>
      </c>
      <c r="B433" s="8" t="n">
        <v>49215.042978</v>
      </c>
      <c r="C433" s="9" t="n">
        <v>49.215042978</v>
      </c>
      <c r="D433" s="9" t="n">
        <v>138.23295738</v>
      </c>
      <c r="E433" s="9" t="n">
        <v>30</v>
      </c>
      <c r="F433" s="10" t="n">
        <v>0.08706666269654381</v>
      </c>
      <c r="G433" s="10" t="n">
        <v>0.2685951486620006</v>
      </c>
      <c r="H433" s="10" t="n">
        <v>0.8993862901246649</v>
      </c>
      <c r="I433" s="10" t="n">
        <v>0.862922</v>
      </c>
      <c r="J433" s="5" t="inlineStr">
        <is>
          <t>Transition</t>
        </is>
      </c>
      <c r="K433" s="11" t="n">
        <v>15.52823367515415</v>
      </c>
      <c r="L433" s="12" t="n">
        <v>1.162247308700585</v>
      </c>
      <c r="M433" s="12" t="n">
        <v>1.85</v>
      </c>
      <c r="N433" s="12" t="n">
        <v>5.273100290689722</v>
      </c>
      <c r="O433" s="12" t="n">
        <v>220.2064291793423</v>
      </c>
      <c r="P433" s="5" t="inlineStr">
        <is>
          <t>Normal</t>
        </is>
      </c>
      <c r="Q433" s="5" t="inlineStr">
        <is>
          <t>Build</t>
        </is>
      </c>
      <c r="R433" s="12" t="n">
        <v>0.62</v>
      </c>
      <c r="S433" s="5" t="inlineStr">
        <is>
          <t>REDUCED</t>
        </is>
      </c>
      <c r="T433" s="5" t="inlineStr">
        <is>
          <t>Normal operation</t>
        </is>
      </c>
    </row>
    <row r="434" s="17">
      <c r="A434" s="7" t="n">
        <v>5495</v>
      </c>
      <c r="B434" s="8" t="n">
        <v>74642.33156399999</v>
      </c>
      <c r="C434" s="9" t="n">
        <v>74.64233156399999</v>
      </c>
      <c r="D434" s="9" t="n">
        <v>167.30685357</v>
      </c>
      <c r="E434" s="9" t="n">
        <v>30</v>
      </c>
      <c r="F434" s="10" t="n">
        <v>0.0811391263277724</v>
      </c>
      <c r="G434" s="10" t="n">
        <v>0.2280919925492988</v>
      </c>
      <c r="H434" s="10" t="n">
        <v>0.9547857120228983</v>
      </c>
      <c r="I434" s="10" t="n">
        <v>0.36313</v>
      </c>
      <c r="J434" s="5" t="inlineStr">
        <is>
          <t>Cleaner sand</t>
        </is>
      </c>
      <c r="K434" s="11" t="n">
        <v>21.97468730333926</v>
      </c>
      <c r="L434" s="12" t="n">
        <v>1.690223126425506</v>
      </c>
      <c r="M434" s="12" t="n">
        <v>2.924393935967959</v>
      </c>
      <c r="N434" s="12" t="n">
        <v>6.441122819050537</v>
      </c>
      <c r="O434" s="12" t="n">
        <v>218.9343409350149</v>
      </c>
      <c r="P434" s="5" t="inlineStr">
        <is>
          <t>Normal</t>
        </is>
      </c>
      <c r="Q434" s="5" t="inlineStr">
        <is>
          <t>Build</t>
        </is>
      </c>
      <c r="R434" s="12" t="n">
        <v>0.73</v>
      </c>
      <c r="S434" s="5" t="inlineStr">
        <is>
          <t>ACCEPTED</t>
        </is>
      </c>
      <c r="T434" s="5" t="inlineStr">
        <is>
          <t>WOB outside preferred band</t>
        </is>
      </c>
    </row>
    <row r="435" s="17">
      <c r="A435" s="7" t="n">
        <v>5500</v>
      </c>
      <c r="B435" s="8" t="n">
        <v>53130.050177</v>
      </c>
      <c r="C435" s="9" t="n">
        <v>53.13005017699999</v>
      </c>
      <c r="D435" s="9" t="n">
        <v>130.43526932</v>
      </c>
      <c r="E435" s="9" t="n">
        <v>76.25149905999999</v>
      </c>
      <c r="F435" s="10" t="n">
        <v>0.04821732135906841</v>
      </c>
      <c r="G435" s="10" t="n">
        <v>0.2541358602401057</v>
      </c>
      <c r="H435" s="10" t="n">
        <v>0.9387932255603691</v>
      </c>
      <c r="I435" s="10" t="n">
        <v>0.289226</v>
      </c>
      <c r="J435" s="5" t="inlineStr">
        <is>
          <t>Transition</t>
        </is>
      </c>
      <c r="K435" s="11" t="n">
        <v>19.00506260214889</v>
      </c>
      <c r="L435" s="12" t="n">
        <v>1.870120085161981</v>
      </c>
      <c r="M435" s="12" t="n">
        <v>1.85</v>
      </c>
      <c r="N435" s="12" t="n">
        <v>3.276521721843421</v>
      </c>
      <c r="O435" s="12" t="n">
        <v>191.2374121477264</v>
      </c>
      <c r="P435" s="5" t="inlineStr">
        <is>
          <t>Normal</t>
        </is>
      </c>
      <c r="Q435" s="5" t="inlineStr">
        <is>
          <t>Build</t>
        </is>
      </c>
      <c r="R435" s="12" t="n">
        <v>0.7</v>
      </c>
      <c r="S435" s="5" t="inlineStr">
        <is>
          <t>ACCEPTED</t>
        </is>
      </c>
      <c r="T435" s="5" t="inlineStr">
        <is>
          <t>Normal operation</t>
        </is>
      </c>
    </row>
    <row r="436" s="17">
      <c r="A436" s="7" t="n">
        <v>5505</v>
      </c>
      <c r="B436" s="8" t="n">
        <v>41800.532511</v>
      </c>
      <c r="C436" s="9" t="n">
        <v>41.800532511</v>
      </c>
      <c r="D436" s="9" t="n">
        <v>140.07272716</v>
      </c>
      <c r="E436" s="9" t="n">
        <v>53.30110782</v>
      </c>
      <c r="F436" s="10" t="n">
        <v>0.1456749219126911</v>
      </c>
      <c r="G436" s="10" t="n">
        <v>0.2940725718652542</v>
      </c>
      <c r="H436" s="10" t="n">
        <v>0.9035340865785559</v>
      </c>
      <c r="I436" s="10" t="n">
        <v>1.406943</v>
      </c>
      <c r="J436" s="5" t="inlineStr">
        <is>
          <t>Transition</t>
        </is>
      </c>
      <c r="K436" s="11" t="n">
        <v>17.70613407711357</v>
      </c>
      <c r="L436" s="12" t="n">
        <v>1.99962174755894</v>
      </c>
      <c r="M436" s="12" t="n">
        <v>1.85</v>
      </c>
      <c r="N436" s="12" t="n">
        <v>6.308269973744697</v>
      </c>
      <c r="O436" s="12" t="n">
        <v>215.5621648435331</v>
      </c>
      <c r="P436" s="5" t="inlineStr">
        <is>
          <t>Normal</t>
        </is>
      </c>
      <c r="Q436" s="5" t="inlineStr">
        <is>
          <t>Build</t>
        </is>
      </c>
      <c r="R436" s="12" t="n">
        <v>0.53</v>
      </c>
      <c r="S436" s="5" t="inlineStr">
        <is>
          <t>REDUCED</t>
        </is>
      </c>
      <c r="T436" s="5" t="inlineStr">
        <is>
          <t>Normal operation</t>
        </is>
      </c>
    </row>
    <row r="437" s="17">
      <c r="A437" s="7" t="n">
        <v>5510</v>
      </c>
      <c r="B437" s="8" t="n">
        <v>67461.485786</v>
      </c>
      <c r="C437" s="9" t="n">
        <v>67.46148578600001</v>
      </c>
      <c r="D437" s="9" t="n">
        <v>161.57353984</v>
      </c>
      <c r="E437" s="9" t="n">
        <v>41.25957428</v>
      </c>
      <c r="F437" s="10" t="n">
        <v>0.06903431636441783</v>
      </c>
      <c r="G437" s="10" t="n">
        <v>0.2268030191591035</v>
      </c>
      <c r="H437" s="10" t="n">
        <v>0.9137710650743083</v>
      </c>
      <c r="I437" s="10" t="n">
        <v>0.6110100000000001</v>
      </c>
      <c r="J437" s="5" t="inlineStr">
        <is>
          <t>Cleaner sand</t>
        </is>
      </c>
      <c r="K437" s="11" t="n">
        <v>20.99747608006123</v>
      </c>
      <c r="L437" s="12" t="n">
        <v>1.74645636208584</v>
      </c>
      <c r="M437" s="12" t="n">
        <v>1.85</v>
      </c>
      <c r="N437" s="12" t="n">
        <v>7.092537795306313</v>
      </c>
      <c r="O437" s="12" t="n">
        <v>204.5677223176213</v>
      </c>
      <c r="P437" s="5" t="inlineStr">
        <is>
          <t>Normal</t>
        </is>
      </c>
      <c r="Q437" s="5" t="inlineStr">
        <is>
          <t>Build</t>
        </is>
      </c>
      <c r="R437" s="12" t="n">
        <v>0.89</v>
      </c>
      <c r="S437" s="5" t="inlineStr">
        <is>
          <t>ACCEPTED</t>
        </is>
      </c>
      <c r="T437" s="5" t="inlineStr">
        <is>
          <t>Normal operation</t>
        </is>
      </c>
    </row>
    <row r="438" s="17">
      <c r="A438" s="7" t="n">
        <v>5515</v>
      </c>
      <c r="B438" s="8" t="n">
        <v>36161.539387</v>
      </c>
      <c r="C438" s="9" t="n">
        <v>36.161539387</v>
      </c>
      <c r="D438" s="9" t="n">
        <v>142.03829188</v>
      </c>
      <c r="E438" s="9" t="n">
        <v>51.47799444</v>
      </c>
      <c r="F438" s="10" t="n">
        <v>0.03473963816146957</v>
      </c>
      <c r="G438" s="10" t="n">
        <v>0.1818477101017368</v>
      </c>
      <c r="H438" s="10" t="n">
        <v>0.8917099978716162</v>
      </c>
      <c r="I438" s="10" t="n">
        <v>0.41891</v>
      </c>
      <c r="J438" s="5" t="inlineStr">
        <is>
          <t>Cleaner sand</t>
        </is>
      </c>
      <c r="K438" s="11" t="n">
        <v>16.79525978103914</v>
      </c>
      <c r="L438" s="12" t="n">
        <v>1.480156358849172</v>
      </c>
      <c r="M438" s="12" t="n">
        <v>2.460374913465668</v>
      </c>
      <c r="N438" s="12" t="n">
        <v>8.39861323212989</v>
      </c>
      <c r="O438" s="12" t="n">
        <v>207.3295277665231</v>
      </c>
      <c r="P438" s="5" t="inlineStr">
        <is>
          <t>Normal</t>
        </is>
      </c>
      <c r="Q438" s="5" t="inlineStr">
        <is>
          <t>Build</t>
        </is>
      </c>
      <c r="R438" s="12" t="n">
        <v>0.46</v>
      </c>
      <c r="S438" s="5" t="inlineStr">
        <is>
          <t>REJECTED</t>
        </is>
      </c>
      <c r="T438" s="5" t="inlineStr">
        <is>
          <t>Normal operation</t>
        </is>
      </c>
    </row>
    <row r="439" s="17">
      <c r="A439" s="7" t="n">
        <v>5520</v>
      </c>
      <c r="B439" s="8" t="n">
        <v>66535.466747</v>
      </c>
      <c r="C439" s="9" t="n">
        <v>66.535466747</v>
      </c>
      <c r="D439" s="9" t="n">
        <v>143.3490645</v>
      </c>
      <c r="E439" s="9" t="n">
        <v>61.91715696000001</v>
      </c>
      <c r="F439" s="10" t="n">
        <v>0.08846626251015934</v>
      </c>
      <c r="G439" s="10" t="n">
        <v>0.1276539608676103</v>
      </c>
      <c r="H439" s="10" t="n">
        <v>0.9457138581251953</v>
      </c>
      <c r="I439" s="10" t="n">
        <v>0.491903</v>
      </c>
      <c r="J439" s="5" t="inlineStr">
        <is>
          <t>Cleaner sand</t>
        </is>
      </c>
      <c r="K439" s="11" t="n">
        <v>19.37296491321595</v>
      </c>
      <c r="L439" s="12" t="n">
        <v>1.254480791882127</v>
      </c>
      <c r="M439" s="12" t="n">
        <v>1.871094151429725</v>
      </c>
      <c r="N439" s="12" t="n">
        <v>8.582375759162641</v>
      </c>
      <c r="O439" s="12" t="n">
        <v>187.2034610824877</v>
      </c>
      <c r="P439" s="5" t="inlineStr">
        <is>
          <t>Normal</t>
        </is>
      </c>
      <c r="Q439" s="5" t="inlineStr">
        <is>
          <t>Turn Right</t>
        </is>
      </c>
      <c r="R439" s="12" t="n">
        <v>0.42</v>
      </c>
      <c r="S439" s="5" t="inlineStr">
        <is>
          <t>REJECTED</t>
        </is>
      </c>
      <c r="T439" s="5" t="inlineStr">
        <is>
          <t>Normal operation</t>
        </is>
      </c>
    </row>
    <row r="440" s="17">
      <c r="A440" s="7" t="n">
        <v>5525</v>
      </c>
      <c r="B440" s="8" t="n">
        <v>72217.98613799999</v>
      </c>
      <c r="C440" s="9" t="n">
        <v>72.21798613799999</v>
      </c>
      <c r="D440" s="9" t="n">
        <v>153.14534716</v>
      </c>
      <c r="E440" s="9" t="n">
        <v>32.62880942</v>
      </c>
      <c r="F440" s="10" t="n">
        <v>0.1145035463292192</v>
      </c>
      <c r="G440" s="10" t="n">
        <v>0.3763190718967937</v>
      </c>
      <c r="H440" s="10" t="n">
        <v>0.9024451113499519</v>
      </c>
      <c r="I440" s="10" t="n">
        <v>1.134348</v>
      </c>
      <c r="J440" s="5" t="inlineStr">
        <is>
          <t>Transition</t>
        </is>
      </c>
      <c r="K440" s="11" t="n">
        <v>20.09482214346572</v>
      </c>
      <c r="L440" s="12" t="n">
        <v>1.702210502692723</v>
      </c>
      <c r="M440" s="12" t="n">
        <v>1.85</v>
      </c>
      <c r="N440" s="12" t="n">
        <v>8.826546866700582</v>
      </c>
      <c r="O440" s="12" t="n">
        <v>204.3897024693749</v>
      </c>
      <c r="P440" s="5" t="inlineStr">
        <is>
          <t>Normal</t>
        </is>
      </c>
      <c r="Q440" s="5" t="inlineStr">
        <is>
          <t>Turn Right</t>
        </is>
      </c>
      <c r="R440" s="12" t="n">
        <v>0.73</v>
      </c>
      <c r="S440" s="5" t="inlineStr">
        <is>
          <t>ACCEPTED</t>
        </is>
      </c>
      <c r="T440" s="5" t="inlineStr">
        <is>
          <t>WOB outside preferred band</t>
        </is>
      </c>
    </row>
    <row r="441" s="17">
      <c r="A441" s="7" t="n">
        <v>5530</v>
      </c>
      <c r="B441" s="8" t="n">
        <v>39277.710194</v>
      </c>
      <c r="C441" s="9" t="n">
        <v>39.277710194</v>
      </c>
      <c r="D441" s="9" t="n">
        <v>135.70488752</v>
      </c>
      <c r="E441" s="9" t="n">
        <v>52.95242168</v>
      </c>
      <c r="F441" s="10" t="n">
        <v>0.03661704747999386</v>
      </c>
      <c r="G441" s="10" t="n">
        <v>0.03226771375256536</v>
      </c>
      <c r="H441" s="10" t="n">
        <v>0.9531495421794225</v>
      </c>
      <c r="I441" s="10" t="n">
        <v>0.200577</v>
      </c>
      <c r="J441" s="5" t="inlineStr">
        <is>
          <t>Cleaner sand</t>
        </is>
      </c>
      <c r="K441" s="11" t="n">
        <v>15.68422774115136</v>
      </c>
      <c r="L441" s="12" t="n">
        <v>1.134651884127053</v>
      </c>
      <c r="M441" s="12" t="n">
        <v>1.85</v>
      </c>
      <c r="N441" s="12" t="n">
        <v>7.416824746131782</v>
      </c>
      <c r="O441" s="12" t="n">
        <v>200.10669518396</v>
      </c>
      <c r="P441" s="5" t="inlineStr">
        <is>
          <t>Normal</t>
        </is>
      </c>
      <c r="Q441" s="5" t="inlineStr">
        <is>
          <t>Turn Right</t>
        </is>
      </c>
      <c r="R441" s="12" t="n">
        <v>0.47</v>
      </c>
      <c r="S441" s="5" t="inlineStr">
        <is>
          <t>REJECTED</t>
        </is>
      </c>
      <c r="T441" s="5" t="inlineStr">
        <is>
          <t>Normal operation</t>
        </is>
      </c>
    </row>
    <row r="442" s="17">
      <c r="A442" s="7" t="n">
        <v>5535</v>
      </c>
      <c r="B442" s="8" t="n">
        <v>50213.078927</v>
      </c>
      <c r="C442" s="9" t="n">
        <v>50.21307892700001</v>
      </c>
      <c r="D442" s="9" t="n">
        <v>129.6050555</v>
      </c>
      <c r="E442" s="9" t="n">
        <v>46.20914266</v>
      </c>
      <c r="F442" s="10" t="n">
        <v>0.03179767398035101</v>
      </c>
      <c r="G442" s="10" t="n">
        <v>0.1098821278605296</v>
      </c>
      <c r="H442" s="10" t="n">
        <v>0.9007809095590457</v>
      </c>
      <c r="I442" s="10" t="n">
        <v>0.357754</v>
      </c>
      <c r="J442" s="5" t="inlineStr">
        <is>
          <t>Cleaner sand</t>
        </is>
      </c>
      <c r="K442" s="11" t="n">
        <v>18.13509169731703</v>
      </c>
      <c r="L442" s="12" t="n">
        <v>1.1</v>
      </c>
      <c r="M442" s="12" t="n">
        <v>1.85</v>
      </c>
      <c r="N442" s="12" t="n">
        <v>6.363887879179158</v>
      </c>
      <c r="O442" s="12" t="n">
        <v>218.8245458983896</v>
      </c>
      <c r="P442" s="5" t="inlineStr">
        <is>
          <t>Normal</t>
        </is>
      </c>
      <c r="Q442" s="5" t="inlineStr">
        <is>
          <t>Build</t>
        </is>
      </c>
      <c r="R442" s="12" t="n">
        <v>0.68</v>
      </c>
      <c r="S442" s="5" t="inlineStr">
        <is>
          <t>REDUCED</t>
        </is>
      </c>
      <c r="T442" s="5" t="inlineStr">
        <is>
          <t>Normal operation</t>
        </is>
      </c>
    </row>
    <row r="443" s="17">
      <c r="A443" s="7" t="n">
        <v>5540</v>
      </c>
      <c r="B443" s="8" t="n">
        <v>64502.967429</v>
      </c>
      <c r="C443" s="9" t="n">
        <v>64.50296742899999</v>
      </c>
      <c r="D443" s="9" t="n">
        <v>163.08368699</v>
      </c>
      <c r="E443" s="9" t="n">
        <v>37.16420481999999</v>
      </c>
      <c r="F443" s="10" t="n">
        <v>0.0782508778843936</v>
      </c>
      <c r="G443" s="10" t="n">
        <v>0.343021410085365</v>
      </c>
      <c r="H443" s="10" t="n">
        <v>0.8890248005484399</v>
      </c>
      <c r="I443" s="10" t="n">
        <v>0.8956769999999999</v>
      </c>
      <c r="J443" s="5" t="inlineStr">
        <is>
          <t>Transition</t>
        </is>
      </c>
      <c r="K443" s="11" t="n">
        <v>20.34655104205894</v>
      </c>
      <c r="L443" s="12" t="n">
        <v>1.873914304037257</v>
      </c>
      <c r="M443" s="12" t="n">
        <v>1.85</v>
      </c>
      <c r="N443" s="12" t="n">
        <v>8.720865325854774</v>
      </c>
      <c r="O443" s="12" t="n">
        <v>223.7246254007041</v>
      </c>
      <c r="P443" s="5" t="inlineStr">
        <is>
          <t>Normal</t>
        </is>
      </c>
      <c r="Q443" s="5" t="inlineStr">
        <is>
          <t>Build</t>
        </is>
      </c>
      <c r="R443" s="12" t="n">
        <v>0.92</v>
      </c>
      <c r="S443" s="5" t="inlineStr">
        <is>
          <t>ACCEPTED</t>
        </is>
      </c>
      <c r="T443" s="5" t="inlineStr">
        <is>
          <t>Normal operation</t>
        </is>
      </c>
    </row>
    <row r="444" s="17">
      <c r="A444" s="7" t="n">
        <v>5545</v>
      </c>
      <c r="B444" s="8" t="n">
        <v>32706.586044</v>
      </c>
      <c r="C444" s="9" t="n">
        <v>32.706586044</v>
      </c>
      <c r="D444" s="9" t="n">
        <v>127.43922152</v>
      </c>
      <c r="E444" s="9" t="n">
        <v>58.04088002</v>
      </c>
      <c r="F444" s="10" t="n">
        <v>0.04217574473563766</v>
      </c>
      <c r="G444" s="10" t="n">
        <v>0.2782090563300014</v>
      </c>
      <c r="H444" s="10" t="n">
        <v>0.9567696077498349</v>
      </c>
      <c r="I444" s="10" t="n">
        <v>0.206879</v>
      </c>
      <c r="J444" s="5" t="inlineStr">
        <is>
          <t>Transition</t>
        </is>
      </c>
      <c r="K444" s="11" t="n">
        <v>12.46376149565505</v>
      </c>
      <c r="L444" s="12" t="n">
        <v>2.102928072132236</v>
      </c>
      <c r="M444" s="12" t="n">
        <v>1.85</v>
      </c>
      <c r="N444" s="12" t="n">
        <v>10.92149853540089</v>
      </c>
      <c r="O444" s="12" t="n">
        <v>194.8923607765766</v>
      </c>
      <c r="P444" s="5" t="inlineStr">
        <is>
          <t>Normal</t>
        </is>
      </c>
      <c r="Q444" s="5" t="inlineStr">
        <is>
          <t>Turn Right</t>
        </is>
      </c>
      <c r="R444" s="12" t="n">
        <v>0.78</v>
      </c>
      <c r="S444" s="5" t="inlineStr">
        <is>
          <t>ACCEPTED</t>
        </is>
      </c>
      <c r="T444" s="5" t="inlineStr">
        <is>
          <t>Normal operation</t>
        </is>
      </c>
    </row>
    <row r="445" s="17">
      <c r="A445" s="7" t="n">
        <v>5550</v>
      </c>
      <c r="B445" s="8" t="n">
        <v>56878.87496</v>
      </c>
      <c r="C445" s="9" t="n">
        <v>56.87887496</v>
      </c>
      <c r="D445" s="9" t="n">
        <v>129.16067521</v>
      </c>
      <c r="E445" s="9" t="n">
        <v>60.62078862</v>
      </c>
      <c r="F445" s="10" t="n">
        <v>0.1230056422192631</v>
      </c>
      <c r="G445" s="10" t="n">
        <v>0.3172400803532575</v>
      </c>
      <c r="H445" s="10" t="n">
        <v>0.8062392725245671</v>
      </c>
      <c r="I445" s="10" t="n">
        <v>2.390778</v>
      </c>
      <c r="J445" s="5" t="inlineStr">
        <is>
          <t>Transition</t>
        </is>
      </c>
      <c r="K445" s="11" t="n">
        <v>18.88789025996282</v>
      </c>
      <c r="L445" s="12" t="n">
        <v>1.1</v>
      </c>
      <c r="M445" s="12" t="n">
        <v>1.85</v>
      </c>
      <c r="N445" s="12" t="n">
        <v>11.81841130100668</v>
      </c>
      <c r="O445" s="12" t="n">
        <v>218.1860725531175</v>
      </c>
      <c r="P445" s="5" t="inlineStr">
        <is>
          <t>Normal</t>
        </is>
      </c>
      <c r="Q445" s="5" t="inlineStr">
        <is>
          <t>Turn Right</t>
        </is>
      </c>
      <c r="R445" s="12" t="n">
        <v>0.74</v>
      </c>
      <c r="S445" s="5" t="inlineStr">
        <is>
          <t>ACCEPTED</t>
        </is>
      </c>
      <c r="T445" s="5" t="inlineStr">
        <is>
          <t>Normal operation</t>
        </is>
      </c>
    </row>
    <row r="446" s="17">
      <c r="A446" s="7" t="n">
        <v>5555</v>
      </c>
      <c r="B446" s="8" t="n">
        <v>69480.641519</v>
      </c>
      <c r="C446" s="9" t="n">
        <v>69.480641519</v>
      </c>
      <c r="D446" s="9" t="n">
        <v>145.13426258</v>
      </c>
      <c r="E446" s="9" t="n">
        <v>44.03451004</v>
      </c>
      <c r="F446" s="10" t="n">
        <v>0.1003037750207137</v>
      </c>
      <c r="G446" s="10" t="n">
        <v>0.339993547339213</v>
      </c>
      <c r="H446" s="10" t="n">
        <v>0.9006950999572707</v>
      </c>
      <c r="I446" s="10" t="n">
        <v>0.990803</v>
      </c>
      <c r="J446" s="5" t="inlineStr">
        <is>
          <t>Transition</t>
        </is>
      </c>
      <c r="K446" s="11" t="n">
        <v>19.99027820655227</v>
      </c>
      <c r="L446" s="12" t="n">
        <v>1.165231954692131</v>
      </c>
      <c r="M446" s="12" t="n">
        <v>1.85</v>
      </c>
      <c r="N446" s="12" t="n">
        <v>11.3181775008072</v>
      </c>
      <c r="O446" s="12" t="n">
        <v>232.5318473375473</v>
      </c>
      <c r="P446" s="5" t="inlineStr">
        <is>
          <t>Normal</t>
        </is>
      </c>
      <c r="Q446" s="5" t="inlineStr">
        <is>
          <t>Hold</t>
        </is>
      </c>
      <c r="R446" s="12" t="n">
        <v>0.72</v>
      </c>
      <c r="S446" s="5" t="inlineStr">
        <is>
          <t>ACCEPTED</t>
        </is>
      </c>
      <c r="T446" s="5" t="inlineStr">
        <is>
          <t>Normal operation</t>
        </is>
      </c>
    </row>
    <row r="447" s="17">
      <c r="A447" s="7" t="n">
        <v>5560</v>
      </c>
      <c r="B447" s="8" t="n">
        <v>38042.398621</v>
      </c>
      <c r="C447" s="9" t="n">
        <v>38.042398621</v>
      </c>
      <c r="D447" s="9" t="n">
        <v>144.66360728</v>
      </c>
      <c r="E447" s="9" t="n">
        <v>57.48984084</v>
      </c>
      <c r="F447" s="10" t="n">
        <v>0.07275858768318694</v>
      </c>
      <c r="G447" s="10" t="n">
        <v>0.229890217801575</v>
      </c>
      <c r="H447" s="10" t="n">
        <v>0.8735907054933276</v>
      </c>
      <c r="I447" s="10" t="n">
        <v>0.9056149999999999</v>
      </c>
      <c r="J447" s="5" t="inlineStr">
        <is>
          <t>Cleaner sand</t>
        </is>
      </c>
      <c r="K447" s="11" t="n">
        <v>16.18224747462031</v>
      </c>
      <c r="L447" s="12" t="n">
        <v>1.963385587892547</v>
      </c>
      <c r="M447" s="12" t="n">
        <v>1.85</v>
      </c>
      <c r="N447" s="12" t="n">
        <v>11.34014999005747</v>
      </c>
      <c r="O447" s="12" t="n">
        <v>222.4822826829329</v>
      </c>
      <c r="P447" s="5" t="inlineStr">
        <is>
          <t>Normal</t>
        </is>
      </c>
      <c r="Q447" s="5" t="inlineStr">
        <is>
          <t>Turn Right</t>
        </is>
      </c>
      <c r="R447" s="12" t="n">
        <v>0.5</v>
      </c>
      <c r="S447" s="5" t="inlineStr">
        <is>
          <t>REDUCED</t>
        </is>
      </c>
      <c r="T447" s="5" t="inlineStr">
        <is>
          <t>Normal operation</t>
        </is>
      </c>
    </row>
    <row r="448" s="17">
      <c r="A448" s="7" t="n">
        <v>5565</v>
      </c>
      <c r="B448" s="8" t="n">
        <v>60639.687589</v>
      </c>
      <c r="C448" s="9" t="n">
        <v>60.639687589</v>
      </c>
      <c r="D448" s="9" t="n">
        <v>121.49180778</v>
      </c>
      <c r="E448" s="9" t="n">
        <v>65.43767034000001</v>
      </c>
      <c r="F448" s="10" t="n">
        <v>0.1525500793498167</v>
      </c>
      <c r="G448" s="10" t="n">
        <v>0.287633146266406</v>
      </c>
      <c r="H448" s="10" t="n">
        <v>0.8783389681697167</v>
      </c>
      <c r="I448" s="10" t="n">
        <v>1.904591</v>
      </c>
      <c r="J448" s="5" t="inlineStr">
        <is>
          <t>Transition</t>
        </is>
      </c>
      <c r="K448" s="11" t="n">
        <v>20.0353033228347</v>
      </c>
      <c r="L448" s="12" t="n">
        <v>2.668172780158732</v>
      </c>
      <c r="M448" s="12" t="n">
        <v>1.85</v>
      </c>
      <c r="N448" s="12" t="n">
        <v>11.66308171591213</v>
      </c>
      <c r="O448" s="12" t="n">
        <v>234.7956113354984</v>
      </c>
      <c r="P448" s="5" t="inlineStr">
        <is>
          <t>Normal</t>
        </is>
      </c>
      <c r="Q448" s="5" t="inlineStr">
        <is>
          <t>Turn Right</t>
        </is>
      </c>
      <c r="R448" s="12" t="n">
        <v>0.64</v>
      </c>
      <c r="S448" s="5" t="inlineStr">
        <is>
          <t>REDUCED</t>
        </is>
      </c>
      <c r="T448" s="5" t="inlineStr">
        <is>
          <t>High vibration detected</t>
        </is>
      </c>
    </row>
    <row r="449" s="17">
      <c r="A449" s="7" t="n">
        <v>5570</v>
      </c>
      <c r="B449" s="8" t="n">
        <v>73241.805303</v>
      </c>
      <c r="C449" s="9" t="n">
        <v>73.24180530300001</v>
      </c>
      <c r="D449" s="9" t="n">
        <v>146.7619472</v>
      </c>
      <c r="E449" s="9" t="n">
        <v>51.00942102</v>
      </c>
      <c r="F449" s="10" t="n">
        <v>0.05377933513781595</v>
      </c>
      <c r="G449" s="10" t="n">
        <v>0.3237375245010372</v>
      </c>
      <c r="H449" s="10" t="n">
        <v>0.8949189025997777</v>
      </c>
      <c r="I449" s="10" t="n">
        <v>0.595844</v>
      </c>
      <c r="J449" s="5" t="inlineStr">
        <is>
          <t>Transition</t>
        </is>
      </c>
      <c r="K449" s="11" t="n">
        <v>21.04662728299092</v>
      </c>
      <c r="L449" s="12" t="n">
        <v>1.67018891676095</v>
      </c>
      <c r="M449" s="12" t="n">
        <v>1.85</v>
      </c>
      <c r="N449" s="12" t="n">
        <v>10.83413905481653</v>
      </c>
      <c r="O449" s="12" t="n">
        <v>234.283273742103</v>
      </c>
      <c r="P449" s="5" t="inlineStr">
        <is>
          <t>Normal</t>
        </is>
      </c>
      <c r="Q449" s="5" t="inlineStr">
        <is>
          <t>Hold</t>
        </is>
      </c>
      <c r="R449" s="12" t="n">
        <v>0.59</v>
      </c>
      <c r="S449" s="5" t="inlineStr">
        <is>
          <t>REDUCED</t>
        </is>
      </c>
      <c r="T449" s="5" t="inlineStr">
        <is>
          <t>WOB outside preferred band</t>
        </is>
      </c>
    </row>
    <row r="450" s="17">
      <c r="A450" s="7" t="n">
        <v>5575</v>
      </c>
      <c r="B450" s="8" t="n">
        <v>42064.989717</v>
      </c>
      <c r="C450" s="9" t="n">
        <v>42.064989717</v>
      </c>
      <c r="D450" s="9" t="n">
        <v>138.92344989</v>
      </c>
      <c r="E450" s="9" t="n">
        <v>62.88111534</v>
      </c>
      <c r="F450" s="10" t="n">
        <v>0.06151612582048033</v>
      </c>
      <c r="G450" s="10" t="n">
        <v>0.1592300665749754</v>
      </c>
      <c r="H450" s="10" t="n">
        <v>0.9086772864740651</v>
      </c>
      <c r="I450" s="10" t="n">
        <v>0.5836789999999999</v>
      </c>
      <c r="J450" s="5" t="inlineStr">
        <is>
          <t>Cleaner sand</t>
        </is>
      </c>
      <c r="K450" s="11" t="n">
        <v>15.73854950725875</v>
      </c>
      <c r="L450" s="12" t="n">
        <v>1.303278558797724</v>
      </c>
      <c r="M450" s="12" t="n">
        <v>2.280198424535431</v>
      </c>
      <c r="N450" s="12" t="n">
        <v>11.775558296581</v>
      </c>
      <c r="O450" s="12" t="n">
        <v>237.5559591292221</v>
      </c>
      <c r="P450" s="5" t="inlineStr">
        <is>
          <t>Normal</t>
        </is>
      </c>
      <c r="Q450" s="5" t="inlineStr">
        <is>
          <t>Turn Right</t>
        </is>
      </c>
      <c r="R450" s="12" t="n">
        <v>0.92</v>
      </c>
      <c r="S450" s="5" t="inlineStr">
        <is>
          <t>ACCEPTED</t>
        </is>
      </c>
      <c r="T450" s="5" t="inlineStr">
        <is>
          <t>Normal operation</t>
        </is>
      </c>
    </row>
    <row r="451" s="17">
      <c r="A451" s="7" t="n">
        <v>5580</v>
      </c>
      <c r="B451" s="8" t="n">
        <v>67270.48839699999</v>
      </c>
      <c r="C451" s="9" t="n">
        <v>67.27048839699999</v>
      </c>
      <c r="D451" s="9" t="n">
        <v>139.20948346</v>
      </c>
      <c r="E451" s="9" t="n">
        <v>49.04432464</v>
      </c>
      <c r="F451" s="10" t="n">
        <v>0.1336061351429266</v>
      </c>
      <c r="G451" s="10" t="n">
        <v>0.1089303099055172</v>
      </c>
      <c r="H451" s="10" t="n">
        <v>0.9204525642036735</v>
      </c>
      <c r="I451" s="10" t="n">
        <v>1.065521</v>
      </c>
      <c r="J451" s="5" t="inlineStr">
        <is>
          <t>Cleaner sand</t>
        </is>
      </c>
      <c r="K451" s="11" t="n">
        <v>19.82903922723039</v>
      </c>
      <c r="L451" s="12" t="n">
        <v>1.570380743858628</v>
      </c>
      <c r="M451" s="12" t="n">
        <v>2.106671253943622</v>
      </c>
      <c r="N451" s="12" t="n">
        <v>14.50197031437007</v>
      </c>
      <c r="O451" s="12" t="n">
        <v>234.8850917189793</v>
      </c>
      <c r="P451" s="5" t="inlineStr">
        <is>
          <t>Normal</t>
        </is>
      </c>
      <c r="Q451" s="5" t="inlineStr">
        <is>
          <t>Drop</t>
        </is>
      </c>
      <c r="R451" s="12" t="n">
        <v>0.53</v>
      </c>
      <c r="S451" s="5" t="inlineStr">
        <is>
          <t>REDUCED</t>
        </is>
      </c>
      <c r="T451" s="5" t="inlineStr">
        <is>
          <t>Normal operation</t>
        </is>
      </c>
    </row>
    <row r="452" s="17">
      <c r="A452" s="7" t="n">
        <v>5585</v>
      </c>
      <c r="B452" s="8" t="n">
        <v>56601.030228</v>
      </c>
      <c r="C452" s="9" t="n">
        <v>56.60103022800001</v>
      </c>
      <c r="D452" s="9" t="n">
        <v>115.29621233</v>
      </c>
      <c r="E452" s="9" t="n">
        <v>51.85866878</v>
      </c>
      <c r="F452" s="10" t="n">
        <v>0.0881965923172167</v>
      </c>
      <c r="G452" s="10" t="n">
        <v>0.360860122122539</v>
      </c>
      <c r="H452" s="10" t="n">
        <v>0.8852012872765281</v>
      </c>
      <c r="I452" s="10" t="n">
        <v>1.012551</v>
      </c>
      <c r="J452" s="5" t="inlineStr">
        <is>
          <t>Transition</t>
        </is>
      </c>
      <c r="K452" s="11" t="n">
        <v>18.86322954706219</v>
      </c>
      <c r="L452" s="12" t="n">
        <v>2.33368944538261</v>
      </c>
      <c r="M452" s="12" t="n">
        <v>1.85</v>
      </c>
      <c r="N452" s="12" t="n">
        <v>11.49439777586156</v>
      </c>
      <c r="O452" s="12" t="n">
        <v>228.9722492743586</v>
      </c>
      <c r="P452" s="5" t="inlineStr">
        <is>
          <t>Normal</t>
        </is>
      </c>
      <c r="Q452" s="5" t="inlineStr">
        <is>
          <t>Hold</t>
        </is>
      </c>
      <c r="R452" s="12" t="n">
        <v>0.66</v>
      </c>
      <c r="S452" s="5" t="inlineStr">
        <is>
          <t>REDUCED</t>
        </is>
      </c>
      <c r="T452" s="5" t="inlineStr">
        <is>
          <t>Normal operation</t>
        </is>
      </c>
    </row>
    <row r="453" s="17">
      <c r="A453" s="7" t="n">
        <v>5590</v>
      </c>
      <c r="B453" s="8" t="n">
        <v>38409.597213</v>
      </c>
      <c r="C453" s="9" t="n">
        <v>38.409597213</v>
      </c>
      <c r="D453" s="9" t="n">
        <v>141.24420876</v>
      </c>
      <c r="E453" s="9" t="n">
        <v>47.16266162</v>
      </c>
      <c r="F453" s="10" t="n">
        <v>0.07178499737970757</v>
      </c>
      <c r="G453" s="10" t="n">
        <v>0.1384947982998018</v>
      </c>
      <c r="H453" s="10" t="n">
        <v>0.9565816673785774</v>
      </c>
      <c r="I453" s="10" t="n">
        <v>0.297478</v>
      </c>
      <c r="J453" s="5" t="inlineStr">
        <is>
          <t>Cleaner sand</t>
        </is>
      </c>
      <c r="K453" s="11" t="n">
        <v>16.53525300873442</v>
      </c>
      <c r="L453" s="12" t="n">
        <v>1.343477552228978</v>
      </c>
      <c r="M453" s="12" t="n">
        <v>1.85</v>
      </c>
      <c r="N453" s="12" t="n">
        <v>15.20647886390897</v>
      </c>
      <c r="O453" s="12" t="n">
        <v>233.5330479334131</v>
      </c>
      <c r="P453" s="5" t="inlineStr">
        <is>
          <t>Normal</t>
        </is>
      </c>
      <c r="Q453" s="5" t="inlineStr">
        <is>
          <t>Drop</t>
        </is>
      </c>
      <c r="R453" s="12" t="n">
        <v>0.92</v>
      </c>
      <c r="S453" s="5" t="inlineStr">
        <is>
          <t>ACCEPTED</t>
        </is>
      </c>
      <c r="T453" s="5" t="inlineStr">
        <is>
          <t>Normal operation</t>
        </is>
      </c>
    </row>
    <row r="454" s="17">
      <c r="A454" s="7" t="n">
        <v>5595</v>
      </c>
      <c r="B454" s="8" t="n">
        <v>35081.021175</v>
      </c>
      <c r="C454" s="9" t="n">
        <v>35.081021175</v>
      </c>
      <c r="D454" s="9" t="n">
        <v>154.59251488</v>
      </c>
      <c r="E454" s="9" t="n">
        <v>57.4138498</v>
      </c>
      <c r="F454" s="10" t="n">
        <v>0.116202681320933</v>
      </c>
      <c r="G454" s="10" t="n">
        <v>0.09966006322134935</v>
      </c>
      <c r="H454" s="10" t="n">
        <v>0.9402791497613437</v>
      </c>
      <c r="I454" s="10" t="n">
        <v>0.743559</v>
      </c>
      <c r="J454" s="5" t="inlineStr">
        <is>
          <t>Cleaner sand</t>
        </is>
      </c>
      <c r="K454" s="11" t="n">
        <v>13.98218752166593</v>
      </c>
      <c r="L454" s="12" t="n">
        <v>1.268395916741376</v>
      </c>
      <c r="M454" s="12" t="n">
        <v>1.85</v>
      </c>
      <c r="N454" s="12" t="n">
        <v>13.07617308774165</v>
      </c>
      <c r="O454" s="12" t="n">
        <v>255.511979918102</v>
      </c>
      <c r="P454" s="5" t="inlineStr">
        <is>
          <t>Normal</t>
        </is>
      </c>
      <c r="Q454" s="5" t="inlineStr">
        <is>
          <t>Hold</t>
        </is>
      </c>
      <c r="R454" s="12" t="n">
        <v>0.83</v>
      </c>
      <c r="S454" s="5" t="inlineStr">
        <is>
          <t>ACCEPTED</t>
        </is>
      </c>
      <c r="T454" s="5" t="inlineStr">
        <is>
          <t>Normal operation</t>
        </is>
      </c>
    </row>
    <row r="455" s="17">
      <c r="A455" s="7" t="n">
        <v>5600</v>
      </c>
      <c r="B455" s="8" t="n">
        <v>47048.406729</v>
      </c>
      <c r="C455" s="9" t="n">
        <v>47.048406729</v>
      </c>
      <c r="D455" s="9" t="n">
        <v>140.1315881</v>
      </c>
      <c r="E455" s="9" t="n">
        <v>46.38641518</v>
      </c>
      <c r="F455" s="10" t="n">
        <v>0.06982081387552573</v>
      </c>
      <c r="G455" s="10" t="n">
        <v>0.1477506974974075</v>
      </c>
      <c r="H455" s="10" t="n">
        <v>0.9611879990264875</v>
      </c>
      <c r="I455" s="10" t="n">
        <v>0.300691</v>
      </c>
      <c r="J455" s="5" t="inlineStr">
        <is>
          <t>Cleaner sand</t>
        </is>
      </c>
      <c r="K455" s="11" t="n">
        <v>17.67302110457489</v>
      </c>
      <c r="L455" s="12" t="n">
        <v>1.423455674130804</v>
      </c>
      <c r="M455" s="12" t="n">
        <v>1.85</v>
      </c>
      <c r="N455" s="12" t="n">
        <v>15.60541468300006</v>
      </c>
      <c r="O455" s="12" t="n">
        <v>252.3321163080288</v>
      </c>
      <c r="P455" s="5" t="inlineStr">
        <is>
          <t>Normal</t>
        </is>
      </c>
      <c r="Q455" s="5" t="inlineStr">
        <is>
          <t>Drop</t>
        </is>
      </c>
      <c r="R455" s="12" t="n">
        <v>0.93</v>
      </c>
      <c r="S455" s="5" t="inlineStr">
        <is>
          <t>ACCEPTED</t>
        </is>
      </c>
      <c r="T455" s="5" t="inlineStr">
        <is>
          <t>Normal operation</t>
        </is>
      </c>
    </row>
    <row r="456" s="17">
      <c r="A456" s="7" t="n">
        <v>5605</v>
      </c>
      <c r="B456" s="8" t="n">
        <v>33832.167418</v>
      </c>
      <c r="C456" s="9" t="n">
        <v>33.832167418</v>
      </c>
      <c r="D456" s="9" t="n">
        <v>120.99446767</v>
      </c>
      <c r="E456" s="9" t="n">
        <v>56.86052528</v>
      </c>
      <c r="F456" s="10" t="n">
        <v>0.06085693543525182</v>
      </c>
      <c r="G456" s="10" t="n">
        <v>0.2980698562801972</v>
      </c>
      <c r="H456" s="10" t="n">
        <v>0.9188984381365174</v>
      </c>
      <c r="I456" s="10" t="n">
        <v>0.5281709999999999</v>
      </c>
      <c r="J456" s="5" t="inlineStr">
        <is>
          <t>Transition</t>
        </is>
      </c>
      <c r="K456" s="11" t="n">
        <v>14.207964734858</v>
      </c>
      <c r="L456" s="12" t="n">
        <v>1.192868981953231</v>
      </c>
      <c r="M456" s="12" t="n">
        <v>1.85</v>
      </c>
      <c r="N456" s="12" t="n">
        <v>12.44103668142482</v>
      </c>
      <c r="O456" s="12" t="n">
        <v>254.5094795953082</v>
      </c>
      <c r="P456" s="5" t="inlineStr">
        <is>
          <t>Normal</t>
        </is>
      </c>
      <c r="Q456" s="5" t="inlineStr">
        <is>
          <t>Hold</t>
        </is>
      </c>
      <c r="R456" s="12" t="n">
        <v>0.73</v>
      </c>
      <c r="S456" s="5" t="inlineStr">
        <is>
          <t>ACCEPTED</t>
        </is>
      </c>
      <c r="T456" s="5" t="inlineStr">
        <is>
          <t>Normal operation</t>
        </is>
      </c>
    </row>
    <row r="457" s="17">
      <c r="A457" s="7" t="n">
        <v>5610</v>
      </c>
      <c r="B457" s="8" t="n">
        <v>53063.015549</v>
      </c>
      <c r="C457" s="9" t="n">
        <v>53.06301554900001</v>
      </c>
      <c r="D457" s="9" t="n">
        <v>141.0331481</v>
      </c>
      <c r="E457" s="9" t="n">
        <v>55.72086632</v>
      </c>
      <c r="F457" s="10" t="n">
        <v>0.09064753975087238</v>
      </c>
      <c r="G457" s="10" t="n">
        <v>0.1905265940514994</v>
      </c>
      <c r="H457" s="10" t="n">
        <v>0.9258957618882823</v>
      </c>
      <c r="I457" s="10" t="n">
        <v>0.663369</v>
      </c>
      <c r="J457" s="5" t="inlineStr">
        <is>
          <t>Cleaner sand</t>
        </is>
      </c>
      <c r="K457" s="11" t="n">
        <v>17.48231839624894</v>
      </c>
      <c r="L457" s="12" t="n">
        <v>1.72010845483745</v>
      </c>
      <c r="M457" s="12" t="n">
        <v>1.85</v>
      </c>
      <c r="N457" s="12" t="n">
        <v>15.41911490788083</v>
      </c>
      <c r="O457" s="12" t="n">
        <v>255.4396627103197</v>
      </c>
      <c r="P457" s="5" t="inlineStr">
        <is>
          <t>Normal</t>
        </is>
      </c>
      <c r="Q457" s="5" t="inlineStr">
        <is>
          <t>Drop</t>
        </is>
      </c>
      <c r="R457" s="12" t="n">
        <v>0.58</v>
      </c>
      <c r="S457" s="5" t="inlineStr">
        <is>
          <t>REDUCED</t>
        </is>
      </c>
      <c r="T457" s="5" t="inlineStr">
        <is>
          <t>Normal operation</t>
        </is>
      </c>
    </row>
    <row r="458" s="17">
      <c r="A458" s="7" t="n">
        <v>5615</v>
      </c>
      <c r="B458" s="8" t="n">
        <v>65602.82558400001</v>
      </c>
      <c r="C458" s="9" t="n">
        <v>65.602825584</v>
      </c>
      <c r="D458" s="9" t="n">
        <v>148.72172691</v>
      </c>
      <c r="E458" s="9" t="n">
        <v>52.61500972</v>
      </c>
      <c r="F458" s="10" t="n">
        <v>0.1116464991478801</v>
      </c>
      <c r="G458" s="10" t="n">
        <v>0.2831398847928095</v>
      </c>
      <c r="H458" s="10" t="n">
        <v>0.8780607729137415</v>
      </c>
      <c r="I458" s="10" t="n">
        <v>1.403618</v>
      </c>
      <c r="J458" s="5" t="inlineStr">
        <is>
          <t>Transition</t>
        </is>
      </c>
      <c r="K458" s="11" t="n">
        <v>20.47450313144594</v>
      </c>
      <c r="L458" s="12" t="n">
        <v>2.456092444650085</v>
      </c>
      <c r="M458" s="12" t="n">
        <v>1.85</v>
      </c>
      <c r="N458" s="12" t="n">
        <v>14.08718152223004</v>
      </c>
      <c r="O458" s="12" t="n">
        <v>260.4263526409672</v>
      </c>
      <c r="P458" s="5" t="inlineStr">
        <is>
          <t>Normal</t>
        </is>
      </c>
      <c r="Q458" s="5" t="inlineStr">
        <is>
          <t>Drop</t>
        </is>
      </c>
      <c r="R458" s="12" t="n">
        <v>0.85</v>
      </c>
      <c r="S458" s="5" t="inlineStr">
        <is>
          <t>ACCEPTED</t>
        </is>
      </c>
      <c r="T458" s="5" t="inlineStr">
        <is>
          <t>Normal operation</t>
        </is>
      </c>
    </row>
    <row r="459" s="17">
      <c r="A459" s="7" t="n">
        <v>5620</v>
      </c>
      <c r="B459" s="8" t="n">
        <v>52361.185347</v>
      </c>
      <c r="C459" s="9" t="n">
        <v>52.361185347</v>
      </c>
      <c r="D459" s="9" t="n">
        <v>141.29093279</v>
      </c>
      <c r="E459" s="9" t="n">
        <v>56.74434768</v>
      </c>
      <c r="F459" s="10" t="n">
        <v>0.0368139909894547</v>
      </c>
      <c r="G459" s="10" t="n">
        <v>0.07597737154982244</v>
      </c>
      <c r="H459" s="10" t="n">
        <v>0.9153988833945526</v>
      </c>
      <c r="I459" s="10" t="n">
        <v>0.295321</v>
      </c>
      <c r="J459" s="5" t="inlineStr">
        <is>
          <t>Cleaner sand</t>
        </is>
      </c>
      <c r="K459" s="11" t="n">
        <v>17.11086715351935</v>
      </c>
      <c r="L459" s="12" t="n">
        <v>1.818308843826854</v>
      </c>
      <c r="M459" s="12" t="n">
        <v>1.85</v>
      </c>
      <c r="N459" s="12" t="n">
        <v>13.59267860205564</v>
      </c>
      <c r="O459" s="12" t="n">
        <v>277.7515315196082</v>
      </c>
      <c r="P459" s="5" t="inlineStr">
        <is>
          <t>Normal</t>
        </is>
      </c>
      <c r="Q459" s="5" t="inlineStr">
        <is>
          <t>Drop</t>
        </is>
      </c>
      <c r="R459" s="12" t="n">
        <v>0.5600000000000001</v>
      </c>
      <c r="S459" s="5" t="inlineStr">
        <is>
          <t>REDUCED</t>
        </is>
      </c>
      <c r="T459" s="5" t="inlineStr">
        <is>
          <t>Normal operation</t>
        </is>
      </c>
    </row>
    <row r="460" s="17">
      <c r="A460" s="7" t="n">
        <v>5625</v>
      </c>
      <c r="B460" s="8" t="n">
        <v>48484.21288</v>
      </c>
      <c r="C460" s="9" t="n">
        <v>48.48421288</v>
      </c>
      <c r="D460" s="9" t="n">
        <v>156.97317285</v>
      </c>
      <c r="E460" s="9" t="n">
        <v>36.83233278</v>
      </c>
      <c r="F460" s="10" t="n">
        <v>0.09646766357329271</v>
      </c>
      <c r="G460" s="10" t="n">
        <v>0.1180151530835576</v>
      </c>
      <c r="H460" s="10" t="n">
        <v>0.940013331558189</v>
      </c>
      <c r="I460" s="10" t="n">
        <v>0.567283</v>
      </c>
      <c r="J460" s="5" t="inlineStr">
        <is>
          <t>Cleaner sand</t>
        </is>
      </c>
      <c r="K460" s="11" t="n">
        <v>16.87940108694172</v>
      </c>
      <c r="L460" s="12" t="n">
        <v>1.536346783958119</v>
      </c>
      <c r="M460" s="12" t="n">
        <v>1.85</v>
      </c>
      <c r="N460" s="12" t="n">
        <v>16.10416345928647</v>
      </c>
      <c r="O460" s="12" t="n">
        <v>267.7274041238104</v>
      </c>
      <c r="P460" s="5" t="inlineStr">
        <is>
          <t>Normal</t>
        </is>
      </c>
      <c r="Q460" s="5" t="inlineStr">
        <is>
          <t>Drop</t>
        </is>
      </c>
      <c r="R460" s="12" t="n">
        <v>0.49</v>
      </c>
      <c r="S460" s="5" t="inlineStr">
        <is>
          <t>REJECTED</t>
        </is>
      </c>
      <c r="T460" s="5" t="inlineStr">
        <is>
          <t>Normal operation</t>
        </is>
      </c>
    </row>
    <row r="461" s="17">
      <c r="A461" s="7" t="n">
        <v>5630</v>
      </c>
      <c r="B461" s="8" t="n">
        <v>67749.8126</v>
      </c>
      <c r="C461" s="9" t="n">
        <v>67.7498126</v>
      </c>
      <c r="D461" s="9" t="n">
        <v>122.19034603</v>
      </c>
      <c r="E461" s="9" t="n">
        <v>51.19492306</v>
      </c>
      <c r="F461" s="10" t="n">
        <v>0.05765946553023158</v>
      </c>
      <c r="G461" s="10" t="n">
        <v>0.34859250171898</v>
      </c>
      <c r="H461" s="10" t="n">
        <v>0.9417276449878601</v>
      </c>
      <c r="I461" s="10" t="n">
        <v>0.37004</v>
      </c>
      <c r="J461" s="5" t="inlineStr">
        <is>
          <t>Transition</t>
        </is>
      </c>
      <c r="K461" s="11" t="n">
        <v>19.77853294376779</v>
      </c>
      <c r="L461" s="12" t="n">
        <v>1.517012478231383</v>
      </c>
      <c r="M461" s="12" t="n">
        <v>1.85</v>
      </c>
      <c r="N461" s="12" t="n">
        <v>17.51992578192216</v>
      </c>
      <c r="O461" s="12" t="n">
        <v>261.4486723480222</v>
      </c>
      <c r="P461" s="5" t="inlineStr">
        <is>
          <t>Normal</t>
        </is>
      </c>
      <c r="Q461" s="5" t="inlineStr">
        <is>
          <t>Drop</t>
        </is>
      </c>
      <c r="R461" s="12" t="n">
        <v>0.79</v>
      </c>
      <c r="S461" s="5" t="inlineStr">
        <is>
          <t>ACCEPTED</t>
        </is>
      </c>
      <c r="T461" s="5" t="inlineStr">
        <is>
          <t>Normal operation</t>
        </is>
      </c>
    </row>
    <row r="462" s="17">
      <c r="A462" s="7" t="n">
        <v>5635</v>
      </c>
      <c r="B462" s="8" t="n">
        <v>34568.313218</v>
      </c>
      <c r="C462" s="9" t="n">
        <v>34.568313218</v>
      </c>
      <c r="D462" s="9" t="n">
        <v>121.72836483</v>
      </c>
      <c r="E462" s="9" t="n">
        <v>51.33125133999999</v>
      </c>
      <c r="F462" s="10" t="n">
        <v>0.03239662622112166</v>
      </c>
      <c r="G462" s="10" t="n">
        <v>0.07008361846025903</v>
      </c>
      <c r="H462" s="10" t="n">
        <v>0.9997767796604029</v>
      </c>
      <c r="I462" s="10" t="n">
        <v>0.043441</v>
      </c>
      <c r="J462" s="5" t="inlineStr">
        <is>
          <t>Cleaner sand</t>
        </is>
      </c>
      <c r="K462" s="11" t="n">
        <v>16.83834061933223</v>
      </c>
      <c r="L462" s="12" t="n">
        <v>1.1</v>
      </c>
      <c r="M462" s="12" t="n">
        <v>1.85</v>
      </c>
      <c r="N462" s="12" t="n">
        <v>15.49673183917102</v>
      </c>
      <c r="O462" s="12" t="n">
        <v>286.0461922632577</v>
      </c>
      <c r="P462" s="5" t="inlineStr">
        <is>
          <t>Normal</t>
        </is>
      </c>
      <c r="Q462" s="5" t="inlineStr">
        <is>
          <t>Drop</t>
        </is>
      </c>
      <c r="R462" s="12" t="n">
        <v>0.75</v>
      </c>
      <c r="S462" s="5" t="inlineStr">
        <is>
          <t>ACCEPTED</t>
        </is>
      </c>
      <c r="T462" s="5" t="inlineStr">
        <is>
          <t>Normal operation</t>
        </is>
      </c>
    </row>
    <row r="463" s="17">
      <c r="A463" s="7" t="n">
        <v>5640</v>
      </c>
      <c r="B463" s="8" t="n">
        <v>55959.299876</v>
      </c>
      <c r="C463" s="9" t="n">
        <v>55.959299876</v>
      </c>
      <c r="D463" s="9" t="n">
        <v>152.92256622</v>
      </c>
      <c r="E463" s="9" t="n">
        <v>30.90654948</v>
      </c>
      <c r="F463" s="10" t="n">
        <v>0.1161166692596006</v>
      </c>
      <c r="G463" s="10" t="n">
        <v>0.256334418925345</v>
      </c>
      <c r="H463" s="10" t="n">
        <v>0.9300383331012201</v>
      </c>
      <c r="I463" s="10" t="n">
        <v>0.828556</v>
      </c>
      <c r="J463" s="5" t="inlineStr">
        <is>
          <t>Transition</t>
        </is>
      </c>
      <c r="K463" s="11" t="n">
        <v>18.84314410592411</v>
      </c>
      <c r="L463" s="12" t="n">
        <v>2.092723790802108</v>
      </c>
      <c r="M463" s="12" t="n">
        <v>1.85</v>
      </c>
      <c r="N463" s="12" t="n">
        <v>15.03397821334181</v>
      </c>
      <c r="O463" s="12" t="n">
        <v>280.2710667062975</v>
      </c>
      <c r="P463" s="5" t="inlineStr">
        <is>
          <t>Normal</t>
        </is>
      </c>
      <c r="Q463" s="5" t="inlineStr">
        <is>
          <t>Drop</t>
        </is>
      </c>
      <c r="R463" s="12" t="n">
        <v>0.88</v>
      </c>
      <c r="S463" s="5" t="inlineStr">
        <is>
          <t>ACCEPTED</t>
        </is>
      </c>
      <c r="T463" s="5" t="inlineStr">
        <is>
          <t>Normal operation</t>
        </is>
      </c>
    </row>
    <row r="464" s="17">
      <c r="A464" s="7" t="n">
        <v>5645</v>
      </c>
      <c r="B464" s="8" t="n">
        <v>57770.072647</v>
      </c>
      <c r="C464" s="9" t="n">
        <v>57.770072647</v>
      </c>
      <c r="D464" s="9" t="n">
        <v>120.00157008</v>
      </c>
      <c r="E464" s="9" t="n">
        <v>50.23038002</v>
      </c>
      <c r="F464" s="10" t="n">
        <v>0.06976643661860796</v>
      </c>
      <c r="G464" s="10" t="n">
        <v>0.347643195420415</v>
      </c>
      <c r="H464" s="10" t="n">
        <v>0.9158319357009599</v>
      </c>
      <c r="I464" s="10" t="n">
        <v>0.613325</v>
      </c>
      <c r="J464" s="5" t="inlineStr">
        <is>
          <t>Transition</t>
        </is>
      </c>
      <c r="K464" s="11" t="n">
        <v>18.44119531998228</v>
      </c>
      <c r="L464" s="12" t="n">
        <v>1.621859773463727</v>
      </c>
      <c r="M464" s="12" t="n">
        <v>1.85</v>
      </c>
      <c r="N464" s="12" t="n">
        <v>17.25084402089742</v>
      </c>
      <c r="O464" s="12" t="n">
        <v>286.2927966891252</v>
      </c>
      <c r="P464" s="5" t="inlineStr">
        <is>
          <t>Normal</t>
        </is>
      </c>
      <c r="Q464" s="5" t="inlineStr">
        <is>
          <t>Drop</t>
        </is>
      </c>
      <c r="R464" s="12" t="n">
        <v>0.93</v>
      </c>
      <c r="S464" s="5" t="inlineStr">
        <is>
          <t>ACCEPTED</t>
        </is>
      </c>
      <c r="T464" s="5" t="inlineStr">
        <is>
          <t>Normal operation</t>
        </is>
      </c>
    </row>
    <row r="465" s="17">
      <c r="A465" s="7" t="n">
        <v>5650</v>
      </c>
      <c r="B465" s="8" t="n">
        <v>50293.195785</v>
      </c>
      <c r="C465" s="9" t="n">
        <v>50.293195785</v>
      </c>
      <c r="D465" s="9" t="n">
        <v>145.59136716</v>
      </c>
      <c r="E465" s="9" t="n">
        <v>60.85375062</v>
      </c>
      <c r="F465" s="10" t="n">
        <v>0.03774500659419381</v>
      </c>
      <c r="G465" s="10" t="n">
        <v>0.2851402525376833</v>
      </c>
      <c r="H465" s="10" t="n">
        <v>0.942127620620182</v>
      </c>
      <c r="I465" s="10" t="n">
        <v>0.238327</v>
      </c>
      <c r="J465" s="5" t="inlineStr">
        <is>
          <t>Transition</t>
        </is>
      </c>
      <c r="K465" s="11" t="n">
        <v>17.97974138197892</v>
      </c>
      <c r="L465" s="12" t="n">
        <v>1.571564842340593</v>
      </c>
      <c r="M465" s="12" t="n">
        <v>1.85</v>
      </c>
      <c r="N465" s="12" t="n">
        <v>17.64411953971769</v>
      </c>
      <c r="O465" s="12" t="n">
        <v>305.6516647637413</v>
      </c>
      <c r="P465" s="5" t="inlineStr">
        <is>
          <t>Normal</t>
        </is>
      </c>
      <c r="Q465" s="5" t="inlineStr">
        <is>
          <t>Drop</t>
        </is>
      </c>
      <c r="R465" s="12" t="n">
        <v>0.87</v>
      </c>
      <c r="S465" s="5" t="inlineStr">
        <is>
          <t>ACCEPTED</t>
        </is>
      </c>
      <c r="T465" s="5" t="inlineStr">
        <is>
          <t>Normal operation</t>
        </is>
      </c>
    </row>
    <row r="466" s="17">
      <c r="A466" s="7" t="n">
        <v>5655</v>
      </c>
      <c r="B466" s="8" t="n">
        <v>36715.86612</v>
      </c>
      <c r="C466" s="9" t="n">
        <v>36.71586612</v>
      </c>
      <c r="D466" s="9" t="n">
        <v>121.74027635</v>
      </c>
      <c r="E466" s="9" t="n">
        <v>30</v>
      </c>
      <c r="F466" s="10" t="n">
        <v>0.1087710210811003</v>
      </c>
      <c r="G466" s="10" t="n">
        <v>0.257250368923058</v>
      </c>
      <c r="H466" s="10" t="n">
        <v>0.9413622466237384</v>
      </c>
      <c r="I466" s="10" t="n">
        <v>0.621082</v>
      </c>
      <c r="J466" s="5" t="inlineStr">
        <is>
          <t>Transition</t>
        </is>
      </c>
      <c r="K466" s="11" t="n">
        <v>15.15626886035493</v>
      </c>
      <c r="L466" s="12" t="n">
        <v>3.07</v>
      </c>
      <c r="M466" s="12" t="n">
        <v>1.85</v>
      </c>
      <c r="N466" s="12" t="n">
        <v>18.67129302447137</v>
      </c>
      <c r="O466" s="12" t="n">
        <v>292.8947348965699</v>
      </c>
      <c r="P466" s="5" t="inlineStr">
        <is>
          <t>Normal</t>
        </is>
      </c>
      <c r="Q466" s="5" t="inlineStr">
        <is>
          <t>Drop</t>
        </is>
      </c>
      <c r="R466" s="12" t="n">
        <v>0.43</v>
      </c>
      <c r="S466" s="5" t="inlineStr">
        <is>
          <t>REJECTED</t>
        </is>
      </c>
      <c r="T466" s="5" t="inlineStr">
        <is>
          <t>High vibration detected</t>
        </is>
      </c>
    </row>
    <row r="467" s="17">
      <c r="A467" s="7" t="n">
        <v>5660</v>
      </c>
      <c r="B467" s="8" t="n">
        <v>69055.405656</v>
      </c>
      <c r="C467" s="9" t="n">
        <v>69.055405656</v>
      </c>
      <c r="D467" s="9" t="n">
        <v>113.66587084</v>
      </c>
      <c r="E467" s="9" t="n">
        <v>30</v>
      </c>
      <c r="F467" s="10" t="n">
        <v>0.04690084648699447</v>
      </c>
      <c r="G467" s="10" t="n">
        <v>0.354404167353579</v>
      </c>
      <c r="H467" s="10" t="n">
        <v>0.9464672787989427</v>
      </c>
      <c r="I467" s="10" t="n">
        <v>0.270699</v>
      </c>
      <c r="J467" s="5" t="inlineStr">
        <is>
          <t>Transition</t>
        </is>
      </c>
      <c r="K467" s="11" t="n">
        <v>20.99556803577675</v>
      </c>
      <c r="L467" s="12" t="n">
        <v>1.806388925099186</v>
      </c>
      <c r="M467" s="12" t="n">
        <v>1.85</v>
      </c>
      <c r="N467" s="12" t="n">
        <v>19.08222380782573</v>
      </c>
      <c r="O467" s="12" t="n">
        <v>299.4336415828317</v>
      </c>
      <c r="P467" s="5" t="inlineStr">
        <is>
          <t>Normal</t>
        </is>
      </c>
      <c r="Q467" s="5" t="inlineStr">
        <is>
          <t>Drop</t>
        </is>
      </c>
      <c r="R467" s="12" t="n">
        <v>0.77</v>
      </c>
      <c r="S467" s="5" t="inlineStr">
        <is>
          <t>ACCEPTED</t>
        </is>
      </c>
      <c r="T467" s="5" t="inlineStr">
        <is>
          <t>Normal operation</t>
        </is>
      </c>
    </row>
    <row r="468" s="17">
      <c r="A468" s="7" t="n">
        <v>5665</v>
      </c>
      <c r="B468" s="8" t="n">
        <v>35624.782473</v>
      </c>
      <c r="C468" s="9" t="n">
        <v>35.624782473</v>
      </c>
      <c r="D468" s="9" t="n">
        <v>129.18798155</v>
      </c>
      <c r="E468" s="9" t="n">
        <v>54.52509312</v>
      </c>
      <c r="F468" s="10" t="n">
        <v>0.06699044432170523</v>
      </c>
      <c r="G468" s="10" t="n">
        <v>0.08948049673922383</v>
      </c>
      <c r="H468" s="10" t="n">
        <v>0.9216794581682153</v>
      </c>
      <c r="I468" s="10" t="n">
        <v>0.557603</v>
      </c>
      <c r="J468" s="5" t="inlineStr">
        <is>
          <t>Cleaner sand</t>
        </is>
      </c>
      <c r="K468" s="11" t="n">
        <v>15.6820897306285</v>
      </c>
      <c r="L468" s="12" t="n">
        <v>1.29162238545336</v>
      </c>
      <c r="M468" s="12" t="n">
        <v>1.85</v>
      </c>
      <c r="N468" s="12" t="n">
        <v>17.65978448579905</v>
      </c>
      <c r="O468" s="12" t="n">
        <v>288.1008755623563</v>
      </c>
      <c r="P468" s="5" t="inlineStr">
        <is>
          <t>Normal</t>
        </is>
      </c>
      <c r="Q468" s="5" t="inlineStr">
        <is>
          <t>Drop</t>
        </is>
      </c>
      <c r="R468" s="12" t="n">
        <v>0.83</v>
      </c>
      <c r="S468" s="5" t="inlineStr">
        <is>
          <t>ACCEPTED</t>
        </is>
      </c>
      <c r="T468" s="5" t="inlineStr">
        <is>
          <t>Normal operation</t>
        </is>
      </c>
    </row>
    <row r="469" s="17">
      <c r="A469" s="7" t="n">
        <v>5670</v>
      </c>
      <c r="B469" s="8" t="n">
        <v>43651.719907</v>
      </c>
      <c r="C469" s="9" t="n">
        <v>43.651719907</v>
      </c>
      <c r="D469" s="9" t="n">
        <v>141.76741408</v>
      </c>
      <c r="E469" s="9" t="n">
        <v>52.09737488</v>
      </c>
      <c r="F469" s="10" t="n">
        <v>0.1192433824098216</v>
      </c>
      <c r="G469" s="10" t="n">
        <v>0.3044590661777916</v>
      </c>
      <c r="H469" s="10" t="n">
        <v>0.9319722045357789</v>
      </c>
      <c r="I469" s="10" t="n">
        <v>0.83219</v>
      </c>
      <c r="J469" s="5" t="inlineStr">
        <is>
          <t>Transition</t>
        </is>
      </c>
      <c r="K469" s="11" t="n">
        <v>17.30175813266865</v>
      </c>
      <c r="L469" s="12" t="n">
        <v>1.451084777859284</v>
      </c>
      <c r="M469" s="12" t="n">
        <v>1.85</v>
      </c>
      <c r="N469" s="12" t="n">
        <v>20.03845188708721</v>
      </c>
      <c r="O469" s="12" t="n">
        <v>300.9386735930384</v>
      </c>
      <c r="P469" s="5" t="inlineStr">
        <is>
          <t>Normal</t>
        </is>
      </c>
      <c r="Q469" s="5" t="inlineStr">
        <is>
          <t>Drop</t>
        </is>
      </c>
      <c r="R469" s="12" t="n">
        <v>0.9399999999999999</v>
      </c>
      <c r="S469" s="5" t="inlineStr">
        <is>
          <t>ACCEPTED</t>
        </is>
      </c>
      <c r="T469" s="5" t="inlineStr">
        <is>
          <t>Normal operation</t>
        </is>
      </c>
    </row>
    <row r="470" s="17">
      <c r="A470" s="7" t="n">
        <v>5675</v>
      </c>
      <c r="B470" s="8" t="n">
        <v>56829.262874</v>
      </c>
      <c r="C470" s="9" t="n">
        <v>56.829262874</v>
      </c>
      <c r="D470" s="9" t="n">
        <v>167.06149265</v>
      </c>
      <c r="E470" s="9" t="n">
        <v>33.62926682</v>
      </c>
      <c r="F470" s="10" t="n">
        <v>0.103935180112065</v>
      </c>
      <c r="G470" s="10" t="n">
        <v>0.1889086369466959</v>
      </c>
      <c r="H470" s="10" t="n">
        <v>0.906629811408219</v>
      </c>
      <c r="I470" s="10" t="n">
        <v>0.9746010000000001</v>
      </c>
      <c r="J470" s="5" t="inlineStr">
        <is>
          <t>Cleaner sand</t>
        </is>
      </c>
      <c r="K470" s="11" t="n">
        <v>18.43738441629313</v>
      </c>
      <c r="L470" s="12" t="n">
        <v>2.22273839750641</v>
      </c>
      <c r="M470" s="12" t="n">
        <v>1.85</v>
      </c>
      <c r="N470" s="12" t="n">
        <v>17.80707610215193</v>
      </c>
      <c r="O470" s="12" t="n">
        <v>312.3632533550795</v>
      </c>
      <c r="P470" s="5" t="inlineStr">
        <is>
          <t>Normal</t>
        </is>
      </c>
      <c r="Q470" s="5" t="inlineStr">
        <is>
          <t>Drop</t>
        </is>
      </c>
      <c r="R470" s="12" t="n">
        <v>0.61</v>
      </c>
      <c r="S470" s="5" t="inlineStr">
        <is>
          <t>REDUCED</t>
        </is>
      </c>
      <c r="T470" s="5" t="inlineStr">
        <is>
          <t>Normal operation</t>
        </is>
      </c>
    </row>
    <row r="471" s="17">
      <c r="A471" s="7" t="n">
        <v>5680</v>
      </c>
      <c r="B471" s="8" t="n">
        <v>34718.226809</v>
      </c>
      <c r="C471" s="9" t="n">
        <v>34.718226809</v>
      </c>
      <c r="D471" s="9" t="n">
        <v>120.83903053</v>
      </c>
      <c r="E471" s="9" t="n">
        <v>61.201233</v>
      </c>
      <c r="F471" s="10" t="n">
        <v>0.03862410344995568</v>
      </c>
      <c r="G471" s="10" t="n">
        <v>0.1531906277565557</v>
      </c>
      <c r="H471" s="10" t="n">
        <v>0.9514139994181253</v>
      </c>
      <c r="I471" s="10" t="n">
        <v>0.224461</v>
      </c>
      <c r="J471" s="5" t="inlineStr">
        <is>
          <t>Cleaner sand</t>
        </is>
      </c>
      <c r="K471" s="11" t="n">
        <v>14.32536959732512</v>
      </c>
      <c r="L471" s="12" t="n">
        <v>1.715502501163505</v>
      </c>
      <c r="M471" s="12" t="n">
        <v>1.85</v>
      </c>
      <c r="N471" s="12" t="n">
        <v>16.95448983284847</v>
      </c>
      <c r="O471" s="12" t="n">
        <v>293.7249952852582</v>
      </c>
      <c r="P471" s="5" t="inlineStr">
        <is>
          <t>Normal</t>
        </is>
      </c>
      <c r="Q471" s="5" t="inlineStr">
        <is>
          <t>Drop</t>
        </is>
      </c>
      <c r="R471" s="12" t="n">
        <v>0.49</v>
      </c>
      <c r="S471" s="5" t="inlineStr">
        <is>
          <t>REJECTED</t>
        </is>
      </c>
      <c r="T471" s="5" t="inlineStr">
        <is>
          <t>Normal operation</t>
        </is>
      </c>
    </row>
    <row r="472" s="17">
      <c r="A472" s="7" t="n">
        <v>5685</v>
      </c>
      <c r="B472" s="8" t="n">
        <v>55475.590871</v>
      </c>
      <c r="C472" s="9" t="n">
        <v>55.475590871</v>
      </c>
      <c r="D472" s="9" t="n">
        <v>133.14546113</v>
      </c>
      <c r="E472" s="9" t="n">
        <v>39.27490367999999</v>
      </c>
      <c r="F472" s="10" t="n">
        <v>0.1100117917373541</v>
      </c>
      <c r="G472" s="10" t="n">
        <v>0.1370669232641503</v>
      </c>
      <c r="H472" s="10" t="n">
        <v>0.9806179145978307</v>
      </c>
      <c r="I472" s="10" t="n">
        <v>0.215426</v>
      </c>
      <c r="J472" s="5" t="inlineStr">
        <is>
          <t>Cleaner sand</t>
        </is>
      </c>
      <c r="K472" s="11" t="n">
        <v>18.44386430964589</v>
      </c>
      <c r="L472" s="12" t="n">
        <v>1.1</v>
      </c>
      <c r="M472" s="12" t="n">
        <v>1.85</v>
      </c>
      <c r="N472" s="12" t="n">
        <v>15.19908008022515</v>
      </c>
      <c r="O472" s="12" t="n">
        <v>314.167145986416</v>
      </c>
      <c r="P472" s="5" t="inlineStr">
        <is>
          <t>Normal</t>
        </is>
      </c>
      <c r="Q472" s="5" t="inlineStr">
        <is>
          <t>Turn Left</t>
        </is>
      </c>
      <c r="R472" s="12" t="n">
        <v>0.87</v>
      </c>
      <c r="S472" s="5" t="inlineStr">
        <is>
          <t>ACCEPTED</t>
        </is>
      </c>
      <c r="T472" s="5" t="inlineStr">
        <is>
          <t>Normal operation</t>
        </is>
      </c>
    </row>
    <row r="473" s="17">
      <c r="A473" s="7" t="n">
        <v>5690</v>
      </c>
      <c r="B473" s="8" t="n">
        <v>74638.03339</v>
      </c>
      <c r="C473" s="9" t="n">
        <v>74.63803339</v>
      </c>
      <c r="D473" s="9" t="n">
        <v>113.07305416</v>
      </c>
      <c r="E473" s="9" t="n">
        <v>40.25037322</v>
      </c>
      <c r="F473" s="10" t="n">
        <v>0.07407734945399792</v>
      </c>
      <c r="G473" s="10" t="n">
        <v>0.1853951461227493</v>
      </c>
      <c r="H473" s="10" t="n">
        <v>0.9535748814159178</v>
      </c>
      <c r="I473" s="10" t="n">
        <v>0.349803</v>
      </c>
      <c r="J473" s="5" t="inlineStr">
        <is>
          <t>Cleaner sand</t>
        </is>
      </c>
      <c r="K473" s="11" t="n">
        <v>19.94138244589338</v>
      </c>
      <c r="L473" s="12" t="n">
        <v>2.110422177941849</v>
      </c>
      <c r="M473" s="12" t="n">
        <v>1.85</v>
      </c>
      <c r="N473" s="12" t="n">
        <v>16.84193362704919</v>
      </c>
      <c r="O473" s="12" t="n">
        <v>315.9072849517646</v>
      </c>
      <c r="P473" s="5" t="inlineStr">
        <is>
          <t>Normal</t>
        </is>
      </c>
      <c r="Q473" s="5" t="inlineStr">
        <is>
          <t>Drop</t>
        </is>
      </c>
      <c r="R473" s="12" t="n">
        <v>0.57</v>
      </c>
      <c r="S473" s="5" t="inlineStr">
        <is>
          <t>REDUCED</t>
        </is>
      </c>
      <c r="T473" s="5" t="inlineStr">
        <is>
          <t>WOB outside preferred band</t>
        </is>
      </c>
    </row>
    <row r="474" s="17">
      <c r="A474" s="7" t="n">
        <v>5695</v>
      </c>
      <c r="B474" s="8" t="n">
        <v>52209.469064</v>
      </c>
      <c r="C474" s="9" t="n">
        <v>52.209469064</v>
      </c>
      <c r="D474" s="9" t="n">
        <v>148.9242569</v>
      </c>
      <c r="E474" s="9" t="n">
        <v>47.52622174</v>
      </c>
      <c r="F474" s="10" t="n">
        <v>0.03622667601376945</v>
      </c>
      <c r="G474" s="10" t="n">
        <v>0.2940077860445933</v>
      </c>
      <c r="H474" s="10" t="n">
        <v>0.8847294671368686</v>
      </c>
      <c r="I474" s="10" t="n">
        <v>0.435486</v>
      </c>
      <c r="J474" s="5" t="inlineStr">
        <is>
          <t>Transition</t>
        </is>
      </c>
      <c r="K474" s="11" t="n">
        <v>16.60301450814075</v>
      </c>
      <c r="L474" s="12" t="n">
        <v>1.332609398085893</v>
      </c>
      <c r="M474" s="12" t="n">
        <v>1.85</v>
      </c>
      <c r="N474" s="12" t="n">
        <v>16.63536133082711</v>
      </c>
      <c r="O474" s="12" t="n">
        <v>317.9055500905527</v>
      </c>
      <c r="P474" s="5" t="inlineStr">
        <is>
          <t>Normal</t>
        </is>
      </c>
      <c r="Q474" s="5" t="inlineStr">
        <is>
          <t>Turn Left</t>
        </is>
      </c>
      <c r="R474" s="12" t="n">
        <v>0.73</v>
      </c>
      <c r="S474" s="5" t="inlineStr">
        <is>
          <t>ACCEPTED</t>
        </is>
      </c>
      <c r="T474" s="5" t="inlineStr">
        <is>
          <t>Normal operation</t>
        </is>
      </c>
    </row>
    <row r="475" s="17">
      <c r="A475" s="7" t="n">
        <v>5700</v>
      </c>
      <c r="B475" s="8" t="n">
        <v>57997.842668</v>
      </c>
      <c r="C475" s="9" t="n">
        <v>57.997842668</v>
      </c>
      <c r="D475" s="9" t="n">
        <v>131.54913304</v>
      </c>
      <c r="E475" s="9" t="n">
        <v>48.48510678</v>
      </c>
      <c r="F475" s="10" t="n">
        <v>0.1344562208236628</v>
      </c>
      <c r="G475" s="10" t="n">
        <v>0.1568239768315376</v>
      </c>
      <c r="H475" s="10" t="n">
        <v>0.8599611470172929</v>
      </c>
      <c r="I475" s="10" t="n">
        <v>1.886606</v>
      </c>
      <c r="J475" s="5" t="inlineStr">
        <is>
          <t>Cleaner sand</t>
        </is>
      </c>
      <c r="K475" s="11" t="n">
        <v>20.54968692824503</v>
      </c>
      <c r="L475" s="12" t="n">
        <v>2.577915910346597</v>
      </c>
      <c r="M475" s="12" t="n">
        <v>1.85</v>
      </c>
      <c r="N475" s="12" t="n">
        <v>18.21033395142889</v>
      </c>
      <c r="O475" s="12" t="n">
        <v>330.3025286514475</v>
      </c>
      <c r="P475" s="5" t="inlineStr">
        <is>
          <t>Normal</t>
        </is>
      </c>
      <c r="Q475" s="5" t="inlineStr">
        <is>
          <t>Drop</t>
        </is>
      </c>
      <c r="R475" s="12" t="n">
        <v>0.61</v>
      </c>
      <c r="S475" s="5" t="inlineStr">
        <is>
          <t>REDUCED</t>
        </is>
      </c>
      <c r="T475" s="5" t="inlineStr">
        <is>
          <t>High vibration detected</t>
        </is>
      </c>
    </row>
    <row r="476" s="17">
      <c r="A476" s="7" t="n">
        <v>5705</v>
      </c>
      <c r="B476" s="8" t="n">
        <v>70996.606101</v>
      </c>
      <c r="C476" s="9" t="n">
        <v>70.996606101</v>
      </c>
      <c r="D476" s="9" t="n">
        <v>158.6214226</v>
      </c>
      <c r="E476" s="9" t="n">
        <v>43.51979112</v>
      </c>
      <c r="F476" s="10" t="n">
        <v>0.04678920913872313</v>
      </c>
      <c r="G476" s="10" t="n">
        <v>0.3233720067567097</v>
      </c>
      <c r="H476" s="10" t="n">
        <v>0.9546635388706033</v>
      </c>
      <c r="I476" s="10" t="n">
        <v>0.216928</v>
      </c>
      <c r="J476" s="5" t="inlineStr">
        <is>
          <t>Transition</t>
        </is>
      </c>
      <c r="K476" s="11" t="n">
        <v>23.21853409283105</v>
      </c>
      <c r="L476" s="12" t="n">
        <v>2.189223552200178</v>
      </c>
      <c r="M476" s="12" t="n">
        <v>1.85</v>
      </c>
      <c r="N476" s="12" t="n">
        <v>17.45243978395127</v>
      </c>
      <c r="O476" s="12" t="n">
        <v>325.5513503483737</v>
      </c>
      <c r="P476" s="5" t="inlineStr">
        <is>
          <t>Normal</t>
        </is>
      </c>
      <c r="Q476" s="5" t="inlineStr">
        <is>
          <t>Drop</t>
        </is>
      </c>
      <c r="R476" s="12" t="n">
        <v>0.62</v>
      </c>
      <c r="S476" s="5" t="inlineStr">
        <is>
          <t>REDUCED</t>
        </is>
      </c>
      <c r="T476" s="5" t="inlineStr">
        <is>
          <t>WOB outside preferred band</t>
        </is>
      </c>
    </row>
    <row r="477" s="17">
      <c r="A477" s="7" t="n">
        <v>5710</v>
      </c>
      <c r="B477" s="8" t="n">
        <v>43765.290742</v>
      </c>
      <c r="C477" s="9" t="n">
        <v>43.765290742</v>
      </c>
      <c r="D477" s="9" t="n">
        <v>143.27094296</v>
      </c>
      <c r="E477" s="9" t="n">
        <v>59.49378964</v>
      </c>
      <c r="F477" s="10" t="n">
        <v>0.05434968482821147</v>
      </c>
      <c r="G477" s="10" t="n">
        <v>0.07243959895556135</v>
      </c>
      <c r="H477" s="10" t="n">
        <v>0.9929688519730088</v>
      </c>
      <c r="I477" s="10" t="n">
        <v>0.050708</v>
      </c>
      <c r="J477" s="5" t="inlineStr">
        <is>
          <t>Cleaner sand</t>
        </is>
      </c>
      <c r="K477" s="11" t="n">
        <v>16.31610251580868</v>
      </c>
      <c r="L477" s="12" t="n">
        <v>1.440812271127212</v>
      </c>
      <c r="M477" s="12" t="n">
        <v>1.85</v>
      </c>
      <c r="N477" s="12" t="n">
        <v>15.20730457094334</v>
      </c>
      <c r="O477" s="12" t="n">
        <v>339.0947488792085</v>
      </c>
      <c r="P477" s="5" t="inlineStr">
        <is>
          <t>Normal</t>
        </is>
      </c>
      <c r="Q477" s="5" t="inlineStr">
        <is>
          <t>Turn Left</t>
        </is>
      </c>
      <c r="R477" s="12" t="n">
        <v>0.8</v>
      </c>
      <c r="S477" s="5" t="inlineStr">
        <is>
          <t>ACCEPTED</t>
        </is>
      </c>
      <c r="T477" s="5" t="inlineStr">
        <is>
          <t>Normal operation</t>
        </is>
      </c>
    </row>
    <row r="478" s="17">
      <c r="A478" s="7" t="n">
        <v>5715</v>
      </c>
      <c r="B478" s="8" t="n">
        <v>54228.249191</v>
      </c>
      <c r="C478" s="9" t="n">
        <v>54.228249191</v>
      </c>
      <c r="D478" s="9" t="n">
        <v>118.87817168</v>
      </c>
      <c r="E478" s="9" t="n">
        <v>39.83818956</v>
      </c>
      <c r="F478" s="10" t="n">
        <v>0.1539885105560304</v>
      </c>
      <c r="G478" s="10" t="n">
        <v>0.09397902006628656</v>
      </c>
      <c r="H478" s="10" t="n">
        <v>0.9131214177009733</v>
      </c>
      <c r="I478" s="10" t="n">
        <v>1.359171</v>
      </c>
      <c r="J478" s="5" t="inlineStr">
        <is>
          <t>Cleaner sand</t>
        </is>
      </c>
      <c r="K478" s="11" t="n">
        <v>19.06605985874414</v>
      </c>
      <c r="L478" s="12" t="n">
        <v>2.287698017250205</v>
      </c>
      <c r="M478" s="12" t="n">
        <v>1.85</v>
      </c>
      <c r="N478" s="12" t="n">
        <v>16.85368848780148</v>
      </c>
      <c r="O478" s="12" t="n">
        <v>316.3100153781241</v>
      </c>
      <c r="P478" s="5" t="inlineStr">
        <is>
          <t>Normal</t>
        </is>
      </c>
      <c r="Q478" s="5" t="inlineStr">
        <is>
          <t>Drop</t>
        </is>
      </c>
      <c r="R478" s="12" t="n">
        <v>0.6</v>
      </c>
      <c r="S478" s="5" t="inlineStr">
        <is>
          <t>REDUCED</t>
        </is>
      </c>
      <c r="T478" s="5" t="inlineStr">
        <is>
          <t>Normal operation</t>
        </is>
      </c>
    </row>
    <row r="479" s="17">
      <c r="A479" s="7" t="n">
        <v>5720</v>
      </c>
      <c r="B479" s="8" t="n">
        <v>65742.97685399999</v>
      </c>
      <c r="C479" s="9" t="n">
        <v>65.74297685399999</v>
      </c>
      <c r="D479" s="9" t="n">
        <v>169.53891123</v>
      </c>
      <c r="E479" s="9" t="n">
        <v>35.68799572</v>
      </c>
      <c r="F479" s="10" t="n">
        <v>0.09309646332638999</v>
      </c>
      <c r="G479" s="10" t="n">
        <v>0.3504003783331617</v>
      </c>
      <c r="H479" s="10" t="n">
        <v>0.8853967776798275</v>
      </c>
      <c r="I479" s="10" t="n">
        <v>1.065622</v>
      </c>
      <c r="J479" s="5" t="inlineStr">
        <is>
          <t>Transition</t>
        </is>
      </c>
      <c r="K479" s="11" t="n">
        <v>20.91856049553715</v>
      </c>
      <c r="L479" s="12" t="n">
        <v>1.693249200158428</v>
      </c>
      <c r="M479" s="12" t="n">
        <v>1.85</v>
      </c>
      <c r="N479" s="12" t="n">
        <v>17.39202166511628</v>
      </c>
      <c r="O479" s="12" t="n">
        <v>329.3561469755868</v>
      </c>
      <c r="P479" s="5" t="inlineStr">
        <is>
          <t>Normal</t>
        </is>
      </c>
      <c r="Q479" s="5" t="inlineStr">
        <is>
          <t>Drop</t>
        </is>
      </c>
      <c r="R479" s="12" t="n">
        <v>0.78</v>
      </c>
      <c r="S479" s="5" t="inlineStr">
        <is>
          <t>ACCEPTED</t>
        </is>
      </c>
      <c r="T479" s="5" t="inlineStr">
        <is>
          <t>Normal operation</t>
        </is>
      </c>
    </row>
    <row r="480" s="17">
      <c r="A480" s="7" t="n">
        <v>5725</v>
      </c>
      <c r="B480" s="8" t="n">
        <v>32585.013222</v>
      </c>
      <c r="C480" s="9" t="n">
        <v>32.585013222</v>
      </c>
      <c r="D480" s="9" t="n">
        <v>118.60365349</v>
      </c>
      <c r="E480" s="9" t="n">
        <v>72.33573994</v>
      </c>
      <c r="F480" s="10" t="n">
        <v>0.04616767807789529</v>
      </c>
      <c r="G480" s="10" t="n">
        <v>0.231571184024784</v>
      </c>
      <c r="H480" s="10" t="n">
        <v>0.9428578656331551</v>
      </c>
      <c r="I480" s="10" t="n">
        <v>0.268552</v>
      </c>
      <c r="J480" s="5" t="inlineStr">
        <is>
          <t>Cleaner sand</t>
        </is>
      </c>
      <c r="K480" s="11" t="n">
        <v>17.58772453293882</v>
      </c>
      <c r="L480" s="12" t="n">
        <v>2.077859100809888</v>
      </c>
      <c r="M480" s="12" t="n">
        <v>1.85</v>
      </c>
      <c r="N480" s="12" t="n">
        <v>18.39474526547408</v>
      </c>
      <c r="O480" s="12" t="n">
        <v>330.4064985142547</v>
      </c>
      <c r="P480" s="5" t="inlineStr">
        <is>
          <t>Normal</t>
        </is>
      </c>
      <c r="Q480" s="5" t="inlineStr">
        <is>
          <t>Drop</t>
        </is>
      </c>
      <c r="R480" s="12" t="n">
        <v>0.41</v>
      </c>
      <c r="S480" s="5" t="inlineStr">
        <is>
          <t>REJECTED</t>
        </is>
      </c>
      <c r="T480" s="5" t="inlineStr">
        <is>
          <t>Normal operation</t>
        </is>
      </c>
    </row>
    <row r="481" s="17">
      <c r="A481" s="7" t="n">
        <v>5730</v>
      </c>
      <c r="B481" s="8" t="n">
        <v>51143.687641</v>
      </c>
      <c r="C481" s="9" t="n">
        <v>51.143687641</v>
      </c>
      <c r="D481" s="9" t="n">
        <v>139.68716</v>
      </c>
      <c r="E481" s="9" t="n">
        <v>48.01929676</v>
      </c>
      <c r="F481" s="10" t="n">
        <v>0.03863884538724645</v>
      </c>
      <c r="G481" s="10" t="n">
        <v>0.07734026582001333</v>
      </c>
      <c r="H481" s="10" t="n">
        <v>0.9640208691956204</v>
      </c>
      <c r="I481" s="10" t="n">
        <v>0.127095</v>
      </c>
      <c r="J481" s="5" t="inlineStr">
        <is>
          <t>Cleaner sand</t>
        </is>
      </c>
      <c r="K481" s="11" t="n">
        <v>19.04176022851594</v>
      </c>
      <c r="L481" s="12" t="n">
        <v>1.897519080474293</v>
      </c>
      <c r="M481" s="12" t="n">
        <v>1.85</v>
      </c>
      <c r="N481" s="12" t="n">
        <v>17.45133301230956</v>
      </c>
      <c r="O481" s="12" t="n">
        <v>320.2435316166958</v>
      </c>
      <c r="P481" s="5" t="inlineStr">
        <is>
          <t>Normal</t>
        </is>
      </c>
      <c r="Q481" s="5" t="inlineStr">
        <is>
          <t>Drop</t>
        </is>
      </c>
      <c r="R481" s="12" t="n">
        <v>0.58</v>
      </c>
      <c r="S481" s="5" t="inlineStr">
        <is>
          <t>REDUCED</t>
        </is>
      </c>
      <c r="T481" s="5" t="inlineStr">
        <is>
          <t>Normal operation</t>
        </is>
      </c>
    </row>
    <row r="482" s="17">
      <c r="A482" s="7" t="n">
        <v>5735</v>
      </c>
      <c r="B482" s="8" t="n">
        <v>68867.080789</v>
      </c>
      <c r="C482" s="9" t="n">
        <v>68.867080789</v>
      </c>
      <c r="D482" s="9" t="n">
        <v>117.51593501</v>
      </c>
      <c r="E482" s="9" t="n">
        <v>42.06670438</v>
      </c>
      <c r="F482" s="10" t="n">
        <v>0.06713295293824514</v>
      </c>
      <c r="G482" s="10" t="n">
        <v>0.2995221948591045</v>
      </c>
      <c r="H482" s="10" t="n">
        <v>0.9346409097724653</v>
      </c>
      <c r="I482" s="10" t="n">
        <v>0.478535</v>
      </c>
      <c r="J482" s="5" t="inlineStr">
        <is>
          <t>Transition</t>
        </is>
      </c>
      <c r="K482" s="11" t="n">
        <v>21.05398302790131</v>
      </c>
      <c r="L482" s="12" t="n">
        <v>1.245285239054472</v>
      </c>
      <c r="M482" s="12" t="n">
        <v>1.85</v>
      </c>
      <c r="N482" s="12" t="n">
        <v>17.17595186167759</v>
      </c>
      <c r="O482" s="12" t="n">
        <v>341.6785301990908</v>
      </c>
      <c r="P482" s="5" t="inlineStr">
        <is>
          <t>Normal</t>
        </is>
      </c>
      <c r="Q482" s="5" t="inlineStr">
        <is>
          <t>Turn Left</t>
        </is>
      </c>
      <c r="R482" s="12" t="n">
        <v>0.58</v>
      </c>
      <c r="S482" s="5" t="inlineStr">
        <is>
          <t>REDUCED</t>
        </is>
      </c>
      <c r="T482" s="5" t="inlineStr">
        <is>
          <t>Normal operation</t>
        </is>
      </c>
    </row>
    <row r="483" s="17">
      <c r="A483" s="7" t="n">
        <v>5740</v>
      </c>
      <c r="B483" s="8" t="n">
        <v>55835.928793</v>
      </c>
      <c r="C483" s="9" t="n">
        <v>55.835928793</v>
      </c>
      <c r="D483" s="9" t="n">
        <v>141.28720361</v>
      </c>
      <c r="E483" s="9" t="n">
        <v>74.07183082</v>
      </c>
      <c r="F483" s="10" t="n">
        <v>0.06919330353252179</v>
      </c>
      <c r="G483" s="10" t="n">
        <v>0.09635712083870614</v>
      </c>
      <c r="H483" s="10" t="n">
        <v>0.9921265752606502</v>
      </c>
      <c r="I483" s="10" t="n">
        <v>0.070356</v>
      </c>
      <c r="J483" s="5" t="inlineStr">
        <is>
          <t>Cleaner sand</t>
        </is>
      </c>
      <c r="K483" s="11" t="n">
        <v>17.82964950305187</v>
      </c>
      <c r="L483" s="12" t="n">
        <v>1.344660582164444</v>
      </c>
      <c r="M483" s="12" t="n">
        <v>1.85</v>
      </c>
      <c r="N483" s="12" t="n">
        <v>16.15423636047376</v>
      </c>
      <c r="O483" s="12" t="n">
        <v>344.5</v>
      </c>
      <c r="P483" s="5" t="inlineStr">
        <is>
          <t>Normal</t>
        </is>
      </c>
      <c r="Q483" s="5" t="inlineStr">
        <is>
          <t>Turn Left</t>
        </is>
      </c>
      <c r="R483" s="12" t="n">
        <v>0.8100000000000001</v>
      </c>
      <c r="S483" s="5" t="inlineStr">
        <is>
          <t>ACCEPTED</t>
        </is>
      </c>
      <c r="T483" s="5" t="inlineStr">
        <is>
          <t>Normal operation</t>
        </is>
      </c>
    </row>
    <row r="484" s="17">
      <c r="A484" s="7" t="n">
        <v>5745</v>
      </c>
      <c r="B484" s="8" t="n">
        <v>40488.810027</v>
      </c>
      <c r="C484" s="9" t="n">
        <v>40.488810027</v>
      </c>
      <c r="D484" s="9" t="n">
        <v>114.6899064</v>
      </c>
      <c r="E484" s="9" t="n">
        <v>63.26950014</v>
      </c>
      <c r="F484" s="10" t="n">
        <v>0.1289028031377782</v>
      </c>
      <c r="G484" s="10" t="n">
        <v>0.1156691775863985</v>
      </c>
      <c r="H484" s="10" t="n">
        <v>0.9539673020373868</v>
      </c>
      <c r="I484" s="10" t="n">
        <v>0.636961</v>
      </c>
      <c r="J484" s="5" t="inlineStr">
        <is>
          <t>Cleaner sand</t>
        </is>
      </c>
      <c r="K484" s="11" t="n">
        <v>14.35607657143679</v>
      </c>
      <c r="L484" s="12" t="n">
        <v>2.164680800614769</v>
      </c>
      <c r="M484" s="12" t="n">
        <v>1.85</v>
      </c>
      <c r="N484" s="12" t="n">
        <v>16.47020353092592</v>
      </c>
      <c r="O484" s="12" t="n">
        <v>333.7069506404981</v>
      </c>
      <c r="P484" s="5" t="inlineStr">
        <is>
          <t>Normal</t>
        </is>
      </c>
      <c r="Q484" s="5" t="inlineStr">
        <is>
          <t>Turn Left</t>
        </is>
      </c>
      <c r="R484" s="12" t="n">
        <v>0.57</v>
      </c>
      <c r="S484" s="5" t="inlineStr">
        <is>
          <t>REDUCED</t>
        </is>
      </c>
      <c r="T484" s="5" t="inlineStr">
        <is>
          <t>Normal operation</t>
        </is>
      </c>
    </row>
    <row r="485" s="17">
      <c r="A485" s="7" t="n">
        <v>5750</v>
      </c>
      <c r="B485" s="8" t="n">
        <v>67756.94751</v>
      </c>
      <c r="C485" s="9" t="n">
        <v>67.75694751</v>
      </c>
      <c r="D485" s="9" t="n">
        <v>148.43061865</v>
      </c>
      <c r="E485" s="9" t="n">
        <v>51.50814092</v>
      </c>
      <c r="F485" s="10" t="n">
        <v>0.05923979087043976</v>
      </c>
      <c r="G485" s="10" t="n">
        <v>0.373567507264046</v>
      </c>
      <c r="H485" s="10" t="n">
        <v>0.904356501803796</v>
      </c>
      <c r="I485" s="10" t="n">
        <v>0.583247</v>
      </c>
      <c r="J485" s="5" t="inlineStr">
        <is>
          <t>Transition</t>
        </is>
      </c>
      <c r="K485" s="11" t="n">
        <v>21.18118673647898</v>
      </c>
      <c r="L485" s="12" t="n">
        <v>1.495960087267795</v>
      </c>
      <c r="M485" s="12" t="n">
        <v>1.85</v>
      </c>
      <c r="N485" s="12" t="n">
        <v>17.47902765119483</v>
      </c>
      <c r="O485" s="12" t="n">
        <v>339.5039474621523</v>
      </c>
      <c r="P485" s="5" t="inlineStr">
        <is>
          <t>Normal</t>
        </is>
      </c>
      <c r="Q485" s="5" t="inlineStr">
        <is>
          <t>Drop</t>
        </is>
      </c>
      <c r="R485" s="12" t="n">
        <v>0.75</v>
      </c>
      <c r="S485" s="5" t="inlineStr">
        <is>
          <t>ACCEPTED</t>
        </is>
      </c>
      <c r="T485" s="5" t="inlineStr">
        <is>
          <t>Normal operation</t>
        </is>
      </c>
    </row>
    <row r="486" s="17">
      <c r="A486" s="7" t="n">
        <v>5755</v>
      </c>
      <c r="B486" s="8" t="n">
        <v>42058.07342</v>
      </c>
      <c r="C486" s="9" t="n">
        <v>42.05807342</v>
      </c>
      <c r="D486" s="9" t="n">
        <v>138.43929851</v>
      </c>
      <c r="E486" s="9" t="n">
        <v>64.73301072</v>
      </c>
      <c r="F486" s="10" t="n">
        <v>0.06192076459574649</v>
      </c>
      <c r="G486" s="10" t="n">
        <v>0.1321150505674828</v>
      </c>
      <c r="H486" s="10" t="n">
        <v>0.9270591995445517</v>
      </c>
      <c r="I486" s="10" t="n">
        <v>0.472157</v>
      </c>
      <c r="J486" s="5" t="inlineStr">
        <is>
          <t>Cleaner sand</t>
        </is>
      </c>
      <c r="K486" s="11" t="n">
        <v>15.49479362271465</v>
      </c>
      <c r="L486" s="12" t="n">
        <v>1.462212253011422</v>
      </c>
      <c r="M486" s="12" t="n">
        <v>1.85</v>
      </c>
      <c r="N486" s="12" t="n">
        <v>14.01133401995466</v>
      </c>
      <c r="O486" s="12" t="n">
        <v>335.6705148386474</v>
      </c>
      <c r="P486" s="5" t="inlineStr">
        <is>
          <t>Normal</t>
        </is>
      </c>
      <c r="Q486" s="5" t="inlineStr">
        <is>
          <t>Turn Left</t>
        </is>
      </c>
      <c r="R486" s="12" t="n">
        <v>0.78</v>
      </c>
      <c r="S486" s="5" t="inlineStr">
        <is>
          <t>ACCEPTED</t>
        </is>
      </c>
      <c r="T486" s="5" t="inlineStr">
        <is>
          <t>Normal operation</t>
        </is>
      </c>
    </row>
    <row r="487" s="17">
      <c r="A487" s="7" t="n">
        <v>5760</v>
      </c>
      <c r="B487" s="8" t="n">
        <v>52421.835944</v>
      </c>
      <c r="C487" s="9" t="n">
        <v>52.421835944</v>
      </c>
      <c r="D487" s="9" t="n">
        <v>142.10640064</v>
      </c>
      <c r="E487" s="9" t="n">
        <v>34.5490682</v>
      </c>
      <c r="F487" s="10" t="n">
        <v>0.1251370501594423</v>
      </c>
      <c r="G487" s="10" t="n">
        <v>0.3054124709058611</v>
      </c>
      <c r="H487" s="10" t="n">
        <v>0.8890796293775071</v>
      </c>
      <c r="I487" s="10" t="n">
        <v>1.379138</v>
      </c>
      <c r="J487" s="5" t="inlineStr">
        <is>
          <t>Transition</t>
        </is>
      </c>
      <c r="K487" s="11" t="n">
        <v>16.73501072281489</v>
      </c>
      <c r="L487" s="12" t="n">
        <v>1.191989936118817</v>
      </c>
      <c r="M487" s="12" t="n">
        <v>1.85</v>
      </c>
      <c r="N487" s="12" t="n">
        <v>15.17894686769754</v>
      </c>
      <c r="O487" s="12" t="n">
        <v>327.8548476876592</v>
      </c>
      <c r="P487" s="5" t="inlineStr">
        <is>
          <t>Normal</t>
        </is>
      </c>
      <c r="Q487" s="5" t="inlineStr">
        <is>
          <t>Turn Left</t>
        </is>
      </c>
      <c r="R487" s="12" t="n">
        <v>0.76</v>
      </c>
      <c r="S487" s="5" t="inlineStr">
        <is>
          <t>ACCEPTED</t>
        </is>
      </c>
      <c r="T487" s="5" t="inlineStr">
        <is>
          <t>Normal operation</t>
        </is>
      </c>
    </row>
    <row r="488" s="17">
      <c r="A488" s="7" t="n">
        <v>5765</v>
      </c>
      <c r="B488" s="8" t="n">
        <v>74242.53707400001</v>
      </c>
      <c r="C488" s="9" t="n">
        <v>74.24253707400001</v>
      </c>
      <c r="D488" s="9" t="n">
        <v>167.92653264</v>
      </c>
      <c r="E488" s="9" t="n">
        <v>40.60245498</v>
      </c>
      <c r="F488" s="10" t="n">
        <v>0.05763806177797376</v>
      </c>
      <c r="G488" s="10" t="n">
        <v>0.2405878607586396</v>
      </c>
      <c r="H488" s="10" t="n">
        <v>0.9439154872756149</v>
      </c>
      <c r="I488" s="10" t="n">
        <v>0.319719</v>
      </c>
      <c r="J488" s="5" t="inlineStr">
        <is>
          <t>Cleaner sand</t>
        </is>
      </c>
      <c r="K488" s="11" t="n">
        <v>21.52399040050734</v>
      </c>
      <c r="L488" s="12" t="n">
        <v>1.867563542140796</v>
      </c>
      <c r="M488" s="12" t="n">
        <v>1.85</v>
      </c>
      <c r="N488" s="12" t="n">
        <v>14.51815197609785</v>
      </c>
      <c r="O488" s="12" t="n">
        <v>316.741738316431</v>
      </c>
      <c r="P488" s="5" t="inlineStr">
        <is>
          <t>Normal</t>
        </is>
      </c>
      <c r="Q488" s="5" t="inlineStr">
        <is>
          <t>Turn Left</t>
        </is>
      </c>
      <c r="R488" s="12" t="n">
        <v>0.73</v>
      </c>
      <c r="S488" s="5" t="inlineStr">
        <is>
          <t>ACCEPTED</t>
        </is>
      </c>
      <c r="T488" s="5" t="inlineStr">
        <is>
          <t>WOB outside preferred band</t>
        </is>
      </c>
    </row>
    <row r="489" s="17">
      <c r="A489" s="7" t="n">
        <v>5770</v>
      </c>
      <c r="B489" s="8" t="n">
        <v>44913.866916</v>
      </c>
      <c r="C489" s="9" t="n">
        <v>44.913866916</v>
      </c>
      <c r="D489" s="9" t="n">
        <v>123.86863412</v>
      </c>
      <c r="E489" s="9" t="n">
        <v>58.3266533</v>
      </c>
      <c r="F489" s="10" t="n">
        <v>0.06410010137811045</v>
      </c>
      <c r="G489" s="10" t="n">
        <v>0.2091417577138993</v>
      </c>
      <c r="H489" s="10" t="n">
        <v>0.9441218896759653</v>
      </c>
      <c r="I489" s="10" t="n">
        <v>0.382844</v>
      </c>
      <c r="J489" s="5" t="inlineStr">
        <is>
          <t>Cleaner sand</t>
        </is>
      </c>
      <c r="K489" s="11" t="n">
        <v>15.69483855031285</v>
      </c>
      <c r="L489" s="12" t="n">
        <v>2.670637210429141</v>
      </c>
      <c r="M489" s="12" t="n">
        <v>1.85</v>
      </c>
      <c r="N489" s="12" t="n">
        <v>15.90466376022632</v>
      </c>
      <c r="O489" s="12" t="n">
        <v>327.6436575096988</v>
      </c>
      <c r="P489" s="5" t="inlineStr">
        <is>
          <t>Normal</t>
        </is>
      </c>
      <c r="Q489" s="5" t="inlineStr">
        <is>
          <t>Turn Left</t>
        </is>
      </c>
      <c r="R489" s="12" t="n">
        <v>0.63</v>
      </c>
      <c r="S489" s="5" t="inlineStr">
        <is>
          <t>REDUCED</t>
        </is>
      </c>
      <c r="T489" s="5" t="inlineStr">
        <is>
          <t>High vibration detected</t>
        </is>
      </c>
    </row>
    <row r="490" s="17">
      <c r="A490" s="7" t="n">
        <v>5775</v>
      </c>
      <c r="B490" s="8" t="n">
        <v>49011.073092</v>
      </c>
      <c r="C490" s="9" t="n">
        <v>49.011073092</v>
      </c>
      <c r="D490" s="9" t="n">
        <v>138.25120714</v>
      </c>
      <c r="E490" s="9" t="n">
        <v>41.48464952</v>
      </c>
      <c r="F490" s="10" t="n">
        <v>0.1584568341770435</v>
      </c>
      <c r="G490" s="10" t="n">
        <v>0.1926620113867453</v>
      </c>
      <c r="H490" s="10" t="n">
        <v>0.8948244061458184</v>
      </c>
      <c r="I490" s="10" t="n">
        <v>1.676921</v>
      </c>
      <c r="J490" s="5" t="inlineStr">
        <is>
          <t>Cleaner sand</t>
        </is>
      </c>
      <c r="K490" s="11" t="n">
        <v>19.21709301471126</v>
      </c>
      <c r="L490" s="12" t="n">
        <v>1.136908872015406</v>
      </c>
      <c r="M490" s="12" t="n">
        <v>1.85</v>
      </c>
      <c r="N490" s="12" t="n">
        <v>16.90032689062976</v>
      </c>
      <c r="O490" s="12" t="n">
        <v>320.3279966327546</v>
      </c>
      <c r="P490" s="5" t="inlineStr">
        <is>
          <t>Normal</t>
        </is>
      </c>
      <c r="Q490" s="5" t="inlineStr">
        <is>
          <t>Turn Left</t>
        </is>
      </c>
      <c r="R490" s="12" t="n">
        <v>0.61</v>
      </c>
      <c r="S490" s="5" t="inlineStr">
        <is>
          <t>REDUCED</t>
        </is>
      </c>
      <c r="T490" s="5" t="inlineStr">
        <is>
          <t>Normal operation</t>
        </is>
      </c>
    </row>
    <row r="491" s="17">
      <c r="A491" s="7" t="n">
        <v>5780</v>
      </c>
      <c r="B491" s="8" t="n">
        <v>62594.403443</v>
      </c>
      <c r="C491" s="9" t="n">
        <v>62.594403443</v>
      </c>
      <c r="D491" s="9" t="n">
        <v>148.24732877</v>
      </c>
      <c r="E491" s="9" t="n">
        <v>41.2849172</v>
      </c>
      <c r="F491" s="10" t="n">
        <v>0.09355655941618157</v>
      </c>
      <c r="G491" s="10" t="n">
        <v>0.3438709600918902</v>
      </c>
      <c r="H491" s="10" t="n">
        <v>0.8808914106458751</v>
      </c>
      <c r="I491" s="10" t="n">
        <v>1.111162</v>
      </c>
      <c r="J491" s="5" t="inlineStr">
        <is>
          <t>Transition</t>
        </is>
      </c>
      <c r="K491" s="11" t="n">
        <v>20.90985935371885</v>
      </c>
      <c r="L491" s="12" t="n">
        <v>1.671867533769651</v>
      </c>
      <c r="M491" s="12" t="n">
        <v>1.85</v>
      </c>
      <c r="N491" s="12" t="n">
        <v>14.41424484594772</v>
      </c>
      <c r="O491" s="12" t="n">
        <v>344.5</v>
      </c>
      <c r="P491" s="5" t="inlineStr">
        <is>
          <t>Normal</t>
        </is>
      </c>
      <c r="Q491" s="5" t="inlineStr">
        <is>
          <t>Turn Left</t>
        </is>
      </c>
      <c r="R491" s="12" t="n">
        <v>0.71</v>
      </c>
      <c r="S491" s="5" t="inlineStr">
        <is>
          <t>ACCEPTED</t>
        </is>
      </c>
      <c r="T491" s="5" t="inlineStr">
        <is>
          <t>Normal operation</t>
        </is>
      </c>
    </row>
    <row r="492" s="17">
      <c r="A492" s="7" t="n">
        <v>5785</v>
      </c>
      <c r="B492" s="8" t="n">
        <v>38139.360766</v>
      </c>
      <c r="C492" s="9" t="n">
        <v>38.139360766</v>
      </c>
      <c r="D492" s="9" t="n">
        <v>143.30732637</v>
      </c>
      <c r="E492" s="9" t="n">
        <v>44.59698494</v>
      </c>
      <c r="F492" s="10" t="n">
        <v>0.07076961153966002</v>
      </c>
      <c r="G492" s="10" t="n">
        <v>0.1348828029465143</v>
      </c>
      <c r="H492" s="10" t="n">
        <v>0.9459647056518962</v>
      </c>
      <c r="I492" s="10" t="n">
        <v>0.387729</v>
      </c>
      <c r="J492" s="5" t="inlineStr">
        <is>
          <t>Cleaner sand</t>
        </is>
      </c>
      <c r="K492" s="11" t="n">
        <v>15.52243571993158</v>
      </c>
      <c r="L492" s="12" t="n">
        <v>2.35198807215356</v>
      </c>
      <c r="M492" s="12" t="n">
        <v>1.85</v>
      </c>
      <c r="N492" s="12" t="n">
        <v>11.97218909737623</v>
      </c>
      <c r="O492" s="12" t="n">
        <v>331.5772356668064</v>
      </c>
      <c r="P492" s="5" t="inlineStr">
        <is>
          <t>Normal</t>
        </is>
      </c>
      <c r="Q492" s="5" t="inlineStr">
        <is>
          <t>Turn Left</t>
        </is>
      </c>
      <c r="R492" s="12" t="n">
        <v>0.44</v>
      </c>
      <c r="S492" s="5" t="inlineStr">
        <is>
          <t>REJECTED</t>
        </is>
      </c>
      <c r="T492" s="5" t="inlineStr">
        <is>
          <t>Normal operation</t>
        </is>
      </c>
    </row>
    <row r="493" s="17">
      <c r="A493" s="7" t="n">
        <v>5790</v>
      </c>
      <c r="B493" s="8" t="n">
        <v>39292.077465</v>
      </c>
      <c r="C493" s="9" t="n">
        <v>39.29207746500001</v>
      </c>
      <c r="D493" s="9" t="n">
        <v>128.14469222</v>
      </c>
      <c r="E493" s="9" t="n">
        <v>48.60713426</v>
      </c>
      <c r="F493" s="10" t="n">
        <v>0.1131183676630436</v>
      </c>
      <c r="G493" s="10" t="n">
        <v>0.1680870723856626</v>
      </c>
      <c r="H493" s="10" t="n">
        <v>0.9505756301875227</v>
      </c>
      <c r="I493" s="10" t="n">
        <v>0.559701</v>
      </c>
      <c r="J493" s="5" t="inlineStr">
        <is>
          <t>Cleaner sand</t>
        </is>
      </c>
      <c r="K493" s="11" t="n">
        <v>17.22236203079471</v>
      </c>
      <c r="L493" s="12" t="n">
        <v>1.620975718289599</v>
      </c>
      <c r="M493" s="12" t="n">
        <v>1.85</v>
      </c>
      <c r="N493" s="12" t="n">
        <v>14.43297116295608</v>
      </c>
      <c r="O493" s="12" t="n">
        <v>328.2081904779928</v>
      </c>
      <c r="P493" s="5" t="inlineStr">
        <is>
          <t>Normal</t>
        </is>
      </c>
      <c r="Q493" s="5" t="inlineStr">
        <is>
          <t>Turn Left</t>
        </is>
      </c>
      <c r="R493" s="12" t="n">
        <v>0.88</v>
      </c>
      <c r="S493" s="5" t="inlineStr">
        <is>
          <t>ACCEPTED</t>
        </is>
      </c>
      <c r="T493" s="5" t="inlineStr">
        <is>
          <t>Normal operation</t>
        </is>
      </c>
    </row>
    <row r="494" s="17">
      <c r="A494" s="7" t="n">
        <v>5795</v>
      </c>
      <c r="B494" s="8" t="n">
        <v>48508.56851</v>
      </c>
      <c r="C494" s="9" t="n">
        <v>48.50856851</v>
      </c>
      <c r="D494" s="9" t="n">
        <v>142.17801319</v>
      </c>
      <c r="E494" s="9" t="n">
        <v>45.6615606</v>
      </c>
      <c r="F494" s="10" t="n">
        <v>0.04673766663707185</v>
      </c>
      <c r="G494" s="10" t="n">
        <v>0.08476875746939923</v>
      </c>
      <c r="H494" s="10" t="n">
        <v>0.9506158038613399</v>
      </c>
      <c r="I494" s="10" t="n">
        <v>0.218457</v>
      </c>
      <c r="J494" s="5" t="inlineStr">
        <is>
          <t>Cleaner sand</t>
        </is>
      </c>
      <c r="K494" s="11" t="n">
        <v>17.51489822703075</v>
      </c>
      <c r="L494" s="12" t="n">
        <v>1.881662180162369</v>
      </c>
      <c r="M494" s="12" t="n">
        <v>1.85</v>
      </c>
      <c r="N494" s="12" t="n">
        <v>16.0456473395119</v>
      </c>
      <c r="O494" s="12" t="n">
        <v>339.301070982087</v>
      </c>
      <c r="P494" s="5" t="inlineStr">
        <is>
          <t>Normal</t>
        </is>
      </c>
      <c r="Q494" s="5" t="inlineStr">
        <is>
          <t>Turn Left</t>
        </is>
      </c>
      <c r="R494" s="12" t="n">
        <v>0.85</v>
      </c>
      <c r="S494" s="5" t="inlineStr">
        <is>
          <t>ACCEPTED</t>
        </is>
      </c>
      <c r="T494" s="5" t="inlineStr">
        <is>
          <t>Normal operation</t>
        </is>
      </c>
    </row>
    <row r="495" s="17">
      <c r="A495" s="7" t="n">
        <v>5800</v>
      </c>
      <c r="B495" s="8" t="n">
        <v>42445.023394</v>
      </c>
      <c r="C495" s="9" t="n">
        <v>42.445023394</v>
      </c>
      <c r="D495" s="9" t="n">
        <v>125.98818802</v>
      </c>
      <c r="E495" s="9" t="n">
        <v>44.53234926</v>
      </c>
      <c r="F495" s="10" t="n">
        <v>0.06072454163885701</v>
      </c>
      <c r="G495" s="10" t="n">
        <v>0.03236830849745925</v>
      </c>
      <c r="H495" s="10" t="n">
        <v>0.9503701909316427</v>
      </c>
      <c r="I495" s="10" t="n">
        <v>0.349784</v>
      </c>
      <c r="J495" s="5" t="inlineStr">
        <is>
          <t>Cleaner sand</t>
        </is>
      </c>
      <c r="K495" s="11" t="n">
        <v>15.46102863542494</v>
      </c>
      <c r="L495" s="12" t="n">
        <v>1.139427171208029</v>
      </c>
      <c r="M495" s="12" t="n">
        <v>1.85</v>
      </c>
      <c r="N495" s="12" t="n">
        <v>15.4463237181255</v>
      </c>
      <c r="O495" s="12" t="n">
        <v>317.7409835392282</v>
      </c>
      <c r="P495" s="5" t="inlineStr">
        <is>
          <t>Normal</t>
        </is>
      </c>
      <c r="Q495" s="5" t="inlineStr">
        <is>
          <t>Turn Left</t>
        </is>
      </c>
      <c r="R495" s="12" t="n">
        <v>0.59</v>
      </c>
      <c r="S495" s="5" t="inlineStr">
        <is>
          <t>REDUCED</t>
        </is>
      </c>
      <c r="T495" s="5" t="inlineStr">
        <is>
          <t>Normal operation</t>
        </is>
      </c>
    </row>
    <row r="496" s="17">
      <c r="A496" s="7" t="n">
        <v>5805</v>
      </c>
      <c r="B496" s="8" t="n">
        <v>53660.735066</v>
      </c>
      <c r="C496" s="9" t="n">
        <v>53.660735066</v>
      </c>
      <c r="D496" s="9" t="n">
        <v>121.36771351</v>
      </c>
      <c r="E496" s="9" t="n">
        <v>53.59106556</v>
      </c>
      <c r="F496" s="10" t="n">
        <v>0.1285689597233544</v>
      </c>
      <c r="G496" s="10" t="n">
        <v>0.1057265225931942</v>
      </c>
      <c r="H496" s="10" t="n">
        <v>0.9783891274983575</v>
      </c>
      <c r="I496" s="10" t="n">
        <v>0.305415</v>
      </c>
      <c r="J496" s="5" t="inlineStr">
        <is>
          <t>Cleaner sand</t>
        </is>
      </c>
      <c r="K496" s="11" t="n">
        <v>19.90824885178866</v>
      </c>
      <c r="L496" s="12" t="n">
        <v>1.869870477631748</v>
      </c>
      <c r="M496" s="12" t="n">
        <v>1.85</v>
      </c>
      <c r="N496" s="12" t="n">
        <v>15.19332032284579</v>
      </c>
      <c r="O496" s="12" t="n">
        <v>319.6499145320912</v>
      </c>
      <c r="P496" s="5" t="inlineStr">
        <is>
          <t>Normal</t>
        </is>
      </c>
      <c r="Q496" s="5" t="inlineStr">
        <is>
          <t>Turn Left</t>
        </is>
      </c>
      <c r="R496" s="12" t="n">
        <v>0.71</v>
      </c>
      <c r="S496" s="5" t="inlineStr">
        <is>
          <t>ACCEPTED</t>
        </is>
      </c>
      <c r="T496" s="5" t="inlineStr">
        <is>
          <t>Normal operation</t>
        </is>
      </c>
    </row>
    <row r="497" s="17">
      <c r="A497" s="7" t="n">
        <v>5810</v>
      </c>
      <c r="B497" s="8" t="n">
        <v>74474.013504</v>
      </c>
      <c r="C497" s="9" t="n">
        <v>74.474013504</v>
      </c>
      <c r="D497" s="9" t="n">
        <v>158.16256954</v>
      </c>
      <c r="E497" s="9" t="n">
        <v>43.25933206000001</v>
      </c>
      <c r="F497" s="10" t="n">
        <v>0.08743708030550194</v>
      </c>
      <c r="G497" s="10" t="n">
        <v>0.3294284840991116</v>
      </c>
      <c r="H497" s="10" t="n">
        <v>0.9072925103661698</v>
      </c>
      <c r="I497" s="10" t="n">
        <v>0.814344</v>
      </c>
      <c r="J497" s="5" t="inlineStr">
        <is>
          <t>Transition</t>
        </is>
      </c>
      <c r="K497" s="11" t="n">
        <v>22.75204685003347</v>
      </c>
      <c r="L497" s="12" t="n">
        <v>1.568299310147771</v>
      </c>
      <c r="M497" s="12" t="n">
        <v>1.85</v>
      </c>
      <c r="N497" s="12" t="n">
        <v>14.1619602646566</v>
      </c>
      <c r="O497" s="12" t="n">
        <v>326.1752800234536</v>
      </c>
      <c r="P497" s="5" t="inlineStr">
        <is>
          <t>Normal</t>
        </is>
      </c>
      <c r="Q497" s="5" t="inlineStr">
        <is>
          <t>Turn Left</t>
        </is>
      </c>
      <c r="R497" s="12" t="n">
        <v>0.91</v>
      </c>
      <c r="S497" s="5" t="inlineStr">
        <is>
          <t>ACCEPTED</t>
        </is>
      </c>
      <c r="T497" s="5" t="inlineStr">
        <is>
          <t>WOB outside preferred band</t>
        </is>
      </c>
    </row>
    <row r="498" s="17">
      <c r="A498" s="7" t="n">
        <v>5815</v>
      </c>
      <c r="B498" s="8" t="n">
        <v>44933.867576</v>
      </c>
      <c r="C498" s="9" t="n">
        <v>44.933867576</v>
      </c>
      <c r="D498" s="9" t="n">
        <v>136.15945817</v>
      </c>
      <c r="E498" s="9" t="n">
        <v>54.99983704</v>
      </c>
      <c r="F498" s="10" t="n">
        <v>0.03659980049546917</v>
      </c>
      <c r="G498" s="10" t="n">
        <v>0.1834180761859435</v>
      </c>
      <c r="H498" s="10" t="n">
        <v>0.9391205519434039</v>
      </c>
      <c r="I498" s="10" t="n">
        <v>0.230942</v>
      </c>
      <c r="J498" s="5" t="inlineStr">
        <is>
          <t>Cleaner sand</t>
        </is>
      </c>
      <c r="K498" s="11" t="n">
        <v>15.74281895352744</v>
      </c>
      <c r="L498" s="12" t="n">
        <v>2.143007697883133</v>
      </c>
      <c r="M498" s="12" t="n">
        <v>1.85</v>
      </c>
      <c r="N498" s="12" t="n">
        <v>12.75248495640909</v>
      </c>
      <c r="O498" s="12" t="n">
        <v>333.7795789175236</v>
      </c>
      <c r="P498" s="5" t="inlineStr">
        <is>
          <t>Normal</t>
        </is>
      </c>
      <c r="Q498" s="5" t="inlineStr">
        <is>
          <t>Turn Left</t>
        </is>
      </c>
      <c r="R498" s="12" t="n">
        <v>0.55</v>
      </c>
      <c r="S498" s="5" t="inlineStr">
        <is>
          <t>REDUCED</t>
        </is>
      </c>
      <c r="T498" s="5" t="inlineStr">
        <is>
          <t>Normal operation</t>
        </is>
      </c>
    </row>
    <row r="499" s="17">
      <c r="A499" s="7" t="n">
        <v>5820</v>
      </c>
      <c r="B499" s="8" t="n">
        <v>54390.2916</v>
      </c>
      <c r="C499" s="9" t="n">
        <v>54.3902916</v>
      </c>
      <c r="D499" s="9" t="n">
        <v>125.52285329</v>
      </c>
      <c r="E499" s="9" t="n">
        <v>41.25753986</v>
      </c>
      <c r="F499" s="10" t="n">
        <v>0.1143143291996404</v>
      </c>
      <c r="G499" s="10" t="n">
        <v>0.1130689815146488</v>
      </c>
      <c r="H499" s="10" t="n">
        <v>0.9278017044111267</v>
      </c>
      <c r="I499" s="10" t="n">
        <v>0.8209070000000001</v>
      </c>
      <c r="J499" s="5" t="inlineStr">
        <is>
          <t>Cleaner sand</t>
        </is>
      </c>
      <c r="K499" s="11" t="n">
        <v>18.32896732109788</v>
      </c>
      <c r="L499" s="12" t="n">
        <v>2.241819165266728</v>
      </c>
      <c r="M499" s="12" t="n">
        <v>1.85</v>
      </c>
      <c r="N499" s="12" t="n">
        <v>14.974380888008</v>
      </c>
      <c r="O499" s="12" t="n">
        <v>326.3333152640593</v>
      </c>
      <c r="P499" s="5" t="inlineStr">
        <is>
          <t>Normal</t>
        </is>
      </c>
      <c r="Q499" s="5" t="inlineStr">
        <is>
          <t>Turn Left</t>
        </is>
      </c>
      <c r="R499" s="12" t="n">
        <v>0.8100000000000001</v>
      </c>
      <c r="S499" s="5" t="inlineStr">
        <is>
          <t>ACCEPTED</t>
        </is>
      </c>
      <c r="T499" s="5" t="inlineStr">
        <is>
          <t>Normal operation</t>
        </is>
      </c>
    </row>
    <row r="500" s="17">
      <c r="A500" s="7" t="n">
        <v>5825</v>
      </c>
      <c r="B500" s="8" t="n">
        <v>74427.725704</v>
      </c>
      <c r="C500" s="9" t="n">
        <v>74.427725704</v>
      </c>
      <c r="D500" s="9" t="n">
        <v>118.88121103</v>
      </c>
      <c r="E500" s="9" t="n">
        <v>30</v>
      </c>
      <c r="F500" s="10" t="n">
        <v>0.04788134908132546</v>
      </c>
      <c r="G500" s="10" t="n">
        <v>0.2558749347161967</v>
      </c>
      <c r="H500" s="10" t="n">
        <v>0.9351492273678991</v>
      </c>
      <c r="I500" s="10" t="n">
        <v>0.327433</v>
      </c>
      <c r="J500" s="5" t="inlineStr">
        <is>
          <t>Transition</t>
        </is>
      </c>
      <c r="K500" s="11" t="n">
        <v>21.32900522548157</v>
      </c>
      <c r="L500" s="12" t="n">
        <v>2.928886184589121</v>
      </c>
      <c r="M500" s="12" t="n">
        <v>1.85</v>
      </c>
      <c r="N500" s="12" t="n">
        <v>13.10920527325256</v>
      </c>
      <c r="O500" s="12" t="n">
        <v>321.4579613012908</v>
      </c>
      <c r="P500" s="5" t="inlineStr">
        <is>
          <t>Normal</t>
        </is>
      </c>
      <c r="Q500" s="5" t="inlineStr">
        <is>
          <t>Turn Left</t>
        </is>
      </c>
      <c r="R500" s="12" t="n">
        <v>0.45</v>
      </c>
      <c r="S500" s="5" t="inlineStr">
        <is>
          <t>REJECTED</t>
        </is>
      </c>
      <c r="T500" s="5" t="inlineStr">
        <is>
          <t>High vibration detected</t>
        </is>
      </c>
    </row>
    <row r="501" s="17">
      <c r="A501" s="7" t="n">
        <v>5830</v>
      </c>
      <c r="B501" s="8" t="n">
        <v>45374.963713</v>
      </c>
      <c r="C501" s="9" t="n">
        <v>45.374963713</v>
      </c>
      <c r="D501" s="9" t="n">
        <v>125.80676956</v>
      </c>
      <c r="E501" s="9" t="n">
        <v>50.73479235999999</v>
      </c>
      <c r="F501" s="10" t="n">
        <v>0.06989428044461229</v>
      </c>
      <c r="G501" s="10" t="n">
        <v>0.2918080386471613</v>
      </c>
      <c r="H501" s="10" t="n">
        <v>0.9653339365103177</v>
      </c>
      <c r="I501" s="10" t="n">
        <v>0.28736</v>
      </c>
      <c r="J501" s="5" t="inlineStr">
        <is>
          <t>Transition</t>
        </is>
      </c>
      <c r="K501" s="11" t="n">
        <v>15.47839249603417</v>
      </c>
      <c r="L501" s="12" t="n">
        <v>1.944020254874652</v>
      </c>
      <c r="M501" s="12" t="n">
        <v>1.85</v>
      </c>
      <c r="N501" s="12" t="n">
        <v>16.92237073609356</v>
      </c>
      <c r="O501" s="12" t="n">
        <v>317.2547179229003</v>
      </c>
      <c r="P501" s="5" t="inlineStr">
        <is>
          <t>Normal</t>
        </is>
      </c>
      <c r="Q501" s="5" t="inlineStr">
        <is>
          <t>Turn Right</t>
        </is>
      </c>
      <c r="R501" s="12" t="n">
        <v>0.6899999999999999</v>
      </c>
      <c r="S501" s="5" t="inlineStr">
        <is>
          <t>REDUCED</t>
        </is>
      </c>
      <c r="T501" s="5" t="inlineStr">
        <is>
          <t>Normal operation</t>
        </is>
      </c>
    </row>
    <row r="502" s="17">
      <c r="A502" s="7" t="n">
        <v>5835</v>
      </c>
      <c r="B502" s="8" t="n">
        <v>63044.506916</v>
      </c>
      <c r="C502" s="9" t="n">
        <v>63.044506916</v>
      </c>
      <c r="D502" s="9" t="n">
        <v>116.93070646</v>
      </c>
      <c r="E502" s="9" t="n">
        <v>58.33258682</v>
      </c>
      <c r="F502" s="10" t="n">
        <v>0.1255632587983167</v>
      </c>
      <c r="G502" s="10" t="n">
        <v>0.09981282055967151</v>
      </c>
      <c r="H502" s="10" t="n">
        <v>0.9355027977354727</v>
      </c>
      <c r="I502" s="10" t="n">
        <v>0.809259</v>
      </c>
      <c r="J502" s="5" t="inlineStr">
        <is>
          <t>Cleaner sand</t>
        </is>
      </c>
      <c r="K502" s="11" t="n">
        <v>21.03718090733697</v>
      </c>
      <c r="L502" s="12" t="n">
        <v>1.819640195125261</v>
      </c>
      <c r="M502" s="12" t="n">
        <v>1.85</v>
      </c>
      <c r="N502" s="12" t="n">
        <v>14.68629604906157</v>
      </c>
      <c r="O502" s="12" t="n">
        <v>317.8227026573603</v>
      </c>
      <c r="P502" s="5" t="inlineStr">
        <is>
          <t>Normal</t>
        </is>
      </c>
      <c r="Q502" s="5" t="inlineStr">
        <is>
          <t>Turn Left</t>
        </is>
      </c>
      <c r="R502" s="12" t="n">
        <v>0.89</v>
      </c>
      <c r="S502" s="5" t="inlineStr">
        <is>
          <t>ACCEPTED</t>
        </is>
      </c>
      <c r="T502" s="5" t="inlineStr">
        <is>
          <t>Normal operation</t>
        </is>
      </c>
    </row>
    <row r="503" s="17">
      <c r="A503" s="7" t="n">
        <v>5840</v>
      </c>
      <c r="B503" s="8" t="n">
        <v>60921.579509</v>
      </c>
      <c r="C503" s="9" t="n">
        <v>60.921579509</v>
      </c>
      <c r="D503" s="9" t="n">
        <v>108.86848567</v>
      </c>
      <c r="E503" s="9" t="n">
        <v>34.0695609</v>
      </c>
      <c r="F503" s="10" t="n">
        <v>0.09222073286882328</v>
      </c>
      <c r="G503" s="10" t="n">
        <v>0.3208156694764974</v>
      </c>
      <c r="H503" s="10" t="n">
        <v>0.9095096810057194</v>
      </c>
      <c r="I503" s="10" t="n">
        <v>0.857511</v>
      </c>
      <c r="J503" s="5" t="inlineStr">
        <is>
          <t>Transition</t>
        </is>
      </c>
      <c r="K503" s="11" t="n">
        <v>21.62996773774963</v>
      </c>
      <c r="L503" s="12" t="n">
        <v>1.755248307772895</v>
      </c>
      <c r="M503" s="12" t="n">
        <v>1.85</v>
      </c>
      <c r="N503" s="12" t="n">
        <v>12.96834059768332</v>
      </c>
      <c r="O503" s="12" t="n">
        <v>313.0394857409849</v>
      </c>
      <c r="P503" s="5" t="inlineStr">
        <is>
          <t>Normal</t>
        </is>
      </c>
      <c r="Q503" s="5" t="inlineStr">
        <is>
          <t>Turn Left</t>
        </is>
      </c>
      <c r="R503" s="12" t="n">
        <v>0.7</v>
      </c>
      <c r="S503" s="5" t="inlineStr">
        <is>
          <t>ACCEPTED</t>
        </is>
      </c>
      <c r="T503" s="5" t="inlineStr">
        <is>
          <t>Normal operation</t>
        </is>
      </c>
    </row>
    <row r="504" s="17">
      <c r="A504" s="7" t="n">
        <v>5845</v>
      </c>
      <c r="B504" s="8" t="n">
        <v>35217.243627</v>
      </c>
      <c r="C504" s="9" t="n">
        <v>35.217243627</v>
      </c>
      <c r="D504" s="9" t="n">
        <v>140.87555951</v>
      </c>
      <c r="E504" s="9" t="n">
        <v>58.81752252</v>
      </c>
      <c r="F504" s="10" t="n">
        <v>0.07005725286499372</v>
      </c>
      <c r="G504" s="10" t="n">
        <v>0.04077904254774958</v>
      </c>
      <c r="H504" s="10" t="n">
        <v>0.919732292256633</v>
      </c>
      <c r="I504" s="10" t="n">
        <v>0.607913</v>
      </c>
      <c r="J504" s="5" t="inlineStr">
        <is>
          <t>Cleaner sand</t>
        </is>
      </c>
      <c r="K504" s="11" t="n">
        <v>13.59440024917703</v>
      </c>
      <c r="L504" s="12" t="n">
        <v>1.486948516522763</v>
      </c>
      <c r="M504" s="12" t="n">
        <v>1.85</v>
      </c>
      <c r="N504" s="12" t="n">
        <v>12.70692928220101</v>
      </c>
      <c r="O504" s="12" t="n">
        <v>297.7899176725957</v>
      </c>
      <c r="P504" s="5" t="inlineStr">
        <is>
          <t>Normal</t>
        </is>
      </c>
      <c r="Q504" s="5" t="inlineStr">
        <is>
          <t>Turn Left</t>
        </is>
      </c>
      <c r="R504" s="12" t="n">
        <v>0.74</v>
      </c>
      <c r="S504" s="5" t="inlineStr">
        <is>
          <t>ACCEPTED</t>
        </is>
      </c>
      <c r="T504" s="5" t="inlineStr">
        <is>
          <t>Normal operation</t>
        </is>
      </c>
    </row>
    <row r="505" s="17">
      <c r="A505" s="7" t="n">
        <v>5850</v>
      </c>
      <c r="B505" s="8" t="n">
        <v>46640.1289</v>
      </c>
      <c r="C505" s="9" t="n">
        <v>46.6401289</v>
      </c>
      <c r="D505" s="9" t="n">
        <v>131.39668744</v>
      </c>
      <c r="E505" s="9" t="n">
        <v>30.68334138</v>
      </c>
      <c r="F505" s="10" t="n">
        <v>0.1576877121406754</v>
      </c>
      <c r="G505" s="10" t="n">
        <v>0.1354144245268392</v>
      </c>
      <c r="H505" s="10" t="n">
        <v>0.9425756449028021</v>
      </c>
      <c r="I505" s="10" t="n">
        <v>0.929998</v>
      </c>
      <c r="J505" s="5" t="inlineStr">
        <is>
          <t>Cleaner sand</t>
        </is>
      </c>
      <c r="K505" s="11" t="n">
        <v>17.65685270320308</v>
      </c>
      <c r="L505" s="12" t="n">
        <v>1.825857083296229</v>
      </c>
      <c r="M505" s="12" t="n">
        <v>1.85</v>
      </c>
      <c r="N505" s="12" t="n">
        <v>13.15944934801134</v>
      </c>
      <c r="O505" s="12" t="n">
        <v>305.4898510635076</v>
      </c>
      <c r="P505" s="5" t="inlineStr">
        <is>
          <t>Normal</t>
        </is>
      </c>
      <c r="Q505" s="5" t="inlineStr">
        <is>
          <t>Turn Left</t>
        </is>
      </c>
      <c r="R505" s="12" t="n">
        <v>0.9</v>
      </c>
      <c r="S505" s="5" t="inlineStr">
        <is>
          <t>ACCEPTED</t>
        </is>
      </c>
      <c r="T505" s="5" t="inlineStr">
        <is>
          <t>Normal operation</t>
        </is>
      </c>
    </row>
    <row r="506" s="17">
      <c r="A506" s="7" t="n">
        <v>5855</v>
      </c>
      <c r="B506" s="8" t="n">
        <v>69465.512924</v>
      </c>
      <c r="C506" s="9" t="n">
        <v>69.465512924</v>
      </c>
      <c r="D506" s="9" t="n">
        <v>120.93665855</v>
      </c>
      <c r="E506" s="9" t="n">
        <v>46.24869536</v>
      </c>
      <c r="F506" s="10" t="n">
        <v>0.09709778385279798</v>
      </c>
      <c r="G506" s="10" t="n">
        <v>0.2543007296035968</v>
      </c>
      <c r="H506" s="10" t="n">
        <v>0.8921470619089497</v>
      </c>
      <c r="I506" s="10" t="n">
        <v>1.087959</v>
      </c>
      <c r="J506" s="5" t="inlineStr">
        <is>
          <t>Transition</t>
        </is>
      </c>
      <c r="K506" s="11" t="n">
        <v>20.6413226621299</v>
      </c>
      <c r="L506" s="12" t="n">
        <v>1.515253309031876</v>
      </c>
      <c r="M506" s="12" t="n">
        <v>1.85</v>
      </c>
      <c r="N506" s="12" t="n">
        <v>12.74747103078349</v>
      </c>
      <c r="O506" s="12" t="n">
        <v>291.1133648122373</v>
      </c>
      <c r="P506" s="5" t="inlineStr">
        <is>
          <t>Normal</t>
        </is>
      </c>
      <c r="Q506" s="5" t="inlineStr">
        <is>
          <t>Drop</t>
        </is>
      </c>
      <c r="R506" s="12" t="n">
        <v>0.79</v>
      </c>
      <c r="S506" s="5" t="inlineStr">
        <is>
          <t>ACCEPTED</t>
        </is>
      </c>
      <c r="T506" s="5" t="inlineStr">
        <is>
          <t>Normal operation</t>
        </is>
      </c>
    </row>
    <row r="507" s="17">
      <c r="A507" s="7" t="n">
        <v>5860</v>
      </c>
      <c r="B507" s="8" t="n">
        <v>42422.81022</v>
      </c>
      <c r="C507" s="9" t="n">
        <v>42.42281022</v>
      </c>
      <c r="D507" s="9" t="n">
        <v>142.53106272</v>
      </c>
      <c r="E507" s="9" t="n">
        <v>64.55834825999999</v>
      </c>
      <c r="F507" s="10" t="n">
        <v>0.06639884077523778</v>
      </c>
      <c r="G507" s="10" t="n">
        <v>0.03151620041876266</v>
      </c>
      <c r="H507" s="10" t="n">
        <v>0.9417628146322521</v>
      </c>
      <c r="I507" s="10" t="n">
        <v>0.41678</v>
      </c>
      <c r="J507" s="5" t="inlineStr">
        <is>
          <t>Cleaner sand</t>
        </is>
      </c>
      <c r="K507" s="11" t="n">
        <v>15.8311019698874</v>
      </c>
      <c r="L507" s="12" t="n">
        <v>1.742545878372111</v>
      </c>
      <c r="M507" s="12" t="n">
        <v>1.85</v>
      </c>
      <c r="N507" s="12" t="n">
        <v>14.28925415040347</v>
      </c>
      <c r="O507" s="12" t="n">
        <v>299.373432123635</v>
      </c>
      <c r="P507" s="5" t="inlineStr">
        <is>
          <t>Normal</t>
        </is>
      </c>
      <c r="Q507" s="5" t="inlineStr">
        <is>
          <t>Drop</t>
        </is>
      </c>
      <c r="R507" s="12" t="n">
        <v>0.78</v>
      </c>
      <c r="S507" s="5" t="inlineStr">
        <is>
          <t>ACCEPTED</t>
        </is>
      </c>
      <c r="T507" s="5" t="inlineStr">
        <is>
          <t>Normal operation</t>
        </is>
      </c>
    </row>
    <row r="508" s="17">
      <c r="A508" s="7" t="n">
        <v>5865</v>
      </c>
      <c r="B508" s="8" t="n">
        <v>36060.287488</v>
      </c>
      <c r="C508" s="9" t="n">
        <v>36.060287488</v>
      </c>
      <c r="D508" s="9" t="n">
        <v>131.91130745</v>
      </c>
      <c r="E508" s="9" t="n">
        <v>58.46437968</v>
      </c>
      <c r="F508" s="10" t="n">
        <v>0.1571202669376287</v>
      </c>
      <c r="G508" s="10" t="n">
        <v>0.3160584832542927</v>
      </c>
      <c r="H508" s="10" t="n">
        <v>0.9089963210550069</v>
      </c>
      <c r="I508" s="10" t="n">
        <v>1.429264</v>
      </c>
      <c r="J508" s="5" t="inlineStr">
        <is>
          <t>Transition</t>
        </is>
      </c>
      <c r="K508" s="11" t="n">
        <v>14.55562789723628</v>
      </c>
      <c r="L508" s="12" t="n">
        <v>2.3056227924479</v>
      </c>
      <c r="M508" s="12" t="n">
        <v>1.85</v>
      </c>
      <c r="N508" s="12" t="n">
        <v>12.85825797568456</v>
      </c>
      <c r="O508" s="12" t="n">
        <v>290.3693553744531</v>
      </c>
      <c r="P508" s="5" t="inlineStr">
        <is>
          <t>Normal</t>
        </is>
      </c>
      <c r="Q508" s="5" t="inlineStr">
        <is>
          <t>Hold</t>
        </is>
      </c>
      <c r="R508" s="12" t="n">
        <v>0.72</v>
      </c>
      <c r="S508" s="5" t="inlineStr">
        <is>
          <t>ACCEPTED</t>
        </is>
      </c>
      <c r="T508" s="5" t="inlineStr">
        <is>
          <t>Normal operation</t>
        </is>
      </c>
    </row>
    <row r="509" s="17">
      <c r="A509" s="7" t="n">
        <v>5870</v>
      </c>
      <c r="B509" s="8" t="n">
        <v>64272.707552</v>
      </c>
      <c r="C509" s="9" t="n">
        <v>64.272707552</v>
      </c>
      <c r="D509" s="9" t="n">
        <v>110.52698725</v>
      </c>
      <c r="E509" s="9" t="n">
        <v>42.29801244</v>
      </c>
      <c r="F509" s="10" t="n">
        <v>0.08713001018821057</v>
      </c>
      <c r="G509" s="10" t="n">
        <v>0.3402341641910487</v>
      </c>
      <c r="H509" s="10" t="n">
        <v>0.9245047620049202</v>
      </c>
      <c r="I509" s="10" t="n">
        <v>0.696578</v>
      </c>
      <c r="J509" s="5" t="inlineStr">
        <is>
          <t>Transition</t>
        </is>
      </c>
      <c r="K509" s="11" t="n">
        <v>19.47290524928128</v>
      </c>
      <c r="L509" s="12" t="n">
        <v>1.166794143012976</v>
      </c>
      <c r="M509" s="12" t="n">
        <v>1.85</v>
      </c>
      <c r="N509" s="12" t="n">
        <v>11.44334240723898</v>
      </c>
      <c r="O509" s="12" t="n">
        <v>317.0937547481906</v>
      </c>
      <c r="P509" s="5" t="inlineStr">
        <is>
          <t>Normal</t>
        </is>
      </c>
      <c r="Q509" s="5" t="inlineStr">
        <is>
          <t>Turn Left</t>
        </is>
      </c>
      <c r="R509" s="12" t="n">
        <v>0.75</v>
      </c>
      <c r="S509" s="5" t="inlineStr">
        <is>
          <t>ACCEPTED</t>
        </is>
      </c>
      <c r="T509" s="5" t="inlineStr">
        <is>
          <t>Normal operation</t>
        </is>
      </c>
    </row>
    <row r="510" s="17">
      <c r="A510" s="7" t="n">
        <v>5875</v>
      </c>
      <c r="B510" s="8" t="n">
        <v>43868.646284</v>
      </c>
      <c r="C510" s="9" t="n">
        <v>43.868646284</v>
      </c>
      <c r="D510" s="9" t="n">
        <v>147.39691181</v>
      </c>
      <c r="E510" s="9" t="n">
        <v>62.52168228</v>
      </c>
      <c r="F510" s="10" t="n">
        <v>0.0615766632088835</v>
      </c>
      <c r="G510" s="10" t="n">
        <v>0.1329961330340639</v>
      </c>
      <c r="H510" s="10" t="n">
        <v>0.9098845474993067</v>
      </c>
      <c r="I510" s="10" t="n">
        <v>0.569347</v>
      </c>
      <c r="J510" s="5" t="inlineStr">
        <is>
          <t>Cleaner sand</t>
        </is>
      </c>
      <c r="K510" s="11" t="n">
        <v>16.6326695027456</v>
      </c>
      <c r="L510" s="12" t="n">
        <v>2.218540494953232</v>
      </c>
      <c r="M510" s="12" t="n">
        <v>1.85</v>
      </c>
      <c r="N510" s="12" t="n">
        <v>14.63058327132536</v>
      </c>
      <c r="O510" s="12" t="n">
        <v>287.7462401139245</v>
      </c>
      <c r="P510" s="5" t="inlineStr">
        <is>
          <t>Normal</t>
        </is>
      </c>
      <c r="Q510" s="5" t="inlineStr">
        <is>
          <t>Drop</t>
        </is>
      </c>
      <c r="R510" s="12" t="n">
        <v>0.84</v>
      </c>
      <c r="S510" s="5" t="inlineStr">
        <is>
          <t>ACCEPTED</t>
        </is>
      </c>
      <c r="T510" s="5" t="inlineStr">
        <is>
          <t>Normal operation</t>
        </is>
      </c>
    </row>
    <row r="511" s="17">
      <c r="A511" s="7" t="n">
        <v>5880</v>
      </c>
      <c r="B511" s="8" t="n">
        <v>57299.561344</v>
      </c>
      <c r="C511" s="9" t="n">
        <v>57.299561344</v>
      </c>
      <c r="D511" s="9" t="n">
        <v>128.88144432</v>
      </c>
      <c r="E511" s="9" t="n">
        <v>54.39741912</v>
      </c>
      <c r="F511" s="10" t="n">
        <v>0.09153438432403671</v>
      </c>
      <c r="G511" s="10" t="n">
        <v>0.3063031519398171</v>
      </c>
      <c r="H511" s="10" t="n">
        <v>0.9070236464700367</v>
      </c>
      <c r="I511" s="10" t="n">
        <v>0.831358</v>
      </c>
      <c r="J511" s="5" t="inlineStr">
        <is>
          <t>Transition</t>
        </is>
      </c>
      <c r="K511" s="11" t="n">
        <v>18.22343350723241</v>
      </c>
      <c r="L511" s="12" t="n">
        <v>2.305386382996534</v>
      </c>
      <c r="M511" s="12" t="n">
        <v>1.85</v>
      </c>
      <c r="N511" s="12" t="n">
        <v>12.0156579244019</v>
      </c>
      <c r="O511" s="12" t="n">
        <v>270.4796743917744</v>
      </c>
      <c r="P511" s="5" t="inlineStr">
        <is>
          <t>Normal</t>
        </is>
      </c>
      <c r="Q511" s="5" t="inlineStr">
        <is>
          <t>Hold</t>
        </is>
      </c>
      <c r="R511" s="12" t="n">
        <v>0.9399999999999999</v>
      </c>
      <c r="S511" s="5" t="inlineStr">
        <is>
          <t>ACCEPTED</t>
        </is>
      </c>
      <c r="T511" s="5" t="inlineStr">
        <is>
          <t>Normal operation</t>
        </is>
      </c>
    </row>
    <row r="512" s="17">
      <c r="A512" s="7" t="n">
        <v>5885</v>
      </c>
      <c r="B512" s="8" t="n">
        <v>56776.973096</v>
      </c>
      <c r="C512" s="9" t="n">
        <v>56.776973096</v>
      </c>
      <c r="D512" s="9" t="n">
        <v>99.87950217999999</v>
      </c>
      <c r="E512" s="9" t="n">
        <v>31.397841</v>
      </c>
      <c r="F512" s="10" t="n">
        <v>0.11432003737522</v>
      </c>
      <c r="G512" s="10" t="n">
        <v>0.2945900519154322</v>
      </c>
      <c r="H512" s="10" t="n">
        <v>0.9108191950580339</v>
      </c>
      <c r="I512" s="10" t="n">
        <v>1.000793</v>
      </c>
      <c r="J512" s="5" t="inlineStr">
        <is>
          <t>Transition</t>
        </is>
      </c>
      <c r="K512" s="11" t="n">
        <v>19.22872516864251</v>
      </c>
      <c r="L512" s="12" t="n">
        <v>1.602146421774371</v>
      </c>
      <c r="M512" s="12" t="n">
        <v>1.85</v>
      </c>
      <c r="N512" s="12" t="n">
        <v>12.72959538498794</v>
      </c>
      <c r="O512" s="12" t="n">
        <v>279.499495593612</v>
      </c>
      <c r="P512" s="5" t="inlineStr">
        <is>
          <t>Normal</t>
        </is>
      </c>
      <c r="Q512" s="5" t="inlineStr">
        <is>
          <t>Hold</t>
        </is>
      </c>
      <c r="R512" s="12" t="n">
        <v>0.84</v>
      </c>
      <c r="S512" s="5" t="inlineStr">
        <is>
          <t>ACCEPTED</t>
        </is>
      </c>
      <c r="T512" s="5" t="inlineStr">
        <is>
          <t>Normal operation</t>
        </is>
      </c>
    </row>
    <row r="513" s="17">
      <c r="A513" s="7" t="n">
        <v>5890</v>
      </c>
      <c r="B513" s="8" t="n">
        <v>53471.112067</v>
      </c>
      <c r="C513" s="9" t="n">
        <v>53.471112067</v>
      </c>
      <c r="D513" s="9" t="n">
        <v>137.87645187</v>
      </c>
      <c r="E513" s="9" t="n">
        <v>70.63431128000001</v>
      </c>
      <c r="F513" s="10" t="n">
        <v>0.06520466611997142</v>
      </c>
      <c r="G513" s="10" t="n">
        <v>0.08987864602144376</v>
      </c>
      <c r="H513" s="10" t="n">
        <v>0.9295022464237007</v>
      </c>
      <c r="I513" s="10" t="n">
        <v>0.478759</v>
      </c>
      <c r="J513" s="5" t="inlineStr">
        <is>
          <t>Cleaner sand</t>
        </is>
      </c>
      <c r="K513" s="11" t="n">
        <v>18.30001089459258</v>
      </c>
      <c r="L513" s="12" t="n">
        <v>1.1</v>
      </c>
      <c r="M513" s="12" t="n">
        <v>1.85</v>
      </c>
      <c r="N513" s="12" t="n">
        <v>10.71795605935295</v>
      </c>
      <c r="O513" s="12" t="n">
        <v>282.307325511288</v>
      </c>
      <c r="P513" s="5" t="inlineStr">
        <is>
          <t>Normal</t>
        </is>
      </c>
      <c r="Q513" s="5" t="inlineStr">
        <is>
          <t>Build</t>
        </is>
      </c>
      <c r="R513" s="12" t="n">
        <v>0.79</v>
      </c>
      <c r="S513" s="5" t="inlineStr">
        <is>
          <t>ACCEPTED</t>
        </is>
      </c>
      <c r="T513" s="5" t="inlineStr">
        <is>
          <t>Normal operation</t>
        </is>
      </c>
    </row>
    <row r="514" s="17">
      <c r="A514" s="7" t="n">
        <v>5895</v>
      </c>
      <c r="B514" s="8" t="n">
        <v>62707.160474</v>
      </c>
      <c r="C514" s="9" t="n">
        <v>62.707160474</v>
      </c>
      <c r="D514" s="9" t="n">
        <v>138.26921102</v>
      </c>
      <c r="E514" s="9" t="n">
        <v>33.28357368</v>
      </c>
      <c r="F514" s="10" t="n">
        <v>0.09544026769835474</v>
      </c>
      <c r="G514" s="10" t="n">
        <v>0.2800275542409437</v>
      </c>
      <c r="H514" s="10" t="n">
        <v>0.8692729085645953</v>
      </c>
      <c r="I514" s="10" t="n">
        <v>1.229327</v>
      </c>
      <c r="J514" s="5" t="inlineStr">
        <is>
          <t>Transition</t>
        </is>
      </c>
      <c r="K514" s="11" t="n">
        <v>19.81001000649103</v>
      </c>
      <c r="L514" s="12" t="n">
        <v>1.362167226323728</v>
      </c>
      <c r="M514" s="12" t="n">
        <v>1.85</v>
      </c>
      <c r="N514" s="12" t="n">
        <v>11.7592475479018</v>
      </c>
      <c r="O514" s="12" t="n">
        <v>290.0840399313134</v>
      </c>
      <c r="P514" s="5" t="inlineStr">
        <is>
          <t>Normal</t>
        </is>
      </c>
      <c r="Q514" s="5" t="inlineStr">
        <is>
          <t>Hold</t>
        </is>
      </c>
      <c r="R514" s="12" t="n">
        <v>0.47</v>
      </c>
      <c r="S514" s="5" t="inlineStr">
        <is>
          <t>REJECTED</t>
        </is>
      </c>
      <c r="T514" s="5" t="inlineStr">
        <is>
          <t>Normal operation</t>
        </is>
      </c>
    </row>
    <row r="515" s="17">
      <c r="A515" s="7" t="n">
        <v>5900</v>
      </c>
      <c r="B515" s="8" t="n">
        <v>57354.712506</v>
      </c>
      <c r="C515" s="9" t="n">
        <v>57.35471250600001</v>
      </c>
      <c r="D515" s="9" t="n">
        <v>104.05677116</v>
      </c>
      <c r="E515" s="9" t="n">
        <v>52.11562972</v>
      </c>
      <c r="F515" s="10" t="n">
        <v>0.08996360706535485</v>
      </c>
      <c r="G515" s="10" t="n">
        <v>0.2389896685409349</v>
      </c>
      <c r="H515" s="10" t="n">
        <v>0.9135176594571194</v>
      </c>
      <c r="I515" s="10" t="n">
        <v>0.776394</v>
      </c>
      <c r="J515" s="5" t="inlineStr">
        <is>
          <t>Cleaner sand</t>
        </is>
      </c>
      <c r="K515" s="11" t="n">
        <v>18.15696345304335</v>
      </c>
      <c r="L515" s="12" t="n">
        <v>2.295527327814944</v>
      </c>
      <c r="M515" s="12" t="n">
        <v>1.85</v>
      </c>
      <c r="N515" s="12" t="n">
        <v>11.47018693312283</v>
      </c>
      <c r="O515" s="12" t="n">
        <v>263.6678759676319</v>
      </c>
      <c r="P515" s="5" t="inlineStr">
        <is>
          <t>Normal</t>
        </is>
      </c>
      <c r="Q515" s="5" t="inlineStr">
        <is>
          <t>Hold</t>
        </is>
      </c>
      <c r="R515" s="12" t="n">
        <v>0.85</v>
      </c>
      <c r="S515" s="5" t="inlineStr">
        <is>
          <t>ACCEPTED</t>
        </is>
      </c>
      <c r="T515" s="5" t="inlineStr">
        <is>
          <t>Normal operation</t>
        </is>
      </c>
    </row>
    <row r="516" s="17">
      <c r="A516" s="7" t="n">
        <v>5905</v>
      </c>
      <c r="B516" s="8" t="n">
        <v>41962.587693</v>
      </c>
      <c r="C516" s="9" t="n">
        <v>41.962587693</v>
      </c>
      <c r="D516" s="9" t="n">
        <v>137.59312298</v>
      </c>
      <c r="E516" s="9" t="n">
        <v>64.44745884</v>
      </c>
      <c r="F516" s="10" t="n">
        <v>0.04274160857724141</v>
      </c>
      <c r="G516" s="10" t="n">
        <v>0.2727321722600021</v>
      </c>
      <c r="H516" s="10" t="n">
        <v>0.9194912954236293</v>
      </c>
      <c r="I516" s="10" t="n">
        <v>0.348633</v>
      </c>
      <c r="J516" s="5" t="inlineStr">
        <is>
          <t>Transition</t>
        </is>
      </c>
      <c r="K516" s="11" t="n">
        <v>15.65681114717326</v>
      </c>
      <c r="L516" s="12" t="n">
        <v>1.648794649473548</v>
      </c>
      <c r="M516" s="12" t="n">
        <v>1.85</v>
      </c>
      <c r="N516" s="12" t="n">
        <v>8.387746577714445</v>
      </c>
      <c r="O516" s="12" t="n">
        <v>249.9366446703234</v>
      </c>
      <c r="P516" s="5" t="inlineStr">
        <is>
          <t>Normal</t>
        </is>
      </c>
      <c r="Q516" s="5" t="inlineStr">
        <is>
          <t>Build</t>
        </is>
      </c>
      <c r="R516" s="12" t="n">
        <v>0.8</v>
      </c>
      <c r="S516" s="5" t="inlineStr">
        <is>
          <t>ACCEPTED</t>
        </is>
      </c>
      <c r="T516" s="5" t="inlineStr">
        <is>
          <t>Normal operation</t>
        </is>
      </c>
    </row>
    <row r="517" s="17">
      <c r="A517" s="7" t="n">
        <v>5910</v>
      </c>
      <c r="B517" s="8" t="n">
        <v>63038.513142</v>
      </c>
      <c r="C517" s="9" t="n">
        <v>63.03851314200001</v>
      </c>
      <c r="D517" s="9" t="n">
        <v>141.77909338</v>
      </c>
      <c r="E517" s="9" t="n">
        <v>60.2401356</v>
      </c>
      <c r="F517" s="10" t="n">
        <v>0.120660240419122</v>
      </c>
      <c r="G517" s="10" t="n">
        <v>0.1160290921855485</v>
      </c>
      <c r="H517" s="10" t="n">
        <v>0.8942189913260307</v>
      </c>
      <c r="I517" s="10" t="n">
        <v>1.312703</v>
      </c>
      <c r="J517" s="5" t="inlineStr">
        <is>
          <t>Cleaner sand</t>
        </is>
      </c>
      <c r="K517" s="11" t="n">
        <v>20.86529220096563</v>
      </c>
      <c r="L517" s="12" t="n">
        <v>1.170341906175494</v>
      </c>
      <c r="M517" s="12" t="n">
        <v>1.85</v>
      </c>
      <c r="N517" s="12" t="n">
        <v>13.24269501384104</v>
      </c>
      <c r="O517" s="12" t="n">
        <v>270.1255715772655</v>
      </c>
      <c r="P517" s="5" t="inlineStr">
        <is>
          <t>Normal</t>
        </is>
      </c>
      <c r="Q517" s="5" t="inlineStr">
        <is>
          <t>Drop</t>
        </is>
      </c>
      <c r="R517" s="12" t="n">
        <v>0.82</v>
      </c>
      <c r="S517" s="5" t="inlineStr">
        <is>
          <t>ACCEPTED</t>
        </is>
      </c>
      <c r="T517" s="5" t="inlineStr">
        <is>
          <t>Normal operation</t>
        </is>
      </c>
    </row>
    <row r="518" s="17">
      <c r="A518" s="7" t="n">
        <v>5915</v>
      </c>
      <c r="B518" s="8" t="n">
        <v>60095.610662</v>
      </c>
      <c r="C518" s="9" t="n">
        <v>60.095610662</v>
      </c>
      <c r="D518" s="9" t="n">
        <v>106.343783</v>
      </c>
      <c r="E518" s="9" t="n">
        <v>30</v>
      </c>
      <c r="F518" s="10" t="n">
        <v>0.09358322186667437</v>
      </c>
      <c r="G518" s="10" t="n">
        <v>0.2394081331903164</v>
      </c>
      <c r="H518" s="10" t="n">
        <v>0.9431880152050115</v>
      </c>
      <c r="I518" s="10" t="n">
        <v>0.5481009999999999</v>
      </c>
      <c r="J518" s="5" t="inlineStr">
        <is>
          <t>Cleaner sand</t>
        </is>
      </c>
      <c r="K518" s="11" t="n">
        <v>20.06955475077944</v>
      </c>
      <c r="L518" s="12" t="n">
        <v>1.412660288598173</v>
      </c>
      <c r="M518" s="12" t="n">
        <v>1.85</v>
      </c>
      <c r="N518" s="12" t="n">
        <v>12.0792218822443</v>
      </c>
      <c r="O518" s="12" t="n">
        <v>244.3564783654276</v>
      </c>
      <c r="P518" s="5" t="inlineStr">
        <is>
          <t>Normal</t>
        </is>
      </c>
      <c r="Q518" s="5" t="inlineStr">
        <is>
          <t>Hold</t>
        </is>
      </c>
      <c r="R518" s="12" t="n">
        <v>0.53</v>
      </c>
      <c r="S518" s="5" t="inlineStr">
        <is>
          <t>REDUCED</t>
        </is>
      </c>
      <c r="T518" s="5" t="inlineStr">
        <is>
          <t>Normal operation</t>
        </is>
      </c>
    </row>
    <row r="519" s="17">
      <c r="A519" s="7" t="n">
        <v>5920</v>
      </c>
      <c r="B519" s="8" t="n">
        <v>51140.044905</v>
      </c>
      <c r="C519" s="9" t="n">
        <v>51.140044905</v>
      </c>
      <c r="D519" s="9" t="n">
        <v>134.32651839</v>
      </c>
      <c r="E519" s="9" t="n">
        <v>67.07844523999999</v>
      </c>
      <c r="F519" s="10" t="n">
        <v>0.06695697546173032</v>
      </c>
      <c r="G519" s="10" t="n">
        <v>0.2938673519980746</v>
      </c>
      <c r="H519" s="10" t="n">
        <v>0.9648360670043873</v>
      </c>
      <c r="I519" s="10" t="n">
        <v>0.275909</v>
      </c>
      <c r="J519" s="5" t="inlineStr">
        <is>
          <t>Transition</t>
        </is>
      </c>
      <c r="K519" s="11" t="n">
        <v>16.94396009435126</v>
      </c>
      <c r="L519" s="12" t="n">
        <v>2.071903812987231</v>
      </c>
      <c r="M519" s="12" t="n">
        <v>1.85</v>
      </c>
      <c r="N519" s="12" t="n">
        <v>9.663576884857969</v>
      </c>
      <c r="O519" s="12" t="n">
        <v>250.0263696372602</v>
      </c>
      <c r="P519" s="5" t="inlineStr">
        <is>
          <t>Normal</t>
        </is>
      </c>
      <c r="Q519" s="5" t="inlineStr">
        <is>
          <t>Hold</t>
        </is>
      </c>
      <c r="R519" s="12" t="n">
        <v>0.9</v>
      </c>
      <c r="S519" s="5" t="inlineStr">
        <is>
          <t>ACCEPTED</t>
        </is>
      </c>
      <c r="T519" s="5" t="inlineStr">
        <is>
          <t>Normal operation</t>
        </is>
      </c>
    </row>
    <row r="520" s="17">
      <c r="A520" s="7" t="n">
        <v>5925</v>
      </c>
      <c r="B520" s="8" t="n">
        <v>36609.245414</v>
      </c>
      <c r="C520" s="9" t="n">
        <v>36.609245414</v>
      </c>
      <c r="D520" s="9" t="n">
        <v>129.37269207</v>
      </c>
      <c r="E520" s="9" t="n">
        <v>43.25095002</v>
      </c>
      <c r="F520" s="10" t="n">
        <v>0.04280672835625662</v>
      </c>
      <c r="G520" s="10" t="n">
        <v>0.1280999132998143</v>
      </c>
      <c r="H520" s="10" t="n">
        <v>0.9203106884752468</v>
      </c>
      <c r="I520" s="10" t="n">
        <v>0.351127</v>
      </c>
      <c r="J520" s="5" t="inlineStr">
        <is>
          <t>Cleaner sand</t>
        </is>
      </c>
      <c r="K520" s="11" t="n">
        <v>15.34831936176424</v>
      </c>
      <c r="L520" s="12" t="n">
        <v>1.927899448418676</v>
      </c>
      <c r="M520" s="12" t="n">
        <v>1.85</v>
      </c>
      <c r="N520" s="12" t="n">
        <v>8.525526846057906</v>
      </c>
      <c r="O520" s="12" t="n">
        <v>248.0685206039781</v>
      </c>
      <c r="P520" s="5" t="inlineStr">
        <is>
          <t>Normal</t>
        </is>
      </c>
      <c r="Q520" s="5" t="inlineStr">
        <is>
          <t>Build</t>
        </is>
      </c>
      <c r="R520" s="12" t="n">
        <v>0.45</v>
      </c>
      <c r="S520" s="5" t="inlineStr">
        <is>
          <t>REJECTED</t>
        </is>
      </c>
      <c r="T520" s="5" t="inlineStr">
        <is>
          <t>Normal operation</t>
        </is>
      </c>
    </row>
    <row r="521" s="17">
      <c r="A521" s="7" t="n">
        <v>5930</v>
      </c>
      <c r="B521" s="8" t="n">
        <v>67984.338709</v>
      </c>
      <c r="C521" s="9" t="n">
        <v>67.984338709</v>
      </c>
      <c r="D521" s="9" t="n">
        <v>145.12337556</v>
      </c>
      <c r="E521" s="9" t="n">
        <v>42.8038934</v>
      </c>
      <c r="F521" s="10" t="n">
        <v>0.04054959561790948</v>
      </c>
      <c r="G521" s="10" t="n">
        <v>0.3626303516913526</v>
      </c>
      <c r="H521" s="10" t="n">
        <v>0.9341253570003627</v>
      </c>
      <c r="I521" s="10" t="n">
        <v>0.272889</v>
      </c>
      <c r="J521" s="5" t="inlineStr">
        <is>
          <t>Transition</t>
        </is>
      </c>
      <c r="K521" s="11" t="n">
        <v>21.77093238325062</v>
      </c>
      <c r="L521" s="12" t="n">
        <v>1.54292327140685</v>
      </c>
      <c r="M521" s="12" t="n">
        <v>1.85</v>
      </c>
      <c r="N521" s="12" t="n">
        <v>10.1888543193979</v>
      </c>
      <c r="O521" s="12" t="n">
        <v>246.2475906531474</v>
      </c>
      <c r="P521" s="5" t="inlineStr">
        <is>
          <t>Normal</t>
        </is>
      </c>
      <c r="Q521" s="5" t="inlineStr">
        <is>
          <t>Hold</t>
        </is>
      </c>
      <c r="R521" s="12" t="n">
        <v>0.54</v>
      </c>
      <c r="S521" s="5" t="inlineStr">
        <is>
          <t>REDUCED</t>
        </is>
      </c>
      <c r="T521" s="5" t="inlineStr">
        <is>
          <t>Normal operation</t>
        </is>
      </c>
    </row>
    <row r="522" s="17">
      <c r="A522" s="7" t="n">
        <v>5935</v>
      </c>
      <c r="B522" s="8" t="n">
        <v>45612.867172</v>
      </c>
      <c r="C522" s="9" t="n">
        <v>45.612867172</v>
      </c>
      <c r="D522" s="9" t="n">
        <v>142.34520476</v>
      </c>
      <c r="E522" s="9" t="n">
        <v>63.00681068</v>
      </c>
      <c r="F522" s="10" t="n">
        <v>0.05513868796862791</v>
      </c>
      <c r="G522" s="10" t="n">
        <v>0.07840559913998936</v>
      </c>
      <c r="H522" s="10" t="n">
        <v>0.9861077617077414</v>
      </c>
      <c r="I522" s="10" t="n">
        <v>0.069967</v>
      </c>
      <c r="J522" s="5" t="inlineStr">
        <is>
          <t>Cleaner sand</t>
        </is>
      </c>
      <c r="K522" s="11" t="n">
        <v>15.23554253710602</v>
      </c>
      <c r="L522" s="12" t="n">
        <v>1.480256038210803</v>
      </c>
      <c r="M522" s="12" t="n">
        <v>1.85</v>
      </c>
      <c r="N522" s="12" t="n">
        <v>9.628277943494776</v>
      </c>
      <c r="O522" s="12" t="n">
        <v>250.1880981222356</v>
      </c>
      <c r="P522" s="5" t="inlineStr">
        <is>
          <t>Normal</t>
        </is>
      </c>
      <c r="Q522" s="5" t="inlineStr">
        <is>
          <t>Build</t>
        </is>
      </c>
      <c r="R522" s="12" t="n">
        <v>0.76</v>
      </c>
      <c r="S522" s="5" t="inlineStr">
        <is>
          <t>ACCEPTED</t>
        </is>
      </c>
      <c r="T522" s="5" t="inlineStr">
        <is>
          <t>Normal operation</t>
        </is>
      </c>
    </row>
    <row r="523" s="17">
      <c r="A523" s="7" t="n">
        <v>5940</v>
      </c>
      <c r="B523" s="8" t="n">
        <v>56864.495443</v>
      </c>
      <c r="C523" s="9" t="n">
        <v>56.864495443</v>
      </c>
      <c r="D523" s="9" t="n">
        <v>134.47482501</v>
      </c>
      <c r="E523" s="9" t="n">
        <v>37.38523746</v>
      </c>
      <c r="F523" s="10" t="n">
        <v>0.1356099111928655</v>
      </c>
      <c r="G523" s="10" t="n">
        <v>0.2209637390946421</v>
      </c>
      <c r="H523" s="10" t="n">
        <v>0.9406024699994009</v>
      </c>
      <c r="I523" s="10" t="n">
        <v>0.797143</v>
      </c>
      <c r="J523" s="5" t="inlineStr">
        <is>
          <t>Cleaner sand</t>
        </is>
      </c>
      <c r="K523" s="11" t="n">
        <v>19.51772578769459</v>
      </c>
      <c r="L523" s="12" t="n">
        <v>1.468038506968527</v>
      </c>
      <c r="M523" s="12" t="n">
        <v>1.85</v>
      </c>
      <c r="N523" s="12" t="n">
        <v>9.756487280191024</v>
      </c>
      <c r="O523" s="12" t="n">
        <v>232.8767405440355</v>
      </c>
      <c r="P523" s="5" t="inlineStr">
        <is>
          <t>Normal</t>
        </is>
      </c>
      <c r="Q523" s="5" t="inlineStr">
        <is>
          <t>Build</t>
        </is>
      </c>
      <c r="R523" s="12" t="n">
        <v>0.77</v>
      </c>
      <c r="S523" s="5" t="inlineStr">
        <is>
          <t>ACCEPTED</t>
        </is>
      </c>
      <c r="T523" s="5" t="inlineStr">
        <is>
          <t>Normal operation</t>
        </is>
      </c>
    </row>
    <row r="524" s="17">
      <c r="A524" s="7" t="n">
        <v>5945</v>
      </c>
      <c r="B524" s="8" t="n">
        <v>68833.526025</v>
      </c>
      <c r="C524" s="9" t="n">
        <v>68.833526025</v>
      </c>
      <c r="D524" s="9" t="n">
        <v>117.62113067</v>
      </c>
      <c r="E524" s="9" t="n">
        <v>47.54408298</v>
      </c>
      <c r="F524" s="10" t="n">
        <v>0.07773241417845653</v>
      </c>
      <c r="G524" s="10" t="n">
        <v>0.2759924300300846</v>
      </c>
      <c r="H524" s="10" t="n">
        <v>0.9286119621418339</v>
      </c>
      <c r="I524" s="10" t="n">
        <v>0.564265</v>
      </c>
      <c r="J524" s="5" t="inlineStr">
        <is>
          <t>Transition</t>
        </is>
      </c>
      <c r="K524" s="11" t="n">
        <v>20.51310541365047</v>
      </c>
      <c r="L524" s="12" t="n">
        <v>1.208019009595734</v>
      </c>
      <c r="M524" s="12" t="n">
        <v>1.85</v>
      </c>
      <c r="N524" s="12" t="n">
        <v>9.321714974913908</v>
      </c>
      <c r="O524" s="12" t="n">
        <v>233.4671055987737</v>
      </c>
      <c r="P524" s="5" t="inlineStr">
        <is>
          <t>Normal</t>
        </is>
      </c>
      <c r="Q524" s="5" t="inlineStr">
        <is>
          <t>Build</t>
        </is>
      </c>
      <c r="R524" s="12" t="n">
        <v>0.57</v>
      </c>
      <c r="S524" s="5" t="inlineStr">
        <is>
          <t>REDUCED</t>
        </is>
      </c>
      <c r="T524" s="5" t="inlineStr">
        <is>
          <t>Normal operation</t>
        </is>
      </c>
    </row>
    <row r="525" s="17">
      <c r="A525" s="7" t="n">
        <v>5950</v>
      </c>
      <c r="B525" s="8" t="n">
        <v>39097.505242</v>
      </c>
      <c r="C525" s="9" t="n">
        <v>39.097505242</v>
      </c>
      <c r="D525" s="9" t="n">
        <v>122.06595124</v>
      </c>
      <c r="E525" s="9" t="n">
        <v>77.06245774</v>
      </c>
      <c r="F525" s="10" t="n">
        <v>0.04124946743087714</v>
      </c>
      <c r="G525" s="10" t="n">
        <v>0.2257670787026895</v>
      </c>
      <c r="H525" s="10" t="n">
        <v>0.9330104059122816</v>
      </c>
      <c r="I525" s="10" t="n">
        <v>0.285721</v>
      </c>
      <c r="J525" s="5" t="inlineStr">
        <is>
          <t>Cleaner sand</t>
        </is>
      </c>
      <c r="K525" s="11" t="n">
        <v>16.27723052069049</v>
      </c>
      <c r="L525" s="12" t="n">
        <v>2.451534087840026</v>
      </c>
      <c r="M525" s="12" t="n">
        <v>1.85</v>
      </c>
      <c r="N525" s="12" t="n">
        <v>9.50932435876206</v>
      </c>
      <c r="O525" s="12" t="n">
        <v>232.6380571886425</v>
      </c>
      <c r="P525" s="5" t="inlineStr">
        <is>
          <t>Normal</t>
        </is>
      </c>
      <c r="Q525" s="5" t="inlineStr">
        <is>
          <t>Build</t>
        </is>
      </c>
      <c r="R525" s="12" t="n">
        <v>0.79</v>
      </c>
      <c r="S525" s="5" t="inlineStr">
        <is>
          <t>ACCEPTED</t>
        </is>
      </c>
      <c r="T525" s="5" t="inlineStr">
        <is>
          <t>Normal operation</t>
        </is>
      </c>
    </row>
    <row r="526" s="17">
      <c r="A526" s="7" t="n">
        <v>5955</v>
      </c>
      <c r="B526" s="8" t="n">
        <v>41270.8573</v>
      </c>
      <c r="C526" s="9" t="n">
        <v>41.2708573</v>
      </c>
      <c r="D526" s="9" t="n">
        <v>121.81594592</v>
      </c>
      <c r="E526" s="9" t="n">
        <v>39.11437556</v>
      </c>
      <c r="F526" s="10" t="n">
        <v>0.1091080205369968</v>
      </c>
      <c r="G526" s="10" t="n">
        <v>0.162735587004572</v>
      </c>
      <c r="H526" s="10" t="n">
        <v>0.9233549637727688</v>
      </c>
      <c r="I526" s="10" t="n">
        <v>0.83443</v>
      </c>
      <c r="J526" s="5" t="inlineStr">
        <is>
          <t>Cleaner sand</t>
        </is>
      </c>
      <c r="K526" s="11" t="n">
        <v>15.34309914192938</v>
      </c>
      <c r="L526" s="12" t="n">
        <v>1.502062970086443</v>
      </c>
      <c r="M526" s="12" t="n">
        <v>1.85</v>
      </c>
      <c r="N526" s="12" t="n">
        <v>10.51125519467648</v>
      </c>
      <c r="O526" s="12" t="n">
        <v>230.948262452283</v>
      </c>
      <c r="P526" s="5" t="inlineStr">
        <is>
          <t>Normal</t>
        </is>
      </c>
      <c r="Q526" s="5" t="inlineStr">
        <is>
          <t>Turn Right</t>
        </is>
      </c>
      <c r="R526" s="12" t="n">
        <v>0.61</v>
      </c>
      <c r="S526" s="5" t="inlineStr">
        <is>
          <t>REDUCED</t>
        </is>
      </c>
      <c r="T526" s="5" t="inlineStr">
        <is>
          <t>Normal operation</t>
        </is>
      </c>
    </row>
    <row r="527" s="17">
      <c r="A527" s="7" t="n">
        <v>5960</v>
      </c>
      <c r="B527" s="8" t="n">
        <v>55718.63547</v>
      </c>
      <c r="C527" s="9" t="n">
        <v>55.71863547</v>
      </c>
      <c r="D527" s="9" t="n">
        <v>160.25688659</v>
      </c>
      <c r="E527" s="9" t="n">
        <v>47.79487998</v>
      </c>
      <c r="F527" s="10" t="n">
        <v>0.07483453683409685</v>
      </c>
      <c r="G527" s="10" t="n">
        <v>0.3245165855229052</v>
      </c>
      <c r="H527" s="10" t="n">
        <v>0.9559605416741126</v>
      </c>
      <c r="I527" s="10" t="n">
        <v>0.375825</v>
      </c>
      <c r="J527" s="5" t="inlineStr">
        <is>
          <t>Transition</t>
        </is>
      </c>
      <c r="K527" s="11" t="n">
        <v>16.95873506419491</v>
      </c>
      <c r="L527" s="12" t="n">
        <v>2.256407675204493</v>
      </c>
      <c r="M527" s="12" t="n">
        <v>1.85</v>
      </c>
      <c r="N527" s="12" t="n">
        <v>9.146838664937139</v>
      </c>
      <c r="O527" s="12" t="n">
        <v>227.2070670076305</v>
      </c>
      <c r="P527" s="5" t="inlineStr">
        <is>
          <t>Normal</t>
        </is>
      </c>
      <c r="Q527" s="5" t="inlineStr">
        <is>
          <t>Build</t>
        </is>
      </c>
      <c r="R527" s="12" t="n">
        <v>0.4</v>
      </c>
      <c r="S527" s="5" t="inlineStr">
        <is>
          <t>REJECTED</t>
        </is>
      </c>
      <c r="T527" s="5" t="inlineStr">
        <is>
          <t>Normal operation</t>
        </is>
      </c>
    </row>
    <row r="528" s="17">
      <c r="A528" s="7" t="n">
        <v>5965</v>
      </c>
      <c r="B528" s="8" t="n">
        <v>51324.233517</v>
      </c>
      <c r="C528" s="9" t="n">
        <v>51.324233517</v>
      </c>
      <c r="D528" s="9" t="n">
        <v>130.28615676</v>
      </c>
      <c r="E528" s="9" t="n">
        <v>41.34050992</v>
      </c>
      <c r="F528" s="10" t="n">
        <v>0.0528140295758952</v>
      </c>
      <c r="G528" s="10" t="n">
        <v>0.2396110670927216</v>
      </c>
      <c r="H528" s="10" t="n">
        <v>0.9077351527172134</v>
      </c>
      <c r="I528" s="10" t="n">
        <v>0.470763</v>
      </c>
      <c r="J528" s="5" t="inlineStr">
        <is>
          <t>Cleaner sand</t>
        </is>
      </c>
      <c r="K528" s="11" t="n">
        <v>16.3278491704456</v>
      </c>
      <c r="L528" s="12" t="n">
        <v>2.405444865442001</v>
      </c>
      <c r="M528" s="12" t="n">
        <v>1.85</v>
      </c>
      <c r="N528" s="12" t="n">
        <v>6.822299062489741</v>
      </c>
      <c r="O528" s="12" t="n">
        <v>227.4798761952124</v>
      </c>
      <c r="P528" s="5" t="inlineStr">
        <is>
          <t>Normal</t>
        </is>
      </c>
      <c r="Q528" s="5" t="inlineStr">
        <is>
          <t>Build</t>
        </is>
      </c>
      <c r="R528" s="12" t="n">
        <v>0.49</v>
      </c>
      <c r="S528" s="5" t="inlineStr">
        <is>
          <t>REJECTED</t>
        </is>
      </c>
      <c r="T528" s="5" t="inlineStr">
        <is>
          <t>Normal operation</t>
        </is>
      </c>
    </row>
    <row r="529" s="17">
      <c r="A529" s="7" t="n">
        <v>5970</v>
      </c>
      <c r="B529" s="8" t="n">
        <v>45569.548174</v>
      </c>
      <c r="C529" s="9" t="n">
        <v>45.569548174</v>
      </c>
      <c r="D529" s="9" t="n">
        <v>140.96903489</v>
      </c>
      <c r="E529" s="9" t="n">
        <v>52.01111416000001</v>
      </c>
      <c r="F529" s="10" t="n">
        <v>0.08617412609116767</v>
      </c>
      <c r="G529" s="10" t="n">
        <v>0.2294368751860115</v>
      </c>
      <c r="H529" s="10" t="n">
        <v>0.9226173305185893</v>
      </c>
      <c r="I529" s="10" t="n">
        <v>0.651046</v>
      </c>
      <c r="J529" s="5" t="inlineStr">
        <is>
          <t>Cleaner sand</t>
        </is>
      </c>
      <c r="K529" s="11" t="n">
        <v>16.94506546430012</v>
      </c>
      <c r="L529" s="12" t="n">
        <v>2.1491723400925</v>
      </c>
      <c r="M529" s="12" t="n">
        <v>1.85</v>
      </c>
      <c r="N529" s="12" t="n">
        <v>9.736729632401616</v>
      </c>
      <c r="O529" s="12" t="n">
        <v>228.5729298875202</v>
      </c>
      <c r="P529" s="5" t="inlineStr">
        <is>
          <t>Normal</t>
        </is>
      </c>
      <c r="Q529" s="5" t="inlineStr">
        <is>
          <t>Build</t>
        </is>
      </c>
      <c r="R529" s="12" t="n">
        <v>0.89</v>
      </c>
      <c r="S529" s="5" t="inlineStr">
        <is>
          <t>ACCEPTED</t>
        </is>
      </c>
      <c r="T529" s="5" t="inlineStr">
        <is>
          <t>Normal operation</t>
        </is>
      </c>
    </row>
    <row r="530" s="17">
      <c r="A530" s="7" t="n">
        <v>5975</v>
      </c>
      <c r="B530" s="8" t="n">
        <v>55383.95706</v>
      </c>
      <c r="C530" s="9" t="n">
        <v>55.38395706</v>
      </c>
      <c r="D530" s="9" t="n">
        <v>159.87159946</v>
      </c>
      <c r="E530" s="9" t="n">
        <v>43.13852802</v>
      </c>
      <c r="F530" s="10" t="n">
        <v>0.1181611181445039</v>
      </c>
      <c r="G530" s="10" t="n">
        <v>0.3371267002911975</v>
      </c>
      <c r="H530" s="10" t="n">
        <v>0.8653521653177929</v>
      </c>
      <c r="I530" s="10" t="n">
        <v>1.5991</v>
      </c>
      <c r="J530" s="5" t="inlineStr">
        <is>
          <t>Transition</t>
        </is>
      </c>
      <c r="K530" s="11" t="n">
        <v>18.96178506891913</v>
      </c>
      <c r="L530" s="12" t="n">
        <v>1.448506046768156</v>
      </c>
      <c r="M530" s="12" t="n">
        <v>1.85</v>
      </c>
      <c r="N530" s="12" t="n">
        <v>9.876743569212968</v>
      </c>
      <c r="O530" s="12" t="n">
        <v>221.2081025002006</v>
      </c>
      <c r="P530" s="5" t="inlineStr">
        <is>
          <t>Normal</t>
        </is>
      </c>
      <c r="Q530" s="5" t="inlineStr">
        <is>
          <t>Turn Right</t>
        </is>
      </c>
      <c r="R530" s="12" t="n">
        <v>0.52</v>
      </c>
      <c r="S530" s="5" t="inlineStr">
        <is>
          <t>REDUCED</t>
        </is>
      </c>
      <c r="T530" s="5" t="inlineStr">
        <is>
          <t>Normal operation</t>
        </is>
      </c>
    </row>
    <row r="531" s="17">
      <c r="A531" s="7" t="n">
        <v>5980</v>
      </c>
      <c r="B531" s="8" t="n">
        <v>51068.167799</v>
      </c>
      <c r="C531" s="9" t="n">
        <v>51.068167799</v>
      </c>
      <c r="D531" s="9" t="n">
        <v>143.68529857</v>
      </c>
      <c r="E531" s="9" t="n">
        <v>42.18177662</v>
      </c>
      <c r="F531" s="10" t="n">
        <v>0.04238424344732265</v>
      </c>
      <c r="G531" s="10" t="n">
        <v>0.1788014050105922</v>
      </c>
      <c r="H531" s="10" t="n">
        <v>0.9237955080193383</v>
      </c>
      <c r="I531" s="10" t="n">
        <v>0.368322</v>
      </c>
      <c r="J531" s="5" t="inlineStr">
        <is>
          <t>Cleaner sand</t>
        </is>
      </c>
      <c r="K531" s="11" t="n">
        <v>17.00397895977167</v>
      </c>
      <c r="L531" s="12" t="n">
        <v>1.857827744264938</v>
      </c>
      <c r="M531" s="12" t="n">
        <v>1.85</v>
      </c>
      <c r="N531" s="12" t="n">
        <v>11.62016510434668</v>
      </c>
      <c r="O531" s="12" t="n">
        <v>219.1057790055885</v>
      </c>
      <c r="P531" s="5" t="inlineStr">
        <is>
          <t>Normal</t>
        </is>
      </c>
      <c r="Q531" s="5" t="inlineStr">
        <is>
          <t>Turn Right</t>
        </is>
      </c>
      <c r="R531" s="12" t="n">
        <v>0.46</v>
      </c>
      <c r="S531" s="5" t="inlineStr">
        <is>
          <t>REJECTED</t>
        </is>
      </c>
      <c r="T531" s="5" t="inlineStr">
        <is>
          <t>Normal operation</t>
        </is>
      </c>
    </row>
    <row r="532" s="17">
      <c r="A532" s="7" t="n">
        <v>5985</v>
      </c>
      <c r="B532" s="8" t="n">
        <v>57991.597862</v>
      </c>
      <c r="C532" s="9" t="n">
        <v>57.991597862</v>
      </c>
      <c r="D532" s="9" t="n">
        <v>133.62074717</v>
      </c>
      <c r="E532" s="9" t="n">
        <v>57.39434446</v>
      </c>
      <c r="F532" s="10" t="n">
        <v>0.1033076724482699</v>
      </c>
      <c r="G532" s="10" t="n">
        <v>0.3426948335685137</v>
      </c>
      <c r="H532" s="10" t="n">
        <v>0.9381800085228342</v>
      </c>
      <c r="I532" s="10" t="n">
        <v>0.647968</v>
      </c>
      <c r="J532" s="5" t="inlineStr">
        <is>
          <t>Transition</t>
        </is>
      </c>
      <c r="K532" s="11" t="n">
        <v>19.82025656469857</v>
      </c>
      <c r="L532" s="12" t="n">
        <v>1.648144152868451</v>
      </c>
      <c r="M532" s="12" t="n">
        <v>1.85</v>
      </c>
      <c r="N532" s="12" t="n">
        <v>5.84049581907226</v>
      </c>
      <c r="O532" s="12" t="n">
        <v>196.1847998195288</v>
      </c>
      <c r="P532" s="5" t="inlineStr">
        <is>
          <t>Normal</t>
        </is>
      </c>
      <c r="Q532" s="5" t="inlineStr">
        <is>
          <t>Build</t>
        </is>
      </c>
      <c r="R532" s="12" t="n">
        <v>0.78</v>
      </c>
      <c r="S532" s="5" t="inlineStr">
        <is>
          <t>ACCEPTED</t>
        </is>
      </c>
      <c r="T532" s="5" t="inlineStr">
        <is>
          <t>Normal operation</t>
        </is>
      </c>
    </row>
    <row r="533" s="17">
      <c r="A533" s="7" t="n">
        <v>5990</v>
      </c>
      <c r="B533" s="8" t="n">
        <v>43052.251005</v>
      </c>
      <c r="C533" s="9" t="n">
        <v>43.052251005</v>
      </c>
      <c r="D533" s="9" t="n">
        <v>126.21794922</v>
      </c>
      <c r="E533" s="9" t="n">
        <v>69.62741113999999</v>
      </c>
      <c r="F533" s="10" t="n">
        <v>0.03656235341647989</v>
      </c>
      <c r="G533" s="10" t="n">
        <v>0.04417910993703874</v>
      </c>
      <c r="H533" s="10" t="n">
        <v>0.9510289109712747</v>
      </c>
      <c r="I533" s="10" t="n">
        <v>0.208595</v>
      </c>
      <c r="J533" s="5" t="inlineStr">
        <is>
          <t>Cleaner sand</t>
        </is>
      </c>
      <c r="K533" s="11" t="n">
        <v>14.77247506460935</v>
      </c>
      <c r="L533" s="12" t="n">
        <v>1.217186088242237</v>
      </c>
      <c r="M533" s="12" t="n">
        <v>1.85</v>
      </c>
      <c r="N533" s="12" t="n">
        <v>7.39533139218186</v>
      </c>
      <c r="O533" s="12" t="n">
        <v>210.1029309902252</v>
      </c>
      <c r="P533" s="5" t="inlineStr">
        <is>
          <t>Normal</t>
        </is>
      </c>
      <c r="Q533" s="5" t="inlineStr">
        <is>
          <t>Build</t>
        </is>
      </c>
      <c r="R533" s="12" t="n">
        <v>0.64</v>
      </c>
      <c r="S533" s="5" t="inlineStr">
        <is>
          <t>REDUCED</t>
        </is>
      </c>
      <c r="T533" s="5" t="inlineStr">
        <is>
          <t>Normal operation</t>
        </is>
      </c>
    </row>
    <row r="534" s="17">
      <c r="A534" s="7" t="n">
        <v>5995</v>
      </c>
      <c r="B534" s="8" t="n">
        <v>52891.269258</v>
      </c>
      <c r="C534" s="9" t="n">
        <v>52.891269258</v>
      </c>
      <c r="D534" s="9" t="n">
        <v>129.21090986</v>
      </c>
      <c r="E534" s="9" t="n">
        <v>58.25555438</v>
      </c>
      <c r="F534" s="10" t="n">
        <v>0.07183240984020588</v>
      </c>
      <c r="G534" s="10" t="n">
        <v>0.2485109452534762</v>
      </c>
      <c r="H534" s="10" t="n">
        <v>0.9222480194970335</v>
      </c>
      <c r="I534" s="10" t="n">
        <v>0.5398230000000001</v>
      </c>
      <c r="J534" s="5" t="inlineStr">
        <is>
          <t>Cleaner sand</t>
        </is>
      </c>
      <c r="K534" s="11" t="n">
        <v>18.17752357260598</v>
      </c>
      <c r="L534" s="12" t="n">
        <v>1.818936048043585</v>
      </c>
      <c r="M534" s="12" t="n">
        <v>1.85</v>
      </c>
      <c r="N534" s="12" t="n">
        <v>4.151403173743583</v>
      </c>
      <c r="O534" s="12" t="n">
        <v>212.1529740239903</v>
      </c>
      <c r="P534" s="5" t="inlineStr">
        <is>
          <t>Normal</t>
        </is>
      </c>
      <c r="Q534" s="5" t="inlineStr">
        <is>
          <t>Build</t>
        </is>
      </c>
      <c r="R534" s="12" t="n">
        <v>0.84</v>
      </c>
      <c r="S534" s="5" t="inlineStr">
        <is>
          <t>ACCEPTED</t>
        </is>
      </c>
      <c r="T534" s="5" t="inlineStr">
        <is>
          <t>Normal operation</t>
        </is>
      </c>
    </row>
    <row r="535" s="17">
      <c r="A535" s="7" t="n">
        <v>6000</v>
      </c>
      <c r="B535" s="8" t="n">
        <v>55982.2536</v>
      </c>
      <c r="C535" s="9" t="n">
        <v>55.98225359999999</v>
      </c>
      <c r="D535" s="9" t="n">
        <v>129.54904267</v>
      </c>
      <c r="E535" s="9" t="n">
        <v>60.72137966</v>
      </c>
      <c r="F535" s="10" t="n">
        <v>0.1595067375468134</v>
      </c>
      <c r="G535" s="10" t="n">
        <v>0.08083398139048042</v>
      </c>
      <c r="H535" s="10" t="n">
        <v>0.9259706557834188</v>
      </c>
      <c r="I535" s="10" t="n">
        <v>1.19786</v>
      </c>
      <c r="J535" s="5" t="inlineStr">
        <is>
          <t>Cleaner sand</t>
        </is>
      </c>
      <c r="K535" s="11" t="n">
        <v>17.60108604045185</v>
      </c>
      <c r="L535" s="12" t="n">
        <v>1.1</v>
      </c>
      <c r="M535" s="12" t="n">
        <v>1.85</v>
      </c>
      <c r="N535" s="12" t="n">
        <v>7.355772103985018</v>
      </c>
      <c r="O535" s="12" t="n">
        <v>212.5748010497989</v>
      </c>
      <c r="P535" s="5" t="inlineStr">
        <is>
          <t>Normal</t>
        </is>
      </c>
      <c r="Q535" s="5" t="inlineStr">
        <is>
          <t>Build</t>
        </is>
      </c>
      <c r="R535" s="12" t="n">
        <v>0.87</v>
      </c>
      <c r="S535" s="5" t="inlineStr">
        <is>
          <t>ACCEPTED</t>
        </is>
      </c>
      <c r="T535" s="5" t="inlineStr">
        <is>
          <t>Normal operation</t>
        </is>
      </c>
    </row>
    <row r="536" s="17">
      <c r="A536" s="7" t="n">
        <v>6005</v>
      </c>
      <c r="B536" s="8" t="n">
        <v>65472.614611</v>
      </c>
      <c r="C536" s="9" t="n">
        <v>65.472614611</v>
      </c>
      <c r="D536" s="9" t="n">
        <v>154.87369915</v>
      </c>
      <c r="E536" s="9" t="n">
        <v>48.41110506</v>
      </c>
      <c r="F536" s="10" t="n">
        <v>0.1130614512540577</v>
      </c>
      <c r="G536" s="10" t="n">
        <v>0.3453098759815081</v>
      </c>
      <c r="H536" s="10" t="n">
        <v>0.9026539529406521</v>
      </c>
      <c r="I536" s="10" t="n">
        <v>1.146521</v>
      </c>
      <c r="J536" s="5" t="inlineStr">
        <is>
          <t>Transition</t>
        </is>
      </c>
      <c r="K536" s="11" t="n">
        <v>19.9057487696015</v>
      </c>
      <c r="L536" s="12" t="n">
        <v>2.241962900346166</v>
      </c>
      <c r="M536" s="12" t="n">
        <v>1.85</v>
      </c>
      <c r="N536" s="12" t="n">
        <v>5.702564525878007</v>
      </c>
      <c r="O536" s="12" t="n">
        <v>196.465739095669</v>
      </c>
      <c r="P536" s="5" t="inlineStr">
        <is>
          <t>Normal</t>
        </is>
      </c>
      <c r="Q536" s="5" t="inlineStr">
        <is>
          <t>Build</t>
        </is>
      </c>
      <c r="R536" s="12" t="n">
        <v>0.87</v>
      </c>
      <c r="S536" s="5" t="inlineStr">
        <is>
          <t>ACCEPTED</t>
        </is>
      </c>
      <c r="T536" s="5" t="inlineStr">
        <is>
          <t>Normal operation</t>
        </is>
      </c>
    </row>
    <row r="537" s="17">
      <c r="A537" s="7" t="n">
        <v>6010</v>
      </c>
      <c r="B537" s="8" t="n">
        <v>36145.063484</v>
      </c>
      <c r="C537" s="9" t="n">
        <v>36.145063484</v>
      </c>
      <c r="D537" s="9" t="n">
        <v>150.06158167</v>
      </c>
      <c r="E537" s="9" t="n">
        <v>65.98434793999999</v>
      </c>
      <c r="F537" s="10" t="n">
        <v>0.06274834992109386</v>
      </c>
      <c r="G537" s="10" t="n">
        <v>0.1908220537767806</v>
      </c>
      <c r="H537" s="10" t="n">
        <v>0.9478567605949656</v>
      </c>
      <c r="I537" s="10" t="n">
        <v>0.319773</v>
      </c>
      <c r="J537" s="5" t="inlineStr">
        <is>
          <t>Cleaner sand</t>
        </is>
      </c>
      <c r="K537" s="11" t="n">
        <v>15.21101263189954</v>
      </c>
      <c r="L537" s="12" t="n">
        <v>1.432337524323787</v>
      </c>
      <c r="M537" s="12" t="n">
        <v>1.85</v>
      </c>
      <c r="N537" s="12" t="n">
        <v>8.694251159570015</v>
      </c>
      <c r="O537" s="12" t="n">
        <v>195.0846792552473</v>
      </c>
      <c r="P537" s="5" t="inlineStr">
        <is>
          <t>Normal</t>
        </is>
      </c>
      <c r="Q537" s="5" t="inlineStr">
        <is>
          <t>Turn Right</t>
        </is>
      </c>
      <c r="R537" s="12" t="n">
        <v>0.57</v>
      </c>
      <c r="S537" s="5" t="inlineStr">
        <is>
          <t>REDUCED</t>
        </is>
      </c>
      <c r="T537" s="5" t="inlineStr">
        <is>
          <t>Normal operation</t>
        </is>
      </c>
    </row>
    <row r="538" s="17">
      <c r="A538" s="7" t="n">
        <v>6015</v>
      </c>
      <c r="B538" s="8" t="n">
        <v>45763.307063</v>
      </c>
      <c r="C538" s="9" t="n">
        <v>45.763307063</v>
      </c>
      <c r="D538" s="9" t="n">
        <v>155.09279189</v>
      </c>
      <c r="E538" s="9" t="n">
        <v>59.14340118</v>
      </c>
      <c r="F538" s="10" t="n">
        <v>0.0913588412620491</v>
      </c>
      <c r="G538" s="10" t="n">
        <v>0.09804940720170863</v>
      </c>
      <c r="H538" s="10" t="n">
        <v>0.9207430657695375</v>
      </c>
      <c r="I538" s="10" t="n">
        <v>0.7246629999999999</v>
      </c>
      <c r="J538" s="5" t="inlineStr">
        <is>
          <t>Cleaner sand</t>
        </is>
      </c>
      <c r="K538" s="11" t="n">
        <v>16.07220360244963</v>
      </c>
      <c r="L538" s="12" t="n">
        <v>1.758568231377691</v>
      </c>
      <c r="M538" s="12" t="n">
        <v>1.85</v>
      </c>
      <c r="N538" s="12" t="n">
        <v>5.010301577038131</v>
      </c>
      <c r="O538" s="12" t="n">
        <v>194.4069206670346</v>
      </c>
      <c r="P538" s="5" t="inlineStr">
        <is>
          <t>Normal</t>
        </is>
      </c>
      <c r="Q538" s="5" t="inlineStr">
        <is>
          <t>Build</t>
        </is>
      </c>
      <c r="R538" s="12" t="n">
        <v>0.68</v>
      </c>
      <c r="S538" s="5" t="inlineStr">
        <is>
          <t>REDUCED</t>
        </is>
      </c>
      <c r="T538" s="5" t="inlineStr">
        <is>
          <t>Normal operation</t>
        </is>
      </c>
    </row>
    <row r="539" s="17">
      <c r="A539" s="7" t="n">
        <v>6020</v>
      </c>
      <c r="B539" s="8" t="n">
        <v>70080.58818799999</v>
      </c>
      <c r="C539" s="9" t="n">
        <v>70.08058818799999</v>
      </c>
      <c r="D539" s="9" t="n">
        <v>151.4942493</v>
      </c>
      <c r="E539" s="9" t="n">
        <v>52.09509282</v>
      </c>
      <c r="F539" s="10" t="n">
        <v>0.05228262871209455</v>
      </c>
      <c r="G539" s="10" t="n">
        <v>0.2560617463598337</v>
      </c>
      <c r="H539" s="10" t="n">
        <v>0.8840620118393421</v>
      </c>
      <c r="I539" s="10" t="n">
        <v>0.655646</v>
      </c>
      <c r="J539" s="5" t="inlineStr">
        <is>
          <t>Transition</t>
        </is>
      </c>
      <c r="K539" s="11" t="n">
        <v>21.02053533025426</v>
      </c>
      <c r="L539" s="12" t="n">
        <v>1.798811057057609</v>
      </c>
      <c r="M539" s="12" t="n">
        <v>1.85</v>
      </c>
      <c r="N539" s="12" t="n">
        <v>3.95977139320311</v>
      </c>
      <c r="O539" s="12" t="n">
        <v>204.176462507464</v>
      </c>
      <c r="P539" s="5" t="inlineStr">
        <is>
          <t>Normal</t>
        </is>
      </c>
      <c r="Q539" s="5" t="inlineStr">
        <is>
          <t>Build</t>
        </is>
      </c>
      <c r="R539" s="12" t="n">
        <v>0.76</v>
      </c>
      <c r="S539" s="5" t="inlineStr">
        <is>
          <t>ACCEPTED</t>
        </is>
      </c>
      <c r="T539" s="5" t="inlineStr">
        <is>
          <t>WOB outside preferred band</t>
        </is>
      </c>
    </row>
    <row r="540" s="17">
      <c r="A540" s="7" t="n">
        <v>6025</v>
      </c>
      <c r="B540" s="8" t="n">
        <v>48564.973256</v>
      </c>
      <c r="C540" s="9" t="n">
        <v>48.56497325599999</v>
      </c>
      <c r="D540" s="9" t="n">
        <v>131.10420635</v>
      </c>
      <c r="E540" s="9" t="n">
        <v>42.33374312</v>
      </c>
      <c r="F540" s="10" t="n">
        <v>0.04228280226024926</v>
      </c>
      <c r="G540" s="10" t="n">
        <v>0.04066661257562384</v>
      </c>
      <c r="H540" s="10" t="n">
        <v>0.9493344158290292</v>
      </c>
      <c r="I540" s="10" t="n">
        <v>0.240706</v>
      </c>
      <c r="J540" s="5" t="inlineStr">
        <is>
          <t>Cleaner sand</t>
        </is>
      </c>
      <c r="K540" s="11" t="n">
        <v>18.45419678124783</v>
      </c>
      <c r="L540" s="12" t="n">
        <v>1.533136562885002</v>
      </c>
      <c r="M540" s="12" t="n">
        <v>1.85</v>
      </c>
      <c r="N540" s="12" t="n">
        <v>5.681474784145547</v>
      </c>
      <c r="O540" s="12" t="n">
        <v>208.0110155271447</v>
      </c>
      <c r="P540" s="5" t="inlineStr">
        <is>
          <t>Normal</t>
        </is>
      </c>
      <c r="Q540" s="5" t="inlineStr">
        <is>
          <t>Build</t>
        </is>
      </c>
      <c r="R540" s="12" t="n">
        <v>0.58</v>
      </c>
      <c r="S540" s="5" t="inlineStr">
        <is>
          <t>REDUCED</t>
        </is>
      </c>
      <c r="T540" s="5" t="inlineStr">
        <is>
          <t>Normal operation</t>
        </is>
      </c>
    </row>
    <row r="541" s="17">
      <c r="A541" s="7" t="n">
        <v>6030</v>
      </c>
      <c r="B541" s="8" t="n">
        <v>41296.805915</v>
      </c>
      <c r="C541" s="9" t="n">
        <v>41.296805915</v>
      </c>
      <c r="D541" s="9" t="n">
        <v>125.15127397</v>
      </c>
      <c r="E541" s="9" t="n">
        <v>52.1370678</v>
      </c>
      <c r="F541" s="10" t="n">
        <v>0.1272001351789908</v>
      </c>
      <c r="G541" s="10" t="n">
        <v>0.2274521609930635</v>
      </c>
      <c r="H541" s="10" t="n">
        <v>0.9085164479093345</v>
      </c>
      <c r="I541" s="10" t="n">
        <v>1.157444</v>
      </c>
      <c r="J541" s="5" t="inlineStr">
        <is>
          <t>Cleaner sand</t>
        </is>
      </c>
      <c r="K541" s="11" t="n">
        <v>15.53423894043583</v>
      </c>
      <c r="L541" s="12" t="n">
        <v>1.947479962722884</v>
      </c>
      <c r="M541" s="12" t="n">
        <v>1.85</v>
      </c>
      <c r="N541" s="12" t="n">
        <v>3.864391848974816</v>
      </c>
      <c r="O541" s="12" t="n">
        <v>192.6563380964375</v>
      </c>
      <c r="P541" s="5" t="inlineStr">
        <is>
          <t>Normal</t>
        </is>
      </c>
      <c r="Q541" s="5" t="inlineStr">
        <is>
          <t>Build</t>
        </is>
      </c>
      <c r="R541" s="12" t="n">
        <v>0.42</v>
      </c>
      <c r="S541" s="5" t="inlineStr">
        <is>
          <t>REJECTED</t>
        </is>
      </c>
      <c r="T541" s="5" t="inlineStr">
        <is>
          <t>Normal operation</t>
        </is>
      </c>
    </row>
    <row r="542" s="17">
      <c r="A542" s="7" t="n">
        <v>6035</v>
      </c>
      <c r="B542" s="8" t="n">
        <v>68368.93506</v>
      </c>
      <c r="C542" s="9" t="n">
        <v>68.36893506</v>
      </c>
      <c r="D542" s="9" t="n">
        <v>121.41932099</v>
      </c>
      <c r="E542" s="9" t="n">
        <v>30</v>
      </c>
      <c r="F542" s="10" t="n">
        <v>0.04319307659450754</v>
      </c>
      <c r="G542" s="10" t="n">
        <v>0.2629028823840539</v>
      </c>
      <c r="H542" s="10" t="n">
        <v>0.9426214532757795</v>
      </c>
      <c r="I542" s="10" t="n">
        <v>0.254793</v>
      </c>
      <c r="J542" s="5" t="inlineStr">
        <is>
          <t>Transition</t>
        </is>
      </c>
      <c r="K542" s="11" t="n">
        <v>21.92597295852691</v>
      </c>
      <c r="L542" s="12" t="n">
        <v>1.427297208254963</v>
      </c>
      <c r="M542" s="12" t="n">
        <v>1.85</v>
      </c>
      <c r="N542" s="12" t="n">
        <v>7.54736354691487</v>
      </c>
      <c r="O542" s="12" t="n">
        <v>205.0709292488505</v>
      </c>
      <c r="P542" s="5" t="inlineStr">
        <is>
          <t>Normal</t>
        </is>
      </c>
      <c r="Q542" s="5" t="inlineStr">
        <is>
          <t>Turn Right</t>
        </is>
      </c>
      <c r="R542" s="12" t="n">
        <v>0.67</v>
      </c>
      <c r="S542" s="5" t="inlineStr">
        <is>
          <t>REDUCED</t>
        </is>
      </c>
      <c r="T542" s="5" t="inlineStr">
        <is>
          <t>Normal operation</t>
        </is>
      </c>
    </row>
    <row r="543" s="17">
      <c r="A543" s="7" t="n">
        <v>6040</v>
      </c>
      <c r="B543" s="8" t="n">
        <v>32112.978176</v>
      </c>
      <c r="C543" s="9" t="n">
        <v>32.112978176</v>
      </c>
      <c r="D543" s="9" t="n">
        <v>135.47713434</v>
      </c>
      <c r="E543" s="9" t="n">
        <v>52.90443446</v>
      </c>
      <c r="F543" s="10" t="n">
        <v>0.05492418467364105</v>
      </c>
      <c r="G543" s="10" t="n">
        <v>0.2402718307843116</v>
      </c>
      <c r="H543" s="10" t="n">
        <v>0.942750921151727</v>
      </c>
      <c r="I543" s="10" t="n">
        <v>0.305768</v>
      </c>
      <c r="J543" s="5" t="inlineStr">
        <is>
          <t>Cleaner sand</t>
        </is>
      </c>
      <c r="K543" s="11" t="n">
        <v>13.29231941620298</v>
      </c>
      <c r="L543" s="12" t="n">
        <v>2.08693567575405</v>
      </c>
      <c r="M543" s="12" t="n">
        <v>1.85</v>
      </c>
      <c r="N543" s="12" t="n">
        <v>4.024734600420413</v>
      </c>
      <c r="O543" s="12" t="n">
        <v>196.6902884063348</v>
      </c>
      <c r="P543" s="5" t="inlineStr">
        <is>
          <t>Normal</t>
        </is>
      </c>
      <c r="Q543" s="5" t="inlineStr">
        <is>
          <t>Build</t>
        </is>
      </c>
      <c r="R543" s="12" t="n">
        <v>0.41</v>
      </c>
      <c r="S543" s="5" t="inlineStr">
        <is>
          <t>REJECTED</t>
        </is>
      </c>
      <c r="T543" s="5" t="inlineStr">
        <is>
          <t>Normal operation</t>
        </is>
      </c>
    </row>
    <row r="544" s="17">
      <c r="A544" s="7" t="n">
        <v>6045</v>
      </c>
      <c r="B544" s="8" t="n">
        <v>50380.597893</v>
      </c>
      <c r="C544" s="9" t="n">
        <v>50.380597893</v>
      </c>
      <c r="D544" s="9" t="n">
        <v>122.30697511</v>
      </c>
      <c r="E544" s="9" t="n">
        <v>44.2366671</v>
      </c>
      <c r="F544" s="10" t="n">
        <v>0.141517818173964</v>
      </c>
      <c r="G544" s="10" t="n">
        <v>0.1248925798548774</v>
      </c>
      <c r="H544" s="10" t="n">
        <v>0.9041108782623899</v>
      </c>
      <c r="I544" s="10" t="n">
        <v>1.36344</v>
      </c>
      <c r="J544" s="5" t="inlineStr">
        <is>
          <t>Cleaner sand</t>
        </is>
      </c>
      <c r="K544" s="11" t="n">
        <v>18.31164078705947</v>
      </c>
      <c r="L544" s="12" t="n">
        <v>1.1</v>
      </c>
      <c r="M544" s="12" t="n">
        <v>1.85</v>
      </c>
      <c r="N544" s="12" t="n">
        <v>6.884745720590008</v>
      </c>
      <c r="O544" s="12" t="n">
        <v>193.8822165366474</v>
      </c>
      <c r="P544" s="5" t="inlineStr">
        <is>
          <t>Normal</t>
        </is>
      </c>
      <c r="Q544" s="5" t="inlineStr">
        <is>
          <t>Build</t>
        </is>
      </c>
      <c r="R544" s="12" t="n">
        <v>0.92</v>
      </c>
      <c r="S544" s="5" t="inlineStr">
        <is>
          <t>ACCEPTED</t>
        </is>
      </c>
      <c r="T544" s="5" t="inlineStr">
        <is>
          <t>Normal operation</t>
        </is>
      </c>
    </row>
    <row r="545" s="17">
      <c r="A545" s="7" t="n">
        <v>6050</v>
      </c>
      <c r="B545" s="8" t="n">
        <v>74236.393037</v>
      </c>
      <c r="C545" s="9" t="n">
        <v>74.236393037</v>
      </c>
      <c r="D545" s="9" t="n">
        <v>122.48797694</v>
      </c>
      <c r="E545" s="9" t="n">
        <v>33.79755788000001</v>
      </c>
      <c r="F545" s="10" t="n">
        <v>0.05547878551668091</v>
      </c>
      <c r="G545" s="10" t="n">
        <v>0.3732439609895254</v>
      </c>
      <c r="H545" s="10" t="n">
        <v>0.9255111875720012</v>
      </c>
      <c r="I545" s="10" t="n">
        <v>0.442675</v>
      </c>
      <c r="J545" s="5" t="inlineStr">
        <is>
          <t>Transition</t>
        </is>
      </c>
      <c r="K545" s="11" t="n">
        <v>23.61100188412688</v>
      </c>
      <c r="L545" s="12" t="n">
        <v>1.721925993977742</v>
      </c>
      <c r="M545" s="12" t="n">
        <v>1.85</v>
      </c>
      <c r="N545" s="12" t="n">
        <v>4.285003803737117</v>
      </c>
      <c r="O545" s="12" t="n">
        <v>192.8871916792141</v>
      </c>
      <c r="P545" s="5" t="inlineStr">
        <is>
          <t>Normal</t>
        </is>
      </c>
      <c r="Q545" s="5" t="inlineStr">
        <is>
          <t>Build</t>
        </is>
      </c>
      <c r="R545" s="12" t="n">
        <v>0.84</v>
      </c>
      <c r="S545" s="5" t="inlineStr">
        <is>
          <t>ACCEPTED</t>
        </is>
      </c>
      <c r="T545" s="5" t="inlineStr">
        <is>
          <t>WOB outside preferred band</t>
        </is>
      </c>
    </row>
    <row r="546" s="17">
      <c r="A546" s="7" t="n">
        <v>6055</v>
      </c>
      <c r="B546" s="8" t="n">
        <v>51988.755371</v>
      </c>
      <c r="C546" s="9" t="n">
        <v>51.988755371</v>
      </c>
      <c r="D546" s="9" t="n">
        <v>140.82555708</v>
      </c>
      <c r="E546" s="9" t="n">
        <v>65.6908806</v>
      </c>
      <c r="F546" s="10" t="n">
        <v>0.05288027637101252</v>
      </c>
      <c r="G546" s="10" t="n">
        <v>0.02179867597457925</v>
      </c>
      <c r="H546" s="10" t="n">
        <v>0.9562275783608246</v>
      </c>
      <c r="I546" s="10" t="n">
        <v>0.258738</v>
      </c>
      <c r="J546" s="5" t="inlineStr">
        <is>
          <t>Cleaner sand</t>
        </is>
      </c>
      <c r="K546" s="11" t="n">
        <v>15.60596704871221</v>
      </c>
      <c r="L546" s="12" t="n">
        <v>2.61007520953856</v>
      </c>
      <c r="M546" s="12" t="n">
        <v>1.85</v>
      </c>
      <c r="N546" s="12" t="n">
        <v>6.708180328150811</v>
      </c>
      <c r="O546" s="12" t="n">
        <v>202.5498493213402</v>
      </c>
      <c r="P546" s="5" t="inlineStr">
        <is>
          <t>Normal</t>
        </is>
      </c>
      <c r="Q546" s="5" t="inlineStr">
        <is>
          <t>Build</t>
        </is>
      </c>
      <c r="R546" s="12" t="n">
        <v>0.51</v>
      </c>
      <c r="S546" s="5" t="inlineStr">
        <is>
          <t>REDUCED</t>
        </is>
      </c>
      <c r="T546" s="5" t="inlineStr">
        <is>
          <t>High vibration detected</t>
        </is>
      </c>
    </row>
    <row r="547" s="17">
      <c r="A547" s="7" t="n">
        <v>6060</v>
      </c>
      <c r="B547" s="8" t="n">
        <v>50761.439139</v>
      </c>
      <c r="C547" s="9" t="n">
        <v>50.761439139</v>
      </c>
      <c r="D547" s="9" t="n">
        <v>118.05812773</v>
      </c>
      <c r="E547" s="9" t="n">
        <v>40.42335878</v>
      </c>
      <c r="F547" s="10" t="n">
        <v>0.1056999264375349</v>
      </c>
      <c r="G547" s="10" t="n">
        <v>0.08731812930053763</v>
      </c>
      <c r="H547" s="10" t="n">
        <v>0.8979955254467996</v>
      </c>
      <c r="I547" s="10" t="n">
        <v>1.102402</v>
      </c>
      <c r="J547" s="5" t="inlineStr">
        <is>
          <t>Cleaner sand</t>
        </is>
      </c>
      <c r="K547" s="11" t="n">
        <v>17.0549862952358</v>
      </c>
      <c r="L547" s="12" t="n">
        <v>1.169837650943268</v>
      </c>
      <c r="M547" s="12" t="n">
        <v>1.85</v>
      </c>
      <c r="N547" s="12" t="n">
        <v>9.399367381092603</v>
      </c>
      <c r="O547" s="12" t="n">
        <v>198.6287133103546</v>
      </c>
      <c r="P547" s="5" t="inlineStr">
        <is>
          <t>Normal</t>
        </is>
      </c>
      <c r="Q547" s="5" t="inlineStr">
        <is>
          <t>Turn Right</t>
        </is>
      </c>
      <c r="R547" s="12" t="n">
        <v>0.5600000000000001</v>
      </c>
      <c r="S547" s="5" t="inlineStr">
        <is>
          <t>REDUCED</t>
        </is>
      </c>
      <c r="T547" s="5" t="inlineStr">
        <is>
          <t>Normal operation</t>
        </is>
      </c>
    </row>
    <row r="548" s="17">
      <c r="A548" s="7" t="n">
        <v>6065</v>
      </c>
      <c r="B548" s="8" t="n">
        <v>74040.51173899999</v>
      </c>
      <c r="C548" s="9" t="n">
        <v>74.040511739</v>
      </c>
      <c r="D548" s="9" t="n">
        <v>109.49191441</v>
      </c>
      <c r="E548" s="9" t="n">
        <v>36.54586086</v>
      </c>
      <c r="F548" s="10" t="n">
        <v>0.08102260663851749</v>
      </c>
      <c r="G548" s="10" t="n">
        <v>0.257418936144129</v>
      </c>
      <c r="H548" s="10" t="n">
        <v>0.9188437542127151</v>
      </c>
      <c r="I548" s="10" t="n">
        <v>0.700386</v>
      </c>
      <c r="J548" s="5" t="inlineStr">
        <is>
          <t>Transition</t>
        </is>
      </c>
      <c r="K548" s="11" t="n">
        <v>22.7104785836384</v>
      </c>
      <c r="L548" s="12" t="n">
        <v>1.327904964442823</v>
      </c>
      <c r="M548" s="12" t="n">
        <v>1.85</v>
      </c>
      <c r="N548" s="12" t="n">
        <v>7.870226341911514</v>
      </c>
      <c r="O548" s="12" t="n">
        <v>218.6260325043981</v>
      </c>
      <c r="P548" s="5" t="inlineStr">
        <is>
          <t>Normal</t>
        </is>
      </c>
      <c r="Q548" s="5" t="inlineStr">
        <is>
          <t>Build</t>
        </is>
      </c>
      <c r="R548" s="12" t="n">
        <v>0.9399999999999999</v>
      </c>
      <c r="S548" s="5" t="inlineStr">
        <is>
          <t>ACCEPTED</t>
        </is>
      </c>
      <c r="T548" s="5" t="inlineStr">
        <is>
          <t>WOB outside preferred band</t>
        </is>
      </c>
    </row>
    <row r="549" s="17">
      <c r="A549" s="7" t="n">
        <v>6070</v>
      </c>
      <c r="B549" s="8" t="n">
        <v>52002.732691</v>
      </c>
      <c r="C549" s="9" t="n">
        <v>52.002732691</v>
      </c>
      <c r="D549" s="9" t="n">
        <v>137.55970379</v>
      </c>
      <c r="E549" s="9" t="n">
        <v>68.35452596</v>
      </c>
      <c r="F549" s="10" t="n">
        <v>0.06494358334330085</v>
      </c>
      <c r="G549" s="10" t="n">
        <v>0.1107545829229545</v>
      </c>
      <c r="H549" s="10" t="n">
        <v>0.8677613992677277</v>
      </c>
      <c r="I549" s="10" t="n">
        <v>0.897007</v>
      </c>
      <c r="J549" s="5" t="inlineStr">
        <is>
          <t>Cleaner sand</t>
        </is>
      </c>
      <c r="K549" s="11" t="n">
        <v>17.87713689423087</v>
      </c>
      <c r="L549" s="12" t="n">
        <v>1.911814846332868</v>
      </c>
      <c r="M549" s="12" t="n">
        <v>1.85</v>
      </c>
      <c r="N549" s="12" t="n">
        <v>6.417250701088839</v>
      </c>
      <c r="O549" s="12" t="n">
        <v>188.0445569820218</v>
      </c>
      <c r="P549" s="5" t="inlineStr">
        <is>
          <t>Normal</t>
        </is>
      </c>
      <c r="Q549" s="5" t="inlineStr">
        <is>
          <t>Build</t>
        </is>
      </c>
      <c r="R549" s="12" t="n">
        <v>0.61</v>
      </c>
      <c r="S549" s="5" t="inlineStr">
        <is>
          <t>REDUCED</t>
        </is>
      </c>
      <c r="T549" s="5" t="inlineStr">
        <is>
          <t>Normal operation</t>
        </is>
      </c>
    </row>
    <row r="550" s="17">
      <c r="A550" s="7" t="n">
        <v>6075</v>
      </c>
      <c r="B550" s="8" t="n">
        <v>60054.113509</v>
      </c>
      <c r="C550" s="9" t="n">
        <v>60.054113509</v>
      </c>
      <c r="D550" s="9" t="n">
        <v>116.35973895</v>
      </c>
      <c r="E550" s="9" t="n">
        <v>54.1248134</v>
      </c>
      <c r="F550" s="10" t="n">
        <v>0.1036063234248975</v>
      </c>
      <c r="G550" s="10" t="n">
        <v>0.09946845345371481</v>
      </c>
      <c r="H550" s="10" t="n">
        <v>0.9740075835357201</v>
      </c>
      <c r="I550" s="10" t="n">
        <v>0.287625</v>
      </c>
      <c r="J550" s="5" t="inlineStr">
        <is>
          <t>Cleaner sand</t>
        </is>
      </c>
      <c r="K550" s="11" t="n">
        <v>19.93215121263411</v>
      </c>
      <c r="L550" s="12" t="n">
        <v>1.747995073150403</v>
      </c>
      <c r="M550" s="12" t="n">
        <v>1.85</v>
      </c>
      <c r="N550" s="12" t="n">
        <v>7.637636156420716</v>
      </c>
      <c r="O550" s="12" t="n">
        <v>202.6489631432971</v>
      </c>
      <c r="P550" s="5" t="inlineStr">
        <is>
          <t>Normal</t>
        </is>
      </c>
      <c r="Q550" s="5" t="inlineStr">
        <is>
          <t>Build</t>
        </is>
      </c>
      <c r="R550" s="12" t="n">
        <v>0.83</v>
      </c>
      <c r="S550" s="5" t="inlineStr">
        <is>
          <t>ACCEPTED</t>
        </is>
      </c>
      <c r="T550" s="5" t="inlineStr">
        <is>
          <t>Normal operation</t>
        </is>
      </c>
    </row>
    <row r="551" s="17">
      <c r="A551" s="7" t="n">
        <v>6080</v>
      </c>
      <c r="B551" s="8" t="n">
        <v>62960.70218</v>
      </c>
      <c r="C551" s="9" t="n">
        <v>62.96070218</v>
      </c>
      <c r="D551" s="9" t="n">
        <v>111.3449822</v>
      </c>
      <c r="E551" s="9" t="n">
        <v>40.12521252</v>
      </c>
      <c r="F551" s="10" t="n">
        <v>0.1086917110313398</v>
      </c>
      <c r="G551" s="10" t="n">
        <v>0.2641273543056897</v>
      </c>
      <c r="H551" s="10" t="n">
        <v>0.8939499984776956</v>
      </c>
      <c r="I551" s="10" t="n">
        <v>1.157524</v>
      </c>
      <c r="J551" s="5" t="inlineStr">
        <is>
          <t>Transition</t>
        </is>
      </c>
      <c r="K551" s="11" t="n">
        <v>19.49160466970089</v>
      </c>
      <c r="L551" s="12" t="n">
        <v>1.831808748644044</v>
      </c>
      <c r="M551" s="12" t="n">
        <v>1.85</v>
      </c>
      <c r="N551" s="12" t="n">
        <v>7.840030930197568</v>
      </c>
      <c r="O551" s="12" t="n">
        <v>193.2765347367522</v>
      </c>
      <c r="P551" s="5" t="inlineStr">
        <is>
          <t>Normal</t>
        </is>
      </c>
      <c r="Q551" s="5" t="inlineStr">
        <is>
          <t>Build</t>
        </is>
      </c>
      <c r="R551" s="12" t="n">
        <v>0.65</v>
      </c>
      <c r="S551" s="5" t="inlineStr">
        <is>
          <t>REDUCED</t>
        </is>
      </c>
      <c r="T551" s="5" t="inlineStr">
        <is>
          <t>Normal operation</t>
        </is>
      </c>
    </row>
    <row r="552" s="17">
      <c r="A552" s="7" t="n">
        <v>6085</v>
      </c>
      <c r="B552" s="8" t="n">
        <v>44798.823158</v>
      </c>
      <c r="C552" s="9" t="n">
        <v>44.798823158</v>
      </c>
      <c r="D552" s="9" t="n">
        <v>139.62305362</v>
      </c>
      <c r="E552" s="9" t="n">
        <v>63.13488565999999</v>
      </c>
      <c r="F552" s="10" t="n">
        <v>0.05188941527019285</v>
      </c>
      <c r="G552" s="10" t="n">
        <v>0.2022988433273005</v>
      </c>
      <c r="H552" s="10" t="n">
        <v>0.935930784287366</v>
      </c>
      <c r="I552" s="10" t="n">
        <v>0.3221</v>
      </c>
      <c r="J552" s="5" t="inlineStr">
        <is>
          <t>Cleaner sand</t>
        </is>
      </c>
      <c r="K552" s="11" t="n">
        <v>16.84181730626194</v>
      </c>
      <c r="L552" s="12" t="n">
        <v>1.899701693772355</v>
      </c>
      <c r="M552" s="12" t="n">
        <v>1.85</v>
      </c>
      <c r="N552" s="12" t="n">
        <v>8.569436750634488</v>
      </c>
      <c r="O552" s="12" t="n">
        <v>191.1724790581237</v>
      </c>
      <c r="P552" s="5" t="inlineStr">
        <is>
          <t>Normal</t>
        </is>
      </c>
      <c r="Q552" s="5" t="inlineStr">
        <is>
          <t>Turn Right</t>
        </is>
      </c>
      <c r="R552" s="12" t="n">
        <v>0.88</v>
      </c>
      <c r="S552" s="5" t="inlineStr">
        <is>
          <t>ACCEPTED</t>
        </is>
      </c>
      <c r="T552" s="5" t="inlineStr">
        <is>
          <t>Normal operation</t>
        </is>
      </c>
    </row>
    <row r="553" s="17">
      <c r="A553" s="7" t="n">
        <v>6090</v>
      </c>
      <c r="B553" s="8" t="n">
        <v>36742.578575</v>
      </c>
      <c r="C553" s="9" t="n">
        <v>36.742578575</v>
      </c>
      <c r="D553" s="9" t="n">
        <v>147.30517808</v>
      </c>
      <c r="E553" s="9" t="n">
        <v>49.40348218</v>
      </c>
      <c r="F553" s="10" t="n">
        <v>0.1234030126149795</v>
      </c>
      <c r="G553" s="10" t="n">
        <v>0.3124833609643939</v>
      </c>
      <c r="H553" s="10" t="n">
        <v>0.9414606489512921</v>
      </c>
      <c r="I553" s="10" t="n">
        <v>0.741682</v>
      </c>
      <c r="J553" s="5" t="inlineStr">
        <is>
          <t>Transition</t>
        </is>
      </c>
      <c r="K553" s="11" t="n">
        <v>15.11783267283627</v>
      </c>
      <c r="L553" s="12" t="n">
        <v>1.971013519595267</v>
      </c>
      <c r="M553" s="12" t="n">
        <v>1.85</v>
      </c>
      <c r="N553" s="12" t="n">
        <v>6.316509733271258</v>
      </c>
      <c r="O553" s="12" t="n">
        <v>201.2458569196559</v>
      </c>
      <c r="P553" s="5" t="inlineStr">
        <is>
          <t>Normal</t>
        </is>
      </c>
      <c r="Q553" s="5" t="inlineStr">
        <is>
          <t>Build</t>
        </is>
      </c>
      <c r="R553" s="12" t="n">
        <v>0.79</v>
      </c>
      <c r="S553" s="5" t="inlineStr">
        <is>
          <t>ACCEPTED</t>
        </is>
      </c>
      <c r="T553" s="5" t="inlineStr">
        <is>
          <t>Normal operation</t>
        </is>
      </c>
    </row>
    <row r="554" s="17">
      <c r="A554" s="7" t="n">
        <v>6095</v>
      </c>
      <c r="B554" s="8" t="n">
        <v>65680.569949</v>
      </c>
      <c r="C554" s="9" t="n">
        <v>65.680569949</v>
      </c>
      <c r="D554" s="9" t="n">
        <v>103.18589152</v>
      </c>
      <c r="E554" s="9" t="n">
        <v>30</v>
      </c>
      <c r="F554" s="10" t="n">
        <v>0.084883734840805</v>
      </c>
      <c r="G554" s="10" t="n">
        <v>0.2468260391781972</v>
      </c>
      <c r="H554" s="10" t="n">
        <v>0.8964323810060228</v>
      </c>
      <c r="I554" s="10" t="n">
        <v>0.891412</v>
      </c>
      <c r="J554" s="5" t="inlineStr">
        <is>
          <t>Cleaner sand</t>
        </is>
      </c>
      <c r="K554" s="11" t="n">
        <v>21.76361442315486</v>
      </c>
      <c r="L554" s="12" t="n">
        <v>2.203752922558549</v>
      </c>
      <c r="M554" s="12" t="n">
        <v>1.85</v>
      </c>
      <c r="N554" s="12" t="n">
        <v>9.002171366036134</v>
      </c>
      <c r="O554" s="12" t="n">
        <v>204.4052094219196</v>
      </c>
      <c r="P554" s="5" t="inlineStr">
        <is>
          <t>Normal</t>
        </is>
      </c>
      <c r="Q554" s="5" t="inlineStr">
        <is>
          <t>Turn Right</t>
        </is>
      </c>
      <c r="R554" s="12" t="n">
        <v>0.41</v>
      </c>
      <c r="S554" s="5" t="inlineStr">
        <is>
          <t>REJECTED</t>
        </is>
      </c>
      <c r="T554" s="5" t="inlineStr">
        <is>
          <t>Normal operation</t>
        </is>
      </c>
    </row>
    <row r="555" s="17">
      <c r="A555" s="7" t="n">
        <v>6100</v>
      </c>
      <c r="B555" s="8" t="n">
        <v>32029.720238</v>
      </c>
      <c r="C555" s="9" t="n">
        <v>32.029720238</v>
      </c>
      <c r="D555" s="9" t="n">
        <v>141.57346257</v>
      </c>
      <c r="E555" s="9" t="n">
        <v>47.60377488</v>
      </c>
      <c r="F555" s="10" t="n">
        <v>0.07422725609233471</v>
      </c>
      <c r="G555" s="10" t="n">
        <v>0.1165028980672334</v>
      </c>
      <c r="H555" s="10" t="n">
        <v>0.9728232075790689</v>
      </c>
      <c r="I555" s="10" t="n">
        <v>0.215239</v>
      </c>
      <c r="J555" s="5" t="inlineStr">
        <is>
          <t>Cleaner sand</t>
        </is>
      </c>
      <c r="K555" s="11" t="n">
        <v>14.66113417875095</v>
      </c>
      <c r="L555" s="12" t="n">
        <v>1.860811141894971</v>
      </c>
      <c r="M555" s="12" t="n">
        <v>1.85</v>
      </c>
      <c r="N555" s="12" t="n">
        <v>4.854533093449268</v>
      </c>
      <c r="O555" s="12" t="n">
        <v>234.0736000089179</v>
      </c>
      <c r="P555" s="5" t="inlineStr">
        <is>
          <t>Normal</t>
        </is>
      </c>
      <c r="Q555" s="5" t="inlineStr">
        <is>
          <t>Build</t>
        </is>
      </c>
      <c r="R555" s="12" t="n">
        <v>0.5600000000000001</v>
      </c>
      <c r="S555" s="5" t="inlineStr">
        <is>
          <t>REDUCED</t>
        </is>
      </c>
      <c r="T555" s="5" t="inlineStr">
        <is>
          <t>Normal operation</t>
        </is>
      </c>
    </row>
    <row r="556" s="17">
      <c r="A556" s="7" t="n">
        <v>6105</v>
      </c>
      <c r="B556" s="8" t="n">
        <v>45040.056046</v>
      </c>
      <c r="C556" s="9" t="n">
        <v>45.040056046</v>
      </c>
      <c r="D556" s="9" t="n">
        <v>126.95858076</v>
      </c>
      <c r="E556" s="9" t="n">
        <v>37.84596676</v>
      </c>
      <c r="F556" s="10" t="n">
        <v>0.103722752429815</v>
      </c>
      <c r="G556" s="10" t="n">
        <v>0.139078678895171</v>
      </c>
      <c r="H556" s="10" t="n">
        <v>0.9653284217600762</v>
      </c>
      <c r="I556" s="10" t="n">
        <v>0.363163</v>
      </c>
      <c r="J556" s="5" t="inlineStr">
        <is>
          <t>Cleaner sand</t>
        </is>
      </c>
      <c r="K556" s="11" t="n">
        <v>17.13719812609151</v>
      </c>
      <c r="L556" s="12" t="n">
        <v>1.541783749236914</v>
      </c>
      <c r="M556" s="12" t="n">
        <v>1.85</v>
      </c>
      <c r="N556" s="12" t="n">
        <v>7.689800600958185</v>
      </c>
      <c r="O556" s="12" t="n">
        <v>205.0881155812507</v>
      </c>
      <c r="P556" s="5" t="inlineStr">
        <is>
          <t>Normal</t>
        </is>
      </c>
      <c r="Q556" s="5" t="inlineStr">
        <is>
          <t>Turn Right</t>
        </is>
      </c>
      <c r="R556" s="12" t="n">
        <v>0.71</v>
      </c>
      <c r="S556" s="5" t="inlineStr">
        <is>
          <t>ACCEPTED</t>
        </is>
      </c>
      <c r="T556" s="5" t="inlineStr">
        <is>
          <t>Normal operation</t>
        </is>
      </c>
    </row>
    <row r="557" s="17">
      <c r="A557" s="7" t="n">
        <v>6110</v>
      </c>
      <c r="B557" s="8" t="n">
        <v>61553.378563</v>
      </c>
      <c r="C557" s="9" t="n">
        <v>61.553378563</v>
      </c>
      <c r="D557" s="9" t="n">
        <v>160.82570265</v>
      </c>
      <c r="E557" s="9" t="n">
        <v>34.63392262</v>
      </c>
      <c r="F557" s="10" t="n">
        <v>0.1126465028038767</v>
      </c>
      <c r="G557" s="10" t="n">
        <v>0.346033517682136</v>
      </c>
      <c r="H557" s="10" t="n">
        <v>0.9499968676936444</v>
      </c>
      <c r="I557" s="10" t="n">
        <v>0.604249</v>
      </c>
      <c r="J557" s="5" t="inlineStr">
        <is>
          <t>Transition</t>
        </is>
      </c>
      <c r="K557" s="11" t="n">
        <v>19.42487564105443</v>
      </c>
      <c r="L557" s="12" t="n">
        <v>1.989561113589338</v>
      </c>
      <c r="M557" s="12" t="n">
        <v>1.85</v>
      </c>
      <c r="N557" s="12" t="n">
        <v>8.012302828342403</v>
      </c>
      <c r="O557" s="12" t="n">
        <v>197.8370067955363</v>
      </c>
      <c r="P557" s="5" t="inlineStr">
        <is>
          <t>Normal</t>
        </is>
      </c>
      <c r="Q557" s="5" t="inlineStr">
        <is>
          <t>Turn Right</t>
        </is>
      </c>
      <c r="R557" s="12" t="n">
        <v>0.91</v>
      </c>
      <c r="S557" s="5" t="inlineStr">
        <is>
          <t>ACCEPTED</t>
        </is>
      </c>
      <c r="T557" s="5" t="inlineStr">
        <is>
          <t>Normal operation</t>
        </is>
      </c>
    </row>
    <row r="558" s="17">
      <c r="A558" s="7" t="n">
        <v>6115</v>
      </c>
      <c r="B558" s="8" t="n">
        <v>42330.237151</v>
      </c>
      <c r="C558" s="9" t="n">
        <v>42.330237151</v>
      </c>
      <c r="D558" s="9" t="n">
        <v>127.80515243</v>
      </c>
      <c r="E558" s="9" t="n">
        <v>59.01315648</v>
      </c>
      <c r="F558" s="10" t="n">
        <v>0.06305469283654049</v>
      </c>
      <c r="G558" s="10" t="n">
        <v>0.1005974439648315</v>
      </c>
      <c r="H558" s="10" t="n">
        <v>0.9078735675579204</v>
      </c>
      <c r="I558" s="10" t="n">
        <v>0.583576</v>
      </c>
      <c r="J558" s="5" t="inlineStr">
        <is>
          <t>Cleaner sand</t>
        </is>
      </c>
      <c r="K558" s="11" t="n">
        <v>15.81359494012026</v>
      </c>
      <c r="L558" s="12" t="n">
        <v>2.590942148098656</v>
      </c>
      <c r="M558" s="12" t="n">
        <v>1.85</v>
      </c>
      <c r="N558" s="12" t="n">
        <v>9.608792001920293</v>
      </c>
      <c r="O558" s="12" t="n">
        <v>214.2431077552426</v>
      </c>
      <c r="P558" s="5" t="inlineStr">
        <is>
          <t>Normal</t>
        </is>
      </c>
      <c r="Q558" s="5" t="inlineStr">
        <is>
          <t>Turn Right</t>
        </is>
      </c>
      <c r="R558" s="12" t="n">
        <v>0.46</v>
      </c>
      <c r="S558" s="5" t="inlineStr">
        <is>
          <t>REJECTED</t>
        </is>
      </c>
      <c r="T558" s="5" t="inlineStr">
        <is>
          <t>High vibration detected</t>
        </is>
      </c>
    </row>
    <row r="559" s="17">
      <c r="A559" s="7" t="n">
        <v>6120</v>
      </c>
      <c r="B559" s="8" t="n">
        <v>47916.015375</v>
      </c>
      <c r="C559" s="9" t="n">
        <v>47.916015375</v>
      </c>
      <c r="D559" s="9" t="n">
        <v>140.22929808</v>
      </c>
      <c r="E559" s="9" t="n">
        <v>51.6558385</v>
      </c>
      <c r="F559" s="10" t="n">
        <v>0.07454489672274159</v>
      </c>
      <c r="G559" s="10" t="n">
        <v>0.1462741623711664</v>
      </c>
      <c r="H559" s="10" t="n">
        <v>0.9688281762325691</v>
      </c>
      <c r="I559" s="10" t="n">
        <v>0.277159</v>
      </c>
      <c r="J559" s="5" t="inlineStr">
        <is>
          <t>Cleaner sand</t>
        </is>
      </c>
      <c r="K559" s="11" t="n">
        <v>16.89598839493851</v>
      </c>
      <c r="L559" s="12" t="n">
        <v>1.595009464272539</v>
      </c>
      <c r="M559" s="12" t="n">
        <v>1.85</v>
      </c>
      <c r="N559" s="12" t="n">
        <v>8.953295541005884</v>
      </c>
      <c r="O559" s="12" t="n">
        <v>193.2987806106947</v>
      </c>
      <c r="P559" s="5" t="inlineStr">
        <is>
          <t>Normal</t>
        </is>
      </c>
      <c r="Q559" s="5" t="inlineStr">
        <is>
          <t>Turn Right</t>
        </is>
      </c>
      <c r="R559" s="12" t="n">
        <v>0.73</v>
      </c>
      <c r="S559" s="5" t="inlineStr">
        <is>
          <t>ACCEPTED</t>
        </is>
      </c>
      <c r="T559" s="5" t="inlineStr">
        <is>
          <t>Normal operation</t>
        </is>
      </c>
    </row>
    <row r="560" s="17">
      <c r="A560" s="7" t="n">
        <v>6125</v>
      </c>
      <c r="B560" s="8" t="n">
        <v>55545.040277</v>
      </c>
      <c r="C560" s="9" t="n">
        <v>55.545040277</v>
      </c>
      <c r="D560" s="9" t="n">
        <v>110.83105885</v>
      </c>
      <c r="E560" s="9" t="n">
        <v>30</v>
      </c>
      <c r="F560" s="10" t="n">
        <v>0.1082670581984558</v>
      </c>
      <c r="G560" s="10" t="n">
        <v>0.3154960019626725</v>
      </c>
      <c r="H560" s="10" t="n">
        <v>0.972807836983294</v>
      </c>
      <c r="I560" s="10" t="n">
        <v>0.280401</v>
      </c>
      <c r="J560" s="5" t="inlineStr">
        <is>
          <t>Transition</t>
        </is>
      </c>
      <c r="K560" s="11" t="n">
        <v>19.12614139691589</v>
      </c>
      <c r="L560" s="12" t="n">
        <v>1.182480640711386</v>
      </c>
      <c r="M560" s="12" t="n">
        <v>1.85</v>
      </c>
      <c r="N560" s="12" t="n">
        <v>7.235051767011045</v>
      </c>
      <c r="O560" s="12" t="n">
        <v>215.8082886840999</v>
      </c>
      <c r="P560" s="5" t="inlineStr">
        <is>
          <t>Normal</t>
        </is>
      </c>
      <c r="Q560" s="5" t="inlineStr">
        <is>
          <t>Build</t>
        </is>
      </c>
      <c r="R560" s="12" t="n">
        <v>0.57</v>
      </c>
      <c r="S560" s="5" t="inlineStr">
        <is>
          <t>REDUCED</t>
        </is>
      </c>
      <c r="T560" s="5" t="inlineStr">
        <is>
          <t>Normal operation</t>
        </is>
      </c>
    </row>
    <row r="561" s="17">
      <c r="A561" s="7" t="n">
        <v>6130</v>
      </c>
      <c r="B561" s="8" t="n">
        <v>40930.544707</v>
      </c>
      <c r="C561" s="9" t="n">
        <v>40.930544707</v>
      </c>
      <c r="D561" s="9" t="n">
        <v>121.880667</v>
      </c>
      <c r="E561" s="9" t="n">
        <v>44.70901251999999</v>
      </c>
      <c r="F561" s="10" t="n">
        <v>0.03312572423786758</v>
      </c>
      <c r="G561" s="10" t="n">
        <v>0.08782438112478029</v>
      </c>
      <c r="H561" s="10" t="n">
        <v>0.9699631771642272</v>
      </c>
      <c r="I561" s="10" t="n">
        <v>0.147552</v>
      </c>
      <c r="J561" s="5" t="inlineStr">
        <is>
          <t>Cleaner sand</t>
        </is>
      </c>
      <c r="K561" s="11" t="n">
        <v>15.62278297188614</v>
      </c>
      <c r="L561" s="12" t="n">
        <v>2.202469527950616</v>
      </c>
      <c r="M561" s="12" t="n">
        <v>1.85</v>
      </c>
      <c r="N561" s="12" t="n">
        <v>7.920200977960371</v>
      </c>
      <c r="O561" s="12" t="n">
        <v>219.7133566898759</v>
      </c>
      <c r="P561" s="5" t="inlineStr">
        <is>
          <t>Normal</t>
        </is>
      </c>
      <c r="Q561" s="5" t="inlineStr">
        <is>
          <t>Build</t>
        </is>
      </c>
      <c r="R561" s="12" t="n">
        <v>0.89</v>
      </c>
      <c r="S561" s="5" t="inlineStr">
        <is>
          <t>ACCEPTED</t>
        </is>
      </c>
      <c r="T561" s="5" t="inlineStr">
        <is>
          <t>Normal operation</t>
        </is>
      </c>
    </row>
    <row r="562" s="17">
      <c r="A562" s="7" t="n">
        <v>6135</v>
      </c>
      <c r="B562" s="8" t="n">
        <v>59392.666717</v>
      </c>
      <c r="C562" s="9" t="n">
        <v>59.392666717</v>
      </c>
      <c r="D562" s="9" t="n">
        <v>153.46365931</v>
      </c>
      <c r="E562" s="9" t="n">
        <v>34.42822726</v>
      </c>
      <c r="F562" s="10" t="n">
        <v>0.08688778430919236</v>
      </c>
      <c r="G562" s="10" t="n">
        <v>0.2570325516809696</v>
      </c>
      <c r="H562" s="10" t="n">
        <v>0.9531614224635647</v>
      </c>
      <c r="I562" s="10" t="n">
        <v>0.408092</v>
      </c>
      <c r="J562" s="5" t="inlineStr">
        <is>
          <t>Transition</t>
        </is>
      </c>
      <c r="K562" s="11" t="n">
        <v>19.72912582605439</v>
      </c>
      <c r="L562" s="12" t="n">
        <v>1.601013229662737</v>
      </c>
      <c r="M562" s="12" t="n">
        <v>1.85</v>
      </c>
      <c r="N562" s="12" t="n">
        <v>9.597384358432391</v>
      </c>
      <c r="O562" s="12" t="n">
        <v>230.458582514551</v>
      </c>
      <c r="P562" s="5" t="inlineStr">
        <is>
          <t>Normal</t>
        </is>
      </c>
      <c r="Q562" s="5" t="inlineStr">
        <is>
          <t>Turn Right</t>
        </is>
      </c>
      <c r="R562" s="12" t="n">
        <v>0.82</v>
      </c>
      <c r="S562" s="5" t="inlineStr">
        <is>
          <t>ACCEPTED</t>
        </is>
      </c>
      <c r="T562" s="5" t="inlineStr">
        <is>
          <t>Normal operation</t>
        </is>
      </c>
    </row>
    <row r="563" s="17">
      <c r="A563" s="7" t="n">
        <v>6140</v>
      </c>
      <c r="B563" s="8" t="n">
        <v>60525.99844</v>
      </c>
      <c r="C563" s="9" t="n">
        <v>60.52599844</v>
      </c>
      <c r="D563" s="9" t="n">
        <v>164.32222553</v>
      </c>
      <c r="E563" s="9" t="n">
        <v>30</v>
      </c>
      <c r="F563" s="10" t="n">
        <v>0.0893362420092786</v>
      </c>
      <c r="G563" s="10" t="n">
        <v>0.3521748510935794</v>
      </c>
      <c r="H563" s="10" t="n">
        <v>0.9249947146157012</v>
      </c>
      <c r="I563" s="10" t="n">
        <v>0.6949379999999999</v>
      </c>
      <c r="J563" s="5" t="inlineStr">
        <is>
          <t>Transition</t>
        </is>
      </c>
      <c r="K563" s="11" t="n">
        <v>21.7231959821362</v>
      </c>
      <c r="L563" s="12" t="n">
        <v>1.1</v>
      </c>
      <c r="M563" s="12" t="n">
        <v>1.85</v>
      </c>
      <c r="N563" s="12" t="n">
        <v>9.374721106095111</v>
      </c>
      <c r="O563" s="12" t="n">
        <v>235.3337626465752</v>
      </c>
      <c r="P563" s="5" t="inlineStr">
        <is>
          <t>Normal</t>
        </is>
      </c>
      <c r="Q563" s="5" t="inlineStr">
        <is>
          <t>Build</t>
        </is>
      </c>
      <c r="R563" s="12" t="n">
        <v>0.6</v>
      </c>
      <c r="S563" s="5" t="inlineStr">
        <is>
          <t>REDUCED</t>
        </is>
      </c>
      <c r="T563" s="5" t="inlineStr">
        <is>
          <t>Normal operation</t>
        </is>
      </c>
    </row>
    <row r="564" s="17">
      <c r="A564" s="7" t="n">
        <v>6145</v>
      </c>
      <c r="B564" s="8" t="n">
        <v>35736.045277</v>
      </c>
      <c r="C564" s="9" t="n">
        <v>35.736045277</v>
      </c>
      <c r="D564" s="9" t="n">
        <v>120.40033963</v>
      </c>
      <c r="E564" s="9" t="n">
        <v>71.81815429999999</v>
      </c>
      <c r="F564" s="10" t="n">
        <v>0.05474525542832214</v>
      </c>
      <c r="G564" s="10" t="n">
        <v>0.2888857021777863</v>
      </c>
      <c r="H564" s="10" t="n">
        <v>0.8903296581134036</v>
      </c>
      <c r="I564" s="10" t="n">
        <v>0.6001570000000001</v>
      </c>
      <c r="J564" s="5" t="inlineStr">
        <is>
          <t>Transition</t>
        </is>
      </c>
      <c r="K564" s="11" t="n">
        <v>15.95951136994399</v>
      </c>
      <c r="L564" s="12" t="n">
        <v>2.075236621803707</v>
      </c>
      <c r="M564" s="12" t="n">
        <v>1.85</v>
      </c>
      <c r="N564" s="12" t="n">
        <v>8.863055612490827</v>
      </c>
      <c r="O564" s="12" t="n">
        <v>223.7631806421036</v>
      </c>
      <c r="P564" s="5" t="inlineStr">
        <is>
          <t>Normal</t>
        </is>
      </c>
      <c r="Q564" s="5" t="inlineStr">
        <is>
          <t>Build</t>
        </is>
      </c>
      <c r="R564" s="12" t="n">
        <v>0.49</v>
      </c>
      <c r="S564" s="5" t="inlineStr">
        <is>
          <t>REJECTED</t>
        </is>
      </c>
      <c r="T564" s="5" t="inlineStr">
        <is>
          <t>Normal operation</t>
        </is>
      </c>
    </row>
    <row r="565" s="17">
      <c r="A565" s="7" t="n">
        <v>6150</v>
      </c>
      <c r="B565" s="8" t="n">
        <v>64718.385158</v>
      </c>
      <c r="C565" s="9" t="n">
        <v>64.718385158</v>
      </c>
      <c r="D565" s="9" t="n">
        <v>142.32559583</v>
      </c>
      <c r="E565" s="9" t="n">
        <v>64.58941970000001</v>
      </c>
      <c r="F565" s="10" t="n">
        <v>0.10514061053694</v>
      </c>
      <c r="G565" s="10" t="n">
        <v>0.2324173518358548</v>
      </c>
      <c r="H565" s="10" t="n">
        <v>0.8980697497606255</v>
      </c>
      <c r="I565" s="10" t="n">
        <v>1.106048</v>
      </c>
      <c r="J565" s="5" t="inlineStr">
        <is>
          <t>Cleaner sand</t>
        </is>
      </c>
      <c r="K565" s="11" t="n">
        <v>20.09284223717002</v>
      </c>
      <c r="L565" s="12" t="n">
        <v>1.397689188882578</v>
      </c>
      <c r="M565" s="12" t="n">
        <v>1.85</v>
      </c>
      <c r="N565" s="12" t="n">
        <v>9.129241333149997</v>
      </c>
      <c r="O565" s="12" t="n">
        <v>230.6009934237913</v>
      </c>
      <c r="P565" s="5" t="inlineStr">
        <is>
          <t>Normal</t>
        </is>
      </c>
      <c r="Q565" s="5" t="inlineStr">
        <is>
          <t>Build</t>
        </is>
      </c>
      <c r="R565" s="12" t="n">
        <v>0.41</v>
      </c>
      <c r="S565" s="5" t="inlineStr">
        <is>
          <t>REJECTED</t>
        </is>
      </c>
      <c r="T565" s="5" t="inlineStr">
        <is>
          <t>Normal operation</t>
        </is>
      </c>
    </row>
    <row r="566" s="17">
      <c r="A566" s="7" t="n">
        <v>6155</v>
      </c>
      <c r="B566" s="8" t="n">
        <v>64153.576631</v>
      </c>
      <c r="C566" s="9" t="n">
        <v>64.15357663100001</v>
      </c>
      <c r="D566" s="9" t="n">
        <v>103.62495124</v>
      </c>
      <c r="E566" s="9" t="n">
        <v>45.11357428</v>
      </c>
      <c r="F566" s="10" t="n">
        <v>0.1002539023701765</v>
      </c>
      <c r="G566" s="10" t="n">
        <v>0.2038408299077199</v>
      </c>
      <c r="H566" s="10" t="n">
        <v>0.9304603905926895</v>
      </c>
      <c r="I566" s="10" t="n">
        <v>0.746113</v>
      </c>
      <c r="J566" s="5" t="inlineStr">
        <is>
          <t>Cleaner sand</t>
        </is>
      </c>
      <c r="K566" s="11" t="n">
        <v>21.51619918831839</v>
      </c>
      <c r="L566" s="12" t="n">
        <v>1.615638691670961</v>
      </c>
      <c r="M566" s="12" t="n">
        <v>1.85</v>
      </c>
      <c r="N566" s="12" t="n">
        <v>10.79775196032092</v>
      </c>
      <c r="O566" s="12" t="n">
        <v>227.8513311227346</v>
      </c>
      <c r="P566" s="5" t="inlineStr">
        <is>
          <t>Normal</t>
        </is>
      </c>
      <c r="Q566" s="5" t="inlineStr">
        <is>
          <t>Turn Right</t>
        </is>
      </c>
      <c r="R566" s="12" t="n">
        <v>0.74</v>
      </c>
      <c r="S566" s="5" t="inlineStr">
        <is>
          <t>ACCEPTED</t>
        </is>
      </c>
      <c r="T566" s="5" t="inlineStr">
        <is>
          <t>Normal operation</t>
        </is>
      </c>
    </row>
    <row r="567" s="17">
      <c r="A567" s="7" t="n">
        <v>6160</v>
      </c>
      <c r="B567" s="8" t="n">
        <v>36790.072754</v>
      </c>
      <c r="C567" s="9" t="n">
        <v>36.790072754</v>
      </c>
      <c r="D567" s="9" t="n">
        <v>139.31018498</v>
      </c>
      <c r="E567" s="9" t="n">
        <v>51.00376138</v>
      </c>
      <c r="F567" s="10" t="n">
        <v>0.04537208242000365</v>
      </c>
      <c r="G567" s="10" t="n">
        <v>0.04057994500918188</v>
      </c>
      <c r="H567" s="10" t="n">
        <v>0.8971086124267629</v>
      </c>
      <c r="I567" s="10" t="n">
        <v>0.49399</v>
      </c>
      <c r="J567" s="5" t="inlineStr">
        <is>
          <t>Cleaner sand</t>
        </is>
      </c>
      <c r="K567" s="11" t="n">
        <v>14.87416974187765</v>
      </c>
      <c r="L567" s="12" t="n">
        <v>1.822670361978817</v>
      </c>
      <c r="M567" s="12" t="n">
        <v>1.85</v>
      </c>
      <c r="N567" s="12" t="n">
        <v>9.358141523782134</v>
      </c>
      <c r="O567" s="12" t="n">
        <v>227.7244109891309</v>
      </c>
      <c r="P567" s="5" t="inlineStr">
        <is>
          <t>Normal</t>
        </is>
      </c>
      <c r="Q567" s="5" t="inlineStr">
        <is>
          <t>Build</t>
        </is>
      </c>
      <c r="R567" s="12" t="n">
        <v>0.62</v>
      </c>
      <c r="S567" s="5" t="inlineStr">
        <is>
          <t>REDUCED</t>
        </is>
      </c>
      <c r="T567" s="5" t="inlineStr">
        <is>
          <t>Normal operation</t>
        </is>
      </c>
    </row>
    <row r="568" s="17">
      <c r="A568" s="7" t="n">
        <v>6165</v>
      </c>
      <c r="B568" s="8" t="n">
        <v>61368.613999</v>
      </c>
      <c r="C568" s="9" t="n">
        <v>61.368613999</v>
      </c>
      <c r="D568" s="9" t="n">
        <v>151.11045794</v>
      </c>
      <c r="E568" s="9" t="n">
        <v>30.05475808</v>
      </c>
      <c r="F568" s="10" t="n">
        <v>0.1294459478170844</v>
      </c>
      <c r="G568" s="10" t="n">
        <v>0.15317242835282</v>
      </c>
      <c r="H568" s="10" t="n">
        <v>0.8942372677347087</v>
      </c>
      <c r="I568" s="10" t="n">
        <v>1.39172</v>
      </c>
      <c r="J568" s="5" t="inlineStr">
        <is>
          <t>Cleaner sand</t>
        </is>
      </c>
      <c r="K568" s="11" t="n">
        <v>17.76464587279124</v>
      </c>
      <c r="L568" s="12" t="n">
        <v>1.753344843091742</v>
      </c>
      <c r="M568" s="12" t="n">
        <v>1.85</v>
      </c>
      <c r="N568" s="12" t="n">
        <v>10.05503155577258</v>
      </c>
      <c r="O568" s="12" t="n">
        <v>245.6732575946629</v>
      </c>
      <c r="P568" s="5" t="inlineStr">
        <is>
          <t>Normal</t>
        </is>
      </c>
      <c r="Q568" s="5" t="inlineStr">
        <is>
          <t>Build</t>
        </is>
      </c>
      <c r="R568" s="12" t="n">
        <v>0.57</v>
      </c>
      <c r="S568" s="5" t="inlineStr">
        <is>
          <t>REDUCED</t>
        </is>
      </c>
      <c r="T568" s="5" t="inlineStr">
        <is>
          <t>Normal operation</t>
        </is>
      </c>
    </row>
    <row r="569" s="17">
      <c r="A569" s="7" t="n">
        <v>6170</v>
      </c>
      <c r="B569" s="8" t="n">
        <v>63536.379253</v>
      </c>
      <c r="C569" s="9" t="n">
        <v>63.536379253</v>
      </c>
      <c r="D569" s="9" t="n">
        <v>101.57028234</v>
      </c>
      <c r="E569" s="9" t="n">
        <v>33.0542</v>
      </c>
      <c r="F569" s="10" t="n">
        <v>0.08691013609806295</v>
      </c>
      <c r="G569" s="10" t="n">
        <v>0.2360716414787244</v>
      </c>
      <c r="H569" s="10" t="n">
        <v>0.9703931499329308</v>
      </c>
      <c r="I569" s="10" t="n">
        <v>0.252355</v>
      </c>
      <c r="J569" s="5" t="inlineStr">
        <is>
          <t>Cleaner sand</t>
        </is>
      </c>
      <c r="K569" s="11" t="n">
        <v>19.19338300934529</v>
      </c>
      <c r="L569" s="12" t="n">
        <v>2.007631390398129</v>
      </c>
      <c r="M569" s="12" t="n">
        <v>1.85</v>
      </c>
      <c r="N569" s="12" t="n">
        <v>13.12887604201335</v>
      </c>
      <c r="O569" s="12" t="n">
        <v>233.473961881023</v>
      </c>
      <c r="P569" s="5" t="inlineStr">
        <is>
          <t>Normal</t>
        </is>
      </c>
      <c r="Q569" s="5" t="inlineStr">
        <is>
          <t>Hold</t>
        </is>
      </c>
      <c r="R569" s="12" t="n">
        <v>0.9399999999999999</v>
      </c>
      <c r="S569" s="5" t="inlineStr">
        <is>
          <t>ACCEPTED</t>
        </is>
      </c>
      <c r="T569" s="5" t="inlineStr">
        <is>
          <t>Normal operation</t>
        </is>
      </c>
    </row>
    <row r="570" s="17">
      <c r="A570" s="7" t="n">
        <v>6175</v>
      </c>
      <c r="B570" s="8" t="n">
        <v>52734.193113</v>
      </c>
      <c r="C570" s="9" t="n">
        <v>52.734193113</v>
      </c>
      <c r="D570" s="9" t="n">
        <v>146.30329904</v>
      </c>
      <c r="E570" s="9" t="n">
        <v>70.95180871999999</v>
      </c>
      <c r="F570" s="10" t="n">
        <v>0.03769099487739972</v>
      </c>
      <c r="G570" s="10" t="n">
        <v>0.05090582301303249</v>
      </c>
      <c r="H570" s="10" t="n">
        <v>0.9669543136763018</v>
      </c>
      <c r="I570" s="10" t="n">
        <v>0.130856</v>
      </c>
      <c r="J570" s="5" t="inlineStr">
        <is>
          <t>Cleaner sand</t>
        </is>
      </c>
      <c r="K570" s="11" t="n">
        <v>16.34392175008892</v>
      </c>
      <c r="L570" s="12" t="n">
        <v>1.446611678420777</v>
      </c>
      <c r="M570" s="12" t="n">
        <v>1.85</v>
      </c>
      <c r="N570" s="12" t="n">
        <v>8.59557935405782</v>
      </c>
      <c r="O570" s="12" t="n">
        <v>245.7545527539968</v>
      </c>
      <c r="P570" s="5" t="inlineStr">
        <is>
          <t>Normal</t>
        </is>
      </c>
      <c r="Q570" s="5" t="inlineStr">
        <is>
          <t>Build</t>
        </is>
      </c>
      <c r="R570" s="12" t="n">
        <v>0.66</v>
      </c>
      <c r="S570" s="5" t="inlineStr">
        <is>
          <t>REDUCED</t>
        </is>
      </c>
      <c r="T570" s="5" t="inlineStr">
        <is>
          <t>Normal operation</t>
        </is>
      </c>
    </row>
    <row r="571" s="17">
      <c r="A571" s="7" t="n">
        <v>6180</v>
      </c>
      <c r="B571" s="8" t="n">
        <v>46638.64601</v>
      </c>
      <c r="C571" s="9" t="n">
        <v>46.63864601</v>
      </c>
      <c r="D571" s="9" t="n">
        <v>140.62857305</v>
      </c>
      <c r="E571" s="9" t="n">
        <v>66.05583308</v>
      </c>
      <c r="F571" s="10" t="n">
        <v>0.157019616202032</v>
      </c>
      <c r="G571" s="10" t="n">
        <v>0.2138822826567939</v>
      </c>
      <c r="H571" s="10" t="n">
        <v>0.8741531889581822</v>
      </c>
      <c r="I571" s="10" t="n">
        <v>1.980707</v>
      </c>
      <c r="J571" s="5" t="inlineStr">
        <is>
          <t>Cleaner sand</t>
        </is>
      </c>
      <c r="K571" s="11" t="n">
        <v>16.74209724692986</v>
      </c>
      <c r="L571" s="12" t="n">
        <v>1.91142184110628</v>
      </c>
      <c r="M571" s="12" t="n">
        <v>1.85</v>
      </c>
      <c r="N571" s="12" t="n">
        <v>8.177379535458137</v>
      </c>
      <c r="O571" s="12" t="n">
        <v>243.6846819942114</v>
      </c>
      <c r="P571" s="5" t="inlineStr">
        <is>
          <t>Normal</t>
        </is>
      </c>
      <c r="Q571" s="5" t="inlineStr">
        <is>
          <t>Build</t>
        </is>
      </c>
      <c r="R571" s="12" t="n">
        <v>0.8100000000000001</v>
      </c>
      <c r="S571" s="5" t="inlineStr">
        <is>
          <t>ACCEPTED</t>
        </is>
      </c>
      <c r="T571" s="5" t="inlineStr">
        <is>
          <t>Normal operation</t>
        </is>
      </c>
    </row>
    <row r="572" s="17">
      <c r="A572" s="7" t="n">
        <v>6185</v>
      </c>
      <c r="B572" s="8" t="n">
        <v>49075.728721</v>
      </c>
      <c r="C572" s="9" t="n">
        <v>49.075728721</v>
      </c>
      <c r="D572" s="9" t="n">
        <v>131.05361654</v>
      </c>
      <c r="E572" s="9" t="n">
        <v>52.41436556</v>
      </c>
      <c r="F572" s="10" t="n">
        <v>0.04089456701045162</v>
      </c>
      <c r="G572" s="10" t="n">
        <v>0.04902067812424992</v>
      </c>
      <c r="H572" s="10" t="n">
        <v>0.9417610439922637</v>
      </c>
      <c r="I572" s="10" t="n">
        <v>0.248941</v>
      </c>
      <c r="J572" s="5" t="inlineStr">
        <is>
          <t>Cleaner sand</t>
        </is>
      </c>
      <c r="K572" s="11" t="n">
        <v>17.56026132730338</v>
      </c>
      <c r="L572" s="12" t="n">
        <v>1.532822127983881</v>
      </c>
      <c r="M572" s="12" t="n">
        <v>1.85</v>
      </c>
      <c r="N572" s="12" t="n">
        <v>11.74184995524164</v>
      </c>
      <c r="O572" s="12" t="n">
        <v>262.9024156318373</v>
      </c>
      <c r="P572" s="5" t="inlineStr">
        <is>
          <t>Normal</t>
        </is>
      </c>
      <c r="Q572" s="5" t="inlineStr">
        <is>
          <t>Drop</t>
        </is>
      </c>
      <c r="R572" s="12" t="n">
        <v>0.5</v>
      </c>
      <c r="S572" s="5" t="inlineStr">
        <is>
          <t>REDUCED</t>
        </is>
      </c>
      <c r="T572" s="5" t="inlineStr">
        <is>
          <t>Normal operation</t>
        </is>
      </c>
    </row>
    <row r="573" s="17">
      <c r="A573" s="7" t="n">
        <v>6190</v>
      </c>
      <c r="B573" s="8" t="n">
        <v>56494.519674</v>
      </c>
      <c r="C573" s="9" t="n">
        <v>56.494519674</v>
      </c>
      <c r="D573" s="9" t="n">
        <v>140.87591467</v>
      </c>
      <c r="E573" s="9" t="n">
        <v>50.30773472</v>
      </c>
      <c r="F573" s="10" t="n">
        <v>0.04302658591513062</v>
      </c>
      <c r="G573" s="10" t="n">
        <v>0.08590095020608095</v>
      </c>
      <c r="H573" s="10" t="n">
        <v>0.9629334231707154</v>
      </c>
      <c r="I573" s="10" t="n">
        <v>0.172352</v>
      </c>
      <c r="J573" s="5" t="inlineStr">
        <is>
          <t>Cleaner sand</t>
        </is>
      </c>
      <c r="K573" s="11" t="n">
        <v>20.58275636223495</v>
      </c>
      <c r="L573" s="12" t="n">
        <v>2.022017135634877</v>
      </c>
      <c r="M573" s="12" t="n">
        <v>1.85</v>
      </c>
      <c r="N573" s="12" t="n">
        <v>9.979355715819393</v>
      </c>
      <c r="O573" s="12" t="n">
        <v>279.2114770546366</v>
      </c>
      <c r="P573" s="5" t="inlineStr">
        <is>
          <t>Normal</t>
        </is>
      </c>
      <c r="Q573" s="5" t="inlineStr">
        <is>
          <t>Hold</t>
        </is>
      </c>
      <c r="R573" s="12" t="n">
        <v>0.41</v>
      </c>
      <c r="S573" s="5" t="inlineStr">
        <is>
          <t>REJECTED</t>
        </is>
      </c>
      <c r="T573" s="5" t="inlineStr">
        <is>
          <t>Normal operation</t>
        </is>
      </c>
    </row>
    <row r="574" s="17">
      <c r="A574" s="7" t="n">
        <v>6195</v>
      </c>
      <c r="B574" s="8" t="n">
        <v>49327.052707</v>
      </c>
      <c r="C574" s="9" t="n">
        <v>49.327052707</v>
      </c>
      <c r="D574" s="9" t="n">
        <v>135.80925675</v>
      </c>
      <c r="E574" s="9" t="n">
        <v>62.58388502</v>
      </c>
      <c r="F574" s="10" t="n">
        <v>0.1417954217352472</v>
      </c>
      <c r="G574" s="10" t="n">
        <v>0.15568967169304</v>
      </c>
      <c r="H574" s="10" t="n">
        <v>0.9441930253730857</v>
      </c>
      <c r="I574" s="10" t="n">
        <v>0.836561</v>
      </c>
      <c r="J574" s="5" t="inlineStr">
        <is>
          <t>Cleaner sand</t>
        </is>
      </c>
      <c r="K574" s="11" t="n">
        <v>17.91499423826682</v>
      </c>
      <c r="L574" s="12" t="n">
        <v>1.961530067166396</v>
      </c>
      <c r="M574" s="12" t="n">
        <v>1.85</v>
      </c>
      <c r="N574" s="12" t="n">
        <v>3.586291213934594</v>
      </c>
      <c r="O574" s="12" t="n">
        <v>251.9841201719667</v>
      </c>
      <c r="P574" s="5" t="inlineStr">
        <is>
          <t>Normal</t>
        </is>
      </c>
      <c r="Q574" s="5" t="inlineStr">
        <is>
          <t>Build</t>
        </is>
      </c>
      <c r="R574" s="12" t="n">
        <v>0.63</v>
      </c>
      <c r="S574" s="5" t="inlineStr">
        <is>
          <t>REDUCED</t>
        </is>
      </c>
      <c r="T574" s="5" t="inlineStr">
        <is>
          <t>Normal operation</t>
        </is>
      </c>
    </row>
    <row r="575" s="17">
      <c r="A575" s="7" t="n">
        <v>6200</v>
      </c>
      <c r="B575" s="8" t="n">
        <v>63211.81297</v>
      </c>
      <c r="C575" s="9" t="n">
        <v>63.21181297</v>
      </c>
      <c r="D575" s="9" t="n">
        <v>123.68694246</v>
      </c>
      <c r="E575" s="9" t="n">
        <v>36.1410367</v>
      </c>
      <c r="F575" s="10" t="n">
        <v>0.06460857431140941</v>
      </c>
      <c r="G575" s="10" t="n">
        <v>0.3531863349582732</v>
      </c>
      <c r="H575" s="10" t="n">
        <v>0.8862430369310198</v>
      </c>
      <c r="I575" s="10" t="n">
        <v>0.747635</v>
      </c>
      <c r="J575" s="5" t="inlineStr">
        <is>
          <t>Transition</t>
        </is>
      </c>
      <c r="K575" s="11" t="n">
        <v>19.92267403264151</v>
      </c>
      <c r="L575" s="12" t="n">
        <v>1.201635035998148</v>
      </c>
      <c r="M575" s="12" t="n">
        <v>1.85</v>
      </c>
      <c r="N575" s="12" t="n">
        <v>3.372039961024688</v>
      </c>
      <c r="O575" s="12" t="n">
        <v>250.2726391090522</v>
      </c>
      <c r="P575" s="5" t="inlineStr">
        <is>
          <t>Normal</t>
        </is>
      </c>
      <c r="Q575" s="5" t="inlineStr">
        <is>
          <t>Build</t>
        </is>
      </c>
      <c r="R575" s="12" t="n">
        <v>0.77</v>
      </c>
      <c r="S575" s="5" t="inlineStr">
        <is>
          <t>ACCEPTED</t>
        </is>
      </c>
      <c r="T575" s="5" t="inlineStr">
        <is>
          <t>Normal operation</t>
        </is>
      </c>
    </row>
    <row r="576" s="17">
      <c r="A576" s="7" t="n">
        <v>6205</v>
      </c>
      <c r="B576" s="8" t="n">
        <v>51903.063391</v>
      </c>
      <c r="C576" s="9" t="n">
        <v>51.903063391</v>
      </c>
      <c r="D576" s="9" t="n">
        <v>131.94627705</v>
      </c>
      <c r="E576" s="9" t="n">
        <v>62.58424746</v>
      </c>
      <c r="F576" s="10" t="n">
        <v>0.04729176955781496</v>
      </c>
      <c r="G576" s="10" t="n">
        <v>0.0229691682816978</v>
      </c>
      <c r="H576" s="10" t="n">
        <v>1</v>
      </c>
      <c r="I576" s="10" t="n">
        <v>0.001</v>
      </c>
      <c r="J576" s="5" t="inlineStr">
        <is>
          <t>Cleaner sand</t>
        </is>
      </c>
      <c r="K576" s="11" t="n">
        <v>18.8912565216475</v>
      </c>
      <c r="L576" s="12" t="n">
        <v>2.192131236925766</v>
      </c>
      <c r="M576" s="12" t="n">
        <v>1.85</v>
      </c>
      <c r="N576" s="12" t="n">
        <v>4.437346322192557</v>
      </c>
      <c r="O576" s="12" t="n">
        <v>271.3455473775646</v>
      </c>
      <c r="P576" s="5" t="inlineStr">
        <is>
          <t>Normal</t>
        </is>
      </c>
      <c r="Q576" s="5" t="inlineStr">
        <is>
          <t>Build</t>
        </is>
      </c>
      <c r="R576" s="12" t="n">
        <v>0.68</v>
      </c>
      <c r="S576" s="5" t="inlineStr">
        <is>
          <t>REDUCED</t>
        </is>
      </c>
      <c r="T576" s="5" t="inlineStr">
        <is>
          <t>Normal operation</t>
        </is>
      </c>
    </row>
    <row r="577" s="17">
      <c r="A577" s="7" t="n">
        <v>6210</v>
      </c>
      <c r="B577" s="8" t="n">
        <v>62179.81534</v>
      </c>
      <c r="C577" s="9" t="n">
        <v>62.17981534</v>
      </c>
      <c r="D577" s="9" t="n">
        <v>141.36492901</v>
      </c>
      <c r="E577" s="9" t="n">
        <v>49.25269976</v>
      </c>
      <c r="F577" s="10" t="n">
        <v>0.1342443183815502</v>
      </c>
      <c r="G577" s="10" t="n">
        <v>0.2583789950421971</v>
      </c>
      <c r="H577" s="10" t="n">
        <v>0.9284127325058884</v>
      </c>
      <c r="I577" s="10" t="n">
        <v>0.962019</v>
      </c>
      <c r="J577" s="5" t="inlineStr">
        <is>
          <t>Transition</t>
        </is>
      </c>
      <c r="K577" s="11" t="n">
        <v>17.74083256935659</v>
      </c>
      <c r="L577" s="12" t="n">
        <v>1.397377911894116</v>
      </c>
      <c r="M577" s="12" t="n">
        <v>1.85</v>
      </c>
      <c r="N577" s="12" t="n">
        <v>7.240729303510705</v>
      </c>
      <c r="O577" s="12" t="n">
        <v>276.5205563663738</v>
      </c>
      <c r="P577" s="5" t="inlineStr">
        <is>
          <t>Normal</t>
        </is>
      </c>
      <c r="Q577" s="5" t="inlineStr">
        <is>
          <t>Build</t>
        </is>
      </c>
      <c r="R577" s="12" t="n">
        <v>0.89</v>
      </c>
      <c r="S577" s="5" t="inlineStr">
        <is>
          <t>ACCEPTED</t>
        </is>
      </c>
      <c r="T577" s="5" t="inlineStr">
        <is>
          <t>Normal operation</t>
        </is>
      </c>
    </row>
    <row r="578" s="17">
      <c r="A578" s="7" t="n">
        <v>6215</v>
      </c>
      <c r="B578" s="8" t="n">
        <v>69815.273933</v>
      </c>
      <c r="C578" s="9" t="n">
        <v>69.815273933</v>
      </c>
      <c r="D578" s="9" t="n">
        <v>160.70173815</v>
      </c>
      <c r="E578" s="9" t="n">
        <v>39.54404408</v>
      </c>
      <c r="F578" s="10" t="n">
        <v>0.05483892126520891</v>
      </c>
      <c r="G578" s="10" t="n">
        <v>0.3734002168152496</v>
      </c>
      <c r="H578" s="10" t="n">
        <v>0.9228007519199153</v>
      </c>
      <c r="I578" s="10" t="n">
        <v>0.45154</v>
      </c>
      <c r="J578" s="5" t="inlineStr">
        <is>
          <t>Transition</t>
        </is>
      </c>
      <c r="K578" s="11" t="n">
        <v>21.59190840316832</v>
      </c>
      <c r="L578" s="12" t="n">
        <v>2.055948321157761</v>
      </c>
      <c r="M578" s="12" t="n">
        <v>1.85</v>
      </c>
      <c r="N578" s="12" t="n">
        <v>6.592940006584202</v>
      </c>
      <c r="O578" s="12" t="n">
        <v>282.2857713078575</v>
      </c>
      <c r="P578" s="5" t="inlineStr">
        <is>
          <t>Normal</t>
        </is>
      </c>
      <c r="Q578" s="5" t="inlineStr">
        <is>
          <t>Build</t>
        </is>
      </c>
      <c r="R578" s="12" t="n">
        <v>0.64</v>
      </c>
      <c r="S578" s="5" t="inlineStr">
        <is>
          <t>REDUCED</t>
        </is>
      </c>
      <c r="T578" s="5" t="inlineStr">
        <is>
          <t>Normal operation</t>
        </is>
      </c>
    </row>
    <row r="579" s="17">
      <c r="A579" s="7" t="n">
        <v>6220</v>
      </c>
      <c r="B579" s="8" t="n">
        <v>41377.123295</v>
      </c>
      <c r="C579" s="9" t="n">
        <v>41.377123295</v>
      </c>
      <c r="D579" s="9" t="n">
        <v>141.59384329</v>
      </c>
      <c r="E579" s="9" t="n">
        <v>71.4379162</v>
      </c>
      <c r="F579" s="10" t="n">
        <v>0.07054701803736116</v>
      </c>
      <c r="G579" s="10" t="n">
        <v>0.2778475685788868</v>
      </c>
      <c r="H579" s="10" t="n">
        <v>0.9210753804424047</v>
      </c>
      <c r="I579" s="10" t="n">
        <v>0.5492010000000001</v>
      </c>
      <c r="J579" s="5" t="inlineStr">
        <is>
          <t>Transition</t>
        </is>
      </c>
      <c r="K579" s="11" t="n">
        <v>16.8967681070454</v>
      </c>
      <c r="L579" s="12" t="n">
        <v>1.839970783566657</v>
      </c>
      <c r="M579" s="12" t="n">
        <v>1.85</v>
      </c>
      <c r="N579" s="12" t="n">
        <v>7.058606828428854</v>
      </c>
      <c r="O579" s="12" t="n">
        <v>279.3269774806676</v>
      </c>
      <c r="P579" s="5" t="inlineStr">
        <is>
          <t>Normal</t>
        </is>
      </c>
      <c r="Q579" s="5" t="inlineStr">
        <is>
          <t>Build</t>
        </is>
      </c>
      <c r="R579" s="12" t="n">
        <v>0.57</v>
      </c>
      <c r="S579" s="5" t="inlineStr">
        <is>
          <t>REDUCED</t>
        </is>
      </c>
      <c r="T579" s="5" t="inlineStr">
        <is>
          <t>Normal operation</t>
        </is>
      </c>
    </row>
    <row r="580" s="17">
      <c r="A580" s="7" t="n">
        <v>6225</v>
      </c>
      <c r="B580" s="8" t="n">
        <v>37128.432569</v>
      </c>
      <c r="C580" s="9" t="n">
        <v>37.128432569</v>
      </c>
      <c r="D580" s="9" t="n">
        <v>117.71821229</v>
      </c>
      <c r="E580" s="9" t="n">
        <v>51.34438856</v>
      </c>
      <c r="F580" s="10" t="n">
        <v>0.09464462590958522</v>
      </c>
      <c r="G580" s="10" t="n">
        <v>0.2521809335850387</v>
      </c>
      <c r="H580" s="10" t="n">
        <v>0.941829617003106</v>
      </c>
      <c r="I580" s="10" t="n">
        <v>0.584218</v>
      </c>
      <c r="J580" s="5" t="inlineStr">
        <is>
          <t>Transition</t>
        </is>
      </c>
      <c r="K580" s="11" t="n">
        <v>13.86589055677808</v>
      </c>
      <c r="L580" s="12" t="n">
        <v>2.56071000162961</v>
      </c>
      <c r="M580" s="12" t="n">
        <v>1.85</v>
      </c>
      <c r="N580" s="12" t="n">
        <v>4.484164343040481</v>
      </c>
      <c r="O580" s="12" t="n">
        <v>285.4192972108891</v>
      </c>
      <c r="P580" s="5" t="inlineStr">
        <is>
          <t>Normal</t>
        </is>
      </c>
      <c r="Q580" s="5" t="inlineStr">
        <is>
          <t>Build</t>
        </is>
      </c>
      <c r="R580" s="12" t="n">
        <v>0.9</v>
      </c>
      <c r="S580" s="5" t="inlineStr">
        <is>
          <t>ACCEPTED</t>
        </is>
      </c>
      <c r="T580" s="5" t="inlineStr">
        <is>
          <t>High vibration detected</t>
        </is>
      </c>
    </row>
    <row r="581" s="17">
      <c r="A581" s="7" t="n">
        <v>6230</v>
      </c>
      <c r="B581" s="8" t="n">
        <v>73322.918381</v>
      </c>
      <c r="C581" s="9" t="n">
        <v>73.32291838099999</v>
      </c>
      <c r="D581" s="9" t="n">
        <v>100.43662528</v>
      </c>
      <c r="E581" s="9" t="n">
        <v>47.83389558</v>
      </c>
      <c r="F581" s="10" t="n">
        <v>0.08247571479933885</v>
      </c>
      <c r="G581" s="10" t="n">
        <v>0.2907281108800202</v>
      </c>
      <c r="H581" s="10" t="n">
        <v>0.8642642050236644</v>
      </c>
      <c r="I581" s="10" t="n">
        <v>1.148118</v>
      </c>
      <c r="J581" s="5" t="inlineStr">
        <is>
          <t>Transition</t>
        </is>
      </c>
      <c r="K581" s="11" t="n">
        <v>23.14517956179535</v>
      </c>
      <c r="L581" s="12" t="n">
        <v>1.550501668637792</v>
      </c>
      <c r="M581" s="12" t="n">
        <v>1.85</v>
      </c>
      <c r="N581" s="12" t="n">
        <v>5.216302910647377</v>
      </c>
      <c r="O581" s="12" t="n">
        <v>294.6700675681982</v>
      </c>
      <c r="P581" s="5" t="inlineStr">
        <is>
          <t>Normal</t>
        </is>
      </c>
      <c r="Q581" s="5" t="inlineStr">
        <is>
          <t>Build</t>
        </is>
      </c>
      <c r="R581" s="12" t="n">
        <v>0.62</v>
      </c>
      <c r="S581" s="5" t="inlineStr">
        <is>
          <t>REDUCED</t>
        </is>
      </c>
      <c r="T581" s="5" t="inlineStr">
        <is>
          <t>WOB outside preferred band</t>
        </is>
      </c>
    </row>
    <row r="582" s="17">
      <c r="A582" s="7" t="n">
        <v>6235</v>
      </c>
      <c r="B582" s="8" t="n">
        <v>45415.566894</v>
      </c>
      <c r="C582" s="9" t="n">
        <v>45.415566894</v>
      </c>
      <c r="D582" s="9" t="n">
        <v>125.09661348</v>
      </c>
      <c r="E582" s="9" t="n">
        <v>45.95474094</v>
      </c>
      <c r="F582" s="10" t="n">
        <v>0.04204817627388741</v>
      </c>
      <c r="G582" s="10" t="n">
        <v>0.1806328948655493</v>
      </c>
      <c r="H582" s="10" t="n">
        <v>0.8592153774937327</v>
      </c>
      <c r="I582" s="10" t="n">
        <v>0.638768</v>
      </c>
      <c r="J582" s="5" t="inlineStr">
        <is>
          <t>Cleaner sand</t>
        </is>
      </c>
      <c r="K582" s="11" t="n">
        <v>17.20715643760052</v>
      </c>
      <c r="L582" s="12" t="n">
        <v>1.488834769902083</v>
      </c>
      <c r="M582" s="12" t="n">
        <v>1.85</v>
      </c>
      <c r="N582" s="12" t="n">
        <v>3.409543763430188</v>
      </c>
      <c r="O582" s="12" t="n">
        <v>304.8917694976071</v>
      </c>
      <c r="P582" s="5" t="inlineStr">
        <is>
          <t>Normal</t>
        </is>
      </c>
      <c r="Q582" s="5" t="inlineStr">
        <is>
          <t>Build</t>
        </is>
      </c>
      <c r="R582" s="12" t="n">
        <v>0.55</v>
      </c>
      <c r="S582" s="5" t="inlineStr">
        <is>
          <t>REDUCED</t>
        </is>
      </c>
      <c r="T582" s="5" t="inlineStr">
        <is>
          <t>Normal operation</t>
        </is>
      </c>
    </row>
    <row r="583" s="17">
      <c r="A583" s="7" t="n">
        <v>6240</v>
      </c>
      <c r="B583" s="8" t="n">
        <v>66822.82547900001</v>
      </c>
      <c r="C583" s="9" t="n">
        <v>66.822825479</v>
      </c>
      <c r="D583" s="9" t="n">
        <v>123.24095712</v>
      </c>
      <c r="E583" s="9" t="n">
        <v>44.6108618</v>
      </c>
      <c r="F583" s="10" t="n">
        <v>0.1559349009602013</v>
      </c>
      <c r="G583" s="10" t="n">
        <v>0.1207639587000477</v>
      </c>
      <c r="H583" s="10" t="n">
        <v>0.938460378142391</v>
      </c>
      <c r="I583" s="10" t="n">
        <v>0.989249</v>
      </c>
      <c r="J583" s="5" t="inlineStr">
        <is>
          <t>Cleaner sand</t>
        </is>
      </c>
      <c r="K583" s="11" t="n">
        <v>20.39062994302879</v>
      </c>
      <c r="L583" s="12" t="n">
        <v>1.650484393115011</v>
      </c>
      <c r="M583" s="12" t="n">
        <v>1.85</v>
      </c>
      <c r="N583" s="12" t="n">
        <v>6.4356942059488</v>
      </c>
      <c r="O583" s="12" t="n">
        <v>278.3423787267262</v>
      </c>
      <c r="P583" s="5" t="inlineStr">
        <is>
          <t>Normal</t>
        </is>
      </c>
      <c r="Q583" s="5" t="inlineStr">
        <is>
          <t>Build</t>
        </is>
      </c>
      <c r="R583" s="12" t="n">
        <v>0.45</v>
      </c>
      <c r="S583" s="5" t="inlineStr">
        <is>
          <t>REJECTED</t>
        </is>
      </c>
      <c r="T583" s="5" t="inlineStr">
        <is>
          <t>Normal operation</t>
        </is>
      </c>
    </row>
    <row r="584" s="17">
      <c r="A584" s="7" t="n">
        <v>6245</v>
      </c>
      <c r="B584" s="8" t="n">
        <v>62942.100606</v>
      </c>
      <c r="C584" s="9" t="n">
        <v>62.942100606</v>
      </c>
      <c r="D584" s="9" t="n">
        <v>119.67709727</v>
      </c>
      <c r="E584" s="9" t="n">
        <v>50.35361208</v>
      </c>
      <c r="F584" s="10" t="n">
        <v>0.101176088397979</v>
      </c>
      <c r="G584" s="10" t="n">
        <v>0.3065035002569342</v>
      </c>
      <c r="H584" s="10" t="n">
        <v>0.8859826868352662</v>
      </c>
      <c r="I584" s="10" t="n">
        <v>1.168084</v>
      </c>
      <c r="J584" s="5" t="inlineStr">
        <is>
          <t>Transition</t>
        </is>
      </c>
      <c r="K584" s="11" t="n">
        <v>20.72495049076967</v>
      </c>
      <c r="L584" s="12" t="n">
        <v>1.511441906411205</v>
      </c>
      <c r="M584" s="12" t="n">
        <v>1.85</v>
      </c>
      <c r="N584" s="12" t="n">
        <v>9.119146668252922</v>
      </c>
      <c r="O584" s="12" t="n">
        <v>297.5117287785046</v>
      </c>
      <c r="P584" s="5" t="inlineStr">
        <is>
          <t>Normal</t>
        </is>
      </c>
      <c r="Q584" s="5" t="inlineStr">
        <is>
          <t>Build</t>
        </is>
      </c>
      <c r="R584" s="12" t="n">
        <v>0.84</v>
      </c>
      <c r="S584" s="5" t="inlineStr">
        <is>
          <t>ACCEPTED</t>
        </is>
      </c>
      <c r="T584" s="5" t="inlineStr">
        <is>
          <t>Normal operation</t>
        </is>
      </c>
    </row>
    <row r="585" s="17">
      <c r="A585" s="7" t="n">
        <v>6250</v>
      </c>
      <c r="B585" s="8" t="n">
        <v>39171.883755</v>
      </c>
      <c r="C585" s="9" t="n">
        <v>39.171883755</v>
      </c>
      <c r="D585" s="9" t="n">
        <v>130.42420472</v>
      </c>
      <c r="E585" s="9" t="n">
        <v>59.35653886</v>
      </c>
      <c r="F585" s="10" t="n">
        <v>0.03363246011228393</v>
      </c>
      <c r="G585" s="10" t="n">
        <v>0.07602443887713363</v>
      </c>
      <c r="H585" s="10" t="n">
        <v>0.9513414491703475</v>
      </c>
      <c r="I585" s="10" t="n">
        <v>0.209144</v>
      </c>
      <c r="J585" s="5" t="inlineStr">
        <is>
          <t>Cleaner sand</t>
        </is>
      </c>
      <c r="K585" s="11" t="n">
        <v>17.99100452702048</v>
      </c>
      <c r="L585" s="12" t="n">
        <v>2.051971531951605</v>
      </c>
      <c r="M585" s="12" t="n">
        <v>1.85</v>
      </c>
      <c r="N585" s="12" t="n">
        <v>8.935006249019585</v>
      </c>
      <c r="O585" s="12" t="n">
        <v>306.5405477871138</v>
      </c>
      <c r="P585" s="5" t="inlineStr">
        <is>
          <t>Normal</t>
        </is>
      </c>
      <c r="Q585" s="5" t="inlineStr">
        <is>
          <t>Build</t>
        </is>
      </c>
      <c r="R585" s="12" t="n">
        <v>0.85</v>
      </c>
      <c r="S585" s="5" t="inlineStr">
        <is>
          <t>ACCEPTED</t>
        </is>
      </c>
      <c r="T585" s="5" t="inlineStr">
        <is>
          <t>Normal operation</t>
        </is>
      </c>
    </row>
    <row r="586" s="17">
      <c r="A586" s="7" t="n">
        <v>6255</v>
      </c>
      <c r="B586" s="8" t="n">
        <v>43362.964553</v>
      </c>
      <c r="C586" s="9" t="n">
        <v>43.362964553</v>
      </c>
      <c r="D586" s="9" t="n">
        <v>140.27573525</v>
      </c>
      <c r="E586" s="9" t="n">
        <v>63.68202492</v>
      </c>
      <c r="F586" s="10" t="n">
        <v>0.1092909111531961</v>
      </c>
      <c r="G586" s="10" t="n">
        <v>0.3408536877550007</v>
      </c>
      <c r="H586" s="10" t="n">
        <v>0.8844866952365432</v>
      </c>
      <c r="I586" s="10" t="n">
        <v>1.279724</v>
      </c>
      <c r="J586" s="5" t="inlineStr">
        <is>
          <t>Transition</t>
        </is>
      </c>
      <c r="K586" s="11" t="n">
        <v>16.67300832319065</v>
      </c>
      <c r="L586" s="12" t="n">
        <v>1.1</v>
      </c>
      <c r="M586" s="12" t="n">
        <v>1.85</v>
      </c>
      <c r="N586" s="12" t="n">
        <v>8.362551789304129</v>
      </c>
      <c r="O586" s="12" t="n">
        <v>298.3076602687937</v>
      </c>
      <c r="P586" s="5" t="inlineStr">
        <is>
          <t>Normal</t>
        </is>
      </c>
      <c r="Q586" s="5" t="inlineStr">
        <is>
          <t>Build</t>
        </is>
      </c>
      <c r="R586" s="12" t="n">
        <v>0.42</v>
      </c>
      <c r="S586" s="5" t="inlineStr">
        <is>
          <t>REJECTED</t>
        </is>
      </c>
      <c r="T586" s="5" t="inlineStr">
        <is>
          <t>Normal operation</t>
        </is>
      </c>
    </row>
    <row r="587" s="17">
      <c r="A587" s="7" t="n">
        <v>6260</v>
      </c>
      <c r="B587" s="8" t="n">
        <v>71727.41308300001</v>
      </c>
      <c r="C587" s="9" t="n">
        <v>71.727413083</v>
      </c>
      <c r="D587" s="9" t="n">
        <v>155.6647156</v>
      </c>
      <c r="E587" s="9" t="n">
        <v>34.1446524</v>
      </c>
      <c r="F587" s="10" t="n">
        <v>0.05570373557284365</v>
      </c>
      <c r="G587" s="10" t="n">
        <v>0.3352629154885292</v>
      </c>
      <c r="H587" s="10" t="n">
        <v>0.9184213534745821</v>
      </c>
      <c r="I587" s="10" t="n">
        <v>0.493396</v>
      </c>
      <c r="J587" s="5" t="inlineStr">
        <is>
          <t>Transition</t>
        </is>
      </c>
      <c r="K587" s="11" t="n">
        <v>21.95619817472312</v>
      </c>
      <c r="L587" s="12" t="n">
        <v>1.143695614618286</v>
      </c>
      <c r="M587" s="12" t="n">
        <v>1.85</v>
      </c>
      <c r="N587" s="12" t="n">
        <v>9.009071914903558</v>
      </c>
      <c r="O587" s="12" t="n">
        <v>327.7585924507487</v>
      </c>
      <c r="P587" s="5" t="inlineStr">
        <is>
          <t>Normal</t>
        </is>
      </c>
      <c r="Q587" s="5" t="inlineStr">
        <is>
          <t>Turn Left</t>
        </is>
      </c>
      <c r="R587" s="12" t="n">
        <v>0.6</v>
      </c>
      <c r="S587" s="5" t="inlineStr">
        <is>
          <t>REDUCED</t>
        </is>
      </c>
      <c r="T587" s="5" t="inlineStr">
        <is>
          <t>WOB outside preferred band</t>
        </is>
      </c>
    </row>
    <row r="588" s="17">
      <c r="A588" s="7" t="n">
        <v>6265</v>
      </c>
      <c r="B588" s="8" t="n">
        <v>40442.879218</v>
      </c>
      <c r="C588" s="9" t="n">
        <v>40.442879218</v>
      </c>
      <c r="D588" s="9" t="n">
        <v>117.99432187</v>
      </c>
      <c r="E588" s="9" t="n">
        <v>77.46714249999999</v>
      </c>
      <c r="F588" s="10" t="n">
        <v>0.03301944660635427</v>
      </c>
      <c r="G588" s="10" t="n">
        <v>0.1301631552101131</v>
      </c>
      <c r="H588" s="10" t="n">
        <v>0.9667507370365049</v>
      </c>
      <c r="I588" s="10" t="n">
        <v>0.142486</v>
      </c>
      <c r="J588" s="5" t="inlineStr">
        <is>
          <t>Cleaner sand</t>
        </is>
      </c>
      <c r="K588" s="11" t="n">
        <v>15.49471432303715</v>
      </c>
      <c r="L588" s="12" t="n">
        <v>1.136776568426195</v>
      </c>
      <c r="M588" s="12" t="n">
        <v>1.85</v>
      </c>
      <c r="N588" s="12" t="n">
        <v>8.530054330984136</v>
      </c>
      <c r="O588" s="12" t="n">
        <v>306.9180446875698</v>
      </c>
      <c r="P588" s="5" t="inlineStr">
        <is>
          <t>Normal</t>
        </is>
      </c>
      <c r="Q588" s="5" t="inlineStr">
        <is>
          <t>Build</t>
        </is>
      </c>
      <c r="R588" s="12" t="n">
        <v>0.8100000000000001</v>
      </c>
      <c r="S588" s="5" t="inlineStr">
        <is>
          <t>ACCEPTED</t>
        </is>
      </c>
      <c r="T588" s="5" t="inlineStr">
        <is>
          <t>Normal operation</t>
        </is>
      </c>
    </row>
    <row r="589" s="17">
      <c r="A589" s="7" t="n">
        <v>6270</v>
      </c>
      <c r="B589" s="8" t="n">
        <v>57669.65205</v>
      </c>
      <c r="C589" s="9" t="n">
        <v>57.66965205</v>
      </c>
      <c r="D589" s="9" t="n">
        <v>130.68552052</v>
      </c>
      <c r="E589" s="9" t="n">
        <v>30.1982548</v>
      </c>
      <c r="F589" s="10" t="n">
        <v>0.1573556044502634</v>
      </c>
      <c r="G589" s="10" t="n">
        <v>0.1094499643073281</v>
      </c>
      <c r="H589" s="10" t="n">
        <v>0.9591288733996876</v>
      </c>
      <c r="I589" s="10" t="n">
        <v>0.6797299999999999</v>
      </c>
      <c r="J589" s="5" t="inlineStr">
        <is>
          <t>Cleaner sand</t>
        </is>
      </c>
      <c r="K589" s="11" t="n">
        <v>18.27260693893368</v>
      </c>
      <c r="L589" s="12" t="n">
        <v>2.125650720067052</v>
      </c>
      <c r="M589" s="12" t="n">
        <v>1.85</v>
      </c>
      <c r="N589" s="12" t="n">
        <v>10.07933533604967</v>
      </c>
      <c r="O589" s="12" t="n">
        <v>315.541892143769</v>
      </c>
      <c r="P589" s="5" t="inlineStr">
        <is>
          <t>Normal</t>
        </is>
      </c>
      <c r="Q589" s="5" t="inlineStr">
        <is>
          <t>Turn Left</t>
        </is>
      </c>
      <c r="R589" s="12" t="n">
        <v>0.92</v>
      </c>
      <c r="S589" s="5" t="inlineStr">
        <is>
          <t>ACCEPTED</t>
        </is>
      </c>
      <c r="T589" s="5" t="inlineStr">
        <is>
          <t>Normal operation</t>
        </is>
      </c>
    </row>
    <row r="590" s="17">
      <c r="A590" s="7" t="n">
        <v>6275</v>
      </c>
      <c r="B590" s="8" t="n">
        <v>64585.00426</v>
      </c>
      <c r="C590" s="9" t="n">
        <v>64.58500426000001</v>
      </c>
      <c r="D590" s="9" t="n">
        <v>166.59471679</v>
      </c>
      <c r="E590" s="9" t="n">
        <v>47.56571539999999</v>
      </c>
      <c r="F590" s="10" t="n">
        <v>0.1104698097161604</v>
      </c>
      <c r="G590" s="10" t="n">
        <v>0.225914963755613</v>
      </c>
      <c r="H590" s="10" t="n">
        <v>0.8772186800197078</v>
      </c>
      <c r="I590" s="10" t="n">
        <v>1.389976</v>
      </c>
      <c r="J590" s="5" t="inlineStr">
        <is>
          <t>Cleaner sand</t>
        </is>
      </c>
      <c r="K590" s="11" t="n">
        <v>21.22466995412207</v>
      </c>
      <c r="L590" s="12" t="n">
        <v>2.498200552565143</v>
      </c>
      <c r="M590" s="12" t="n">
        <v>1.85</v>
      </c>
      <c r="N590" s="12" t="n">
        <v>11.19633380484729</v>
      </c>
      <c r="O590" s="12" t="n">
        <v>324.0472203881242</v>
      </c>
      <c r="P590" s="5" t="inlineStr">
        <is>
          <t>Normal</t>
        </is>
      </c>
      <c r="Q590" s="5" t="inlineStr">
        <is>
          <t>Turn Left</t>
        </is>
      </c>
      <c r="R590" s="12" t="n">
        <v>0.61</v>
      </c>
      <c r="S590" s="5" t="inlineStr">
        <is>
          <t>REDUCED</t>
        </is>
      </c>
      <c r="T590" s="5" t="inlineStr">
        <is>
          <t>Normal operation</t>
        </is>
      </c>
    </row>
    <row r="591" s="17">
      <c r="A591" s="7" t="n">
        <v>6280</v>
      </c>
      <c r="B591" s="8" t="n">
        <v>38453.111886</v>
      </c>
      <c r="C591" s="9" t="n">
        <v>38.453111886</v>
      </c>
      <c r="D591" s="9" t="n">
        <v>123.8787835</v>
      </c>
      <c r="E591" s="9" t="n">
        <v>79.24249498</v>
      </c>
      <c r="F591" s="10" t="n">
        <v>0.04127676496212394</v>
      </c>
      <c r="G591" s="10" t="n">
        <v>0.166998238136066</v>
      </c>
      <c r="H591" s="10" t="n">
        <v>0.9555990840341433</v>
      </c>
      <c r="I591" s="10" t="n">
        <v>0.206287</v>
      </c>
      <c r="J591" s="5" t="inlineStr">
        <is>
          <t>Cleaner sand</t>
        </is>
      </c>
      <c r="K591" s="11" t="n">
        <v>14.73203015177731</v>
      </c>
      <c r="L591" s="12" t="n">
        <v>1.608819882916639</v>
      </c>
      <c r="M591" s="12" t="n">
        <v>1.85</v>
      </c>
      <c r="N591" s="12" t="n">
        <v>8.487582470484009</v>
      </c>
      <c r="O591" s="12" t="n">
        <v>314.9483580215976</v>
      </c>
      <c r="P591" s="5" t="inlineStr">
        <is>
          <t>Normal</t>
        </is>
      </c>
      <c r="Q591" s="5" t="inlineStr">
        <is>
          <t>Build</t>
        </is>
      </c>
      <c r="R591" s="12" t="n">
        <v>0.88</v>
      </c>
      <c r="S591" s="5" t="inlineStr">
        <is>
          <t>ACCEPTED</t>
        </is>
      </c>
      <c r="T591" s="5" t="inlineStr">
        <is>
          <t>Normal operation</t>
        </is>
      </c>
    </row>
    <row r="592" s="17">
      <c r="A592" s="7" t="n">
        <v>6285</v>
      </c>
      <c r="B592" s="8" t="n">
        <v>48420.458933</v>
      </c>
      <c r="C592" s="9" t="n">
        <v>48.420458933</v>
      </c>
      <c r="D592" s="9" t="n">
        <v>132.07955767</v>
      </c>
      <c r="E592" s="9" t="n">
        <v>30.60442622</v>
      </c>
      <c r="F592" s="10" t="n">
        <v>0.09919295847343192</v>
      </c>
      <c r="G592" s="10" t="n">
        <v>0.1009874260468652</v>
      </c>
      <c r="H592" s="10" t="n">
        <v>0.9183675445322416</v>
      </c>
      <c r="I592" s="10" t="n">
        <v>0.832218</v>
      </c>
      <c r="J592" s="5" t="inlineStr">
        <is>
          <t>Cleaner sand</t>
        </is>
      </c>
      <c r="K592" s="11" t="n">
        <v>17.49289089985357</v>
      </c>
      <c r="L592" s="12" t="n">
        <v>1.577277355636895</v>
      </c>
      <c r="M592" s="12" t="n">
        <v>1.85</v>
      </c>
      <c r="N592" s="12" t="n">
        <v>11.36532054090136</v>
      </c>
      <c r="O592" s="12" t="n">
        <v>304.6046957838731</v>
      </c>
      <c r="P592" s="5" t="inlineStr">
        <is>
          <t>Normal</t>
        </is>
      </c>
      <c r="Q592" s="5" t="inlineStr">
        <is>
          <t>Turn Left</t>
        </is>
      </c>
      <c r="R592" s="12" t="n">
        <v>0.62</v>
      </c>
      <c r="S592" s="5" t="inlineStr">
        <is>
          <t>REDUCED</t>
        </is>
      </c>
      <c r="T592" s="5" t="inlineStr">
        <is>
          <t>Normal operation</t>
        </is>
      </c>
    </row>
    <row r="593" s="17">
      <c r="A593" s="7" t="n">
        <v>6290</v>
      </c>
      <c r="B593" s="8" t="n">
        <v>63170.527337</v>
      </c>
      <c r="C593" s="9" t="n">
        <v>63.170527337</v>
      </c>
      <c r="D593" s="9" t="n">
        <v>148.08637982</v>
      </c>
      <c r="E593" s="9" t="n">
        <v>30</v>
      </c>
      <c r="F593" s="10" t="n">
        <v>0.1152027457887973</v>
      </c>
      <c r="G593" s="10" t="n">
        <v>0.3692110094843424</v>
      </c>
      <c r="H593" s="10" t="n">
        <v>0.8721915859711239</v>
      </c>
      <c r="I593" s="10" t="n">
        <v>1.467347</v>
      </c>
      <c r="J593" s="5" t="inlineStr">
        <is>
          <t>Transition</t>
        </is>
      </c>
      <c r="K593" s="11" t="n">
        <v>19.65652379389552</v>
      </c>
      <c r="L593" s="12" t="n">
        <v>1.694325559925459</v>
      </c>
      <c r="M593" s="12" t="n">
        <v>1.85</v>
      </c>
      <c r="N593" s="12" t="n">
        <v>12.57548713154901</v>
      </c>
      <c r="O593" s="12" t="n">
        <v>320.8215902725177</v>
      </c>
      <c r="P593" s="5" t="inlineStr">
        <is>
          <t>Normal</t>
        </is>
      </c>
      <c r="Q593" s="5" t="inlineStr">
        <is>
          <t>Turn Left</t>
        </is>
      </c>
      <c r="R593" s="12" t="n">
        <v>0.5</v>
      </c>
      <c r="S593" s="5" t="inlineStr">
        <is>
          <t>REDUCED</t>
        </is>
      </c>
      <c r="T593" s="5" t="inlineStr">
        <is>
          <t>Normal operation</t>
        </is>
      </c>
    </row>
    <row r="594" s="17">
      <c r="A594" s="7" t="n">
        <v>6295</v>
      </c>
      <c r="B594" s="8" t="n">
        <v>54362.217667</v>
      </c>
      <c r="C594" s="9" t="n">
        <v>54.362217667</v>
      </c>
      <c r="D594" s="9" t="n">
        <v>134.83138516</v>
      </c>
      <c r="E594" s="9" t="n">
        <v>53.96612536</v>
      </c>
      <c r="F594" s="10" t="n">
        <v>0.05807395348571727</v>
      </c>
      <c r="G594" s="10" t="n">
        <v>0.08383574669155611</v>
      </c>
      <c r="H594" s="10" t="n">
        <v>0.8986758218821357</v>
      </c>
      <c r="I594" s="10" t="n">
        <v>0.607121</v>
      </c>
      <c r="J594" s="5" t="inlineStr">
        <is>
          <t>Cleaner sand</t>
        </is>
      </c>
      <c r="K594" s="11" t="n">
        <v>18.99312242149651</v>
      </c>
      <c r="L594" s="12" t="n">
        <v>2.229320368278013</v>
      </c>
      <c r="M594" s="12" t="n">
        <v>1.85</v>
      </c>
      <c r="N594" s="12" t="n">
        <v>11.21123467625075</v>
      </c>
      <c r="O594" s="12" t="n">
        <v>337.2627209314214</v>
      </c>
      <c r="P594" s="5" t="inlineStr">
        <is>
          <t>Normal</t>
        </is>
      </c>
      <c r="Q594" s="5" t="inlineStr">
        <is>
          <t>Turn Left</t>
        </is>
      </c>
      <c r="R594" s="12" t="n">
        <v>0.4</v>
      </c>
      <c r="S594" s="5" t="inlineStr">
        <is>
          <t>REJECTED</t>
        </is>
      </c>
      <c r="T594" s="5" t="inlineStr">
        <is>
          <t>Normal operation</t>
        </is>
      </c>
    </row>
    <row r="595" s="17">
      <c r="A595" s="7" t="n">
        <v>6300</v>
      </c>
      <c r="B595" s="8" t="n">
        <v>54000.809656</v>
      </c>
      <c r="C595" s="9" t="n">
        <v>54.00080965599999</v>
      </c>
      <c r="D595" s="9" t="n">
        <v>139.79299768</v>
      </c>
      <c r="E595" s="9" t="n">
        <v>35.58603773999999</v>
      </c>
      <c r="F595" s="10" t="n">
        <v>0.131912123702833</v>
      </c>
      <c r="G595" s="10" t="n">
        <v>0.2007092055400497</v>
      </c>
      <c r="H595" s="10" t="n">
        <v>0.919035081699755</v>
      </c>
      <c r="I595" s="10" t="n">
        <v>1.081815</v>
      </c>
      <c r="J595" s="5" t="inlineStr">
        <is>
          <t>Cleaner sand</t>
        </is>
      </c>
      <c r="K595" s="11" t="n">
        <v>18.78133395167248</v>
      </c>
      <c r="L595" s="12" t="n">
        <v>1.205596964246619</v>
      </c>
      <c r="M595" s="12" t="n">
        <v>2.199473755669124</v>
      </c>
      <c r="N595" s="12" t="n">
        <v>13.04931910025503</v>
      </c>
      <c r="O595" s="12" t="n">
        <v>325.276520442143</v>
      </c>
      <c r="P595" s="5" t="inlineStr">
        <is>
          <t>Normal</t>
        </is>
      </c>
      <c r="Q595" s="5" t="inlineStr">
        <is>
          <t>Turn Left</t>
        </is>
      </c>
      <c r="R595" s="12" t="n">
        <v>0.58</v>
      </c>
      <c r="S595" s="5" t="inlineStr">
        <is>
          <t>REDUCED</t>
        </is>
      </c>
      <c r="T595" s="5" t="inlineStr">
        <is>
          <t>Normal operation</t>
        </is>
      </c>
    </row>
    <row r="596" s="17">
      <c r="A596" s="7" t="n">
        <v>6305</v>
      </c>
      <c r="B596" s="8" t="n">
        <v>63990.957025</v>
      </c>
      <c r="C596" s="9" t="n">
        <v>63.990957025</v>
      </c>
      <c r="D596" s="9" t="n">
        <v>121.68009722</v>
      </c>
      <c r="E596" s="9" t="n">
        <v>30</v>
      </c>
      <c r="F596" s="10" t="n">
        <v>0.06587222918448266</v>
      </c>
      <c r="G596" s="10" t="n">
        <v>0.3702429425130981</v>
      </c>
      <c r="H596" s="10" t="n">
        <v>0.8779729112880856</v>
      </c>
      <c r="I596" s="10" t="n">
        <v>0.8196830000000001</v>
      </c>
      <c r="J596" s="5" t="inlineStr">
        <is>
          <t>Transition</t>
        </is>
      </c>
      <c r="K596" s="11" t="n">
        <v>21.32261594790793</v>
      </c>
      <c r="L596" s="12" t="n">
        <v>1.776800801540045</v>
      </c>
      <c r="M596" s="12" t="n">
        <v>1.85</v>
      </c>
      <c r="N596" s="12" t="n">
        <v>16.18500233490773</v>
      </c>
      <c r="O596" s="12" t="n">
        <v>321.6703080573999</v>
      </c>
      <c r="P596" s="5" t="inlineStr">
        <is>
          <t>Normal</t>
        </is>
      </c>
      <c r="Q596" s="5" t="inlineStr">
        <is>
          <t>Drop</t>
        </is>
      </c>
      <c r="R596" s="12" t="n">
        <v>0.61</v>
      </c>
      <c r="S596" s="5" t="inlineStr">
        <is>
          <t>REDUCED</t>
        </is>
      </c>
      <c r="T596" s="5" t="inlineStr">
        <is>
          <t>Normal operation</t>
        </is>
      </c>
    </row>
    <row r="597" s="17">
      <c r="A597" s="7" t="n">
        <v>6310</v>
      </c>
      <c r="B597" s="8" t="n">
        <v>52898.938092</v>
      </c>
      <c r="C597" s="9" t="n">
        <v>52.89893809199999</v>
      </c>
      <c r="D597" s="9" t="n">
        <v>146.49367846</v>
      </c>
      <c r="E597" s="9" t="n">
        <v>60.14274994</v>
      </c>
      <c r="F597" s="10" t="n">
        <v>0.03945989056662131</v>
      </c>
      <c r="G597" s="10" t="n">
        <v>0.2261243372416489</v>
      </c>
      <c r="H597" s="10" t="n">
        <v>0.9199395930403252</v>
      </c>
      <c r="I597" s="10" t="n">
        <v>0.31718</v>
      </c>
      <c r="J597" s="5" t="inlineStr">
        <is>
          <t>Cleaner sand</t>
        </is>
      </c>
      <c r="K597" s="11" t="n">
        <v>17.7349974368244</v>
      </c>
      <c r="L597" s="12" t="n">
        <v>2.13784683859339</v>
      </c>
      <c r="M597" s="12" t="n">
        <v>1.85</v>
      </c>
      <c r="N597" s="12" t="n">
        <v>12.77784917880563</v>
      </c>
      <c r="O597" s="12" t="n">
        <v>340.6881772601599</v>
      </c>
      <c r="P597" s="5" t="inlineStr">
        <is>
          <t>Normal</t>
        </is>
      </c>
      <c r="Q597" s="5" t="inlineStr">
        <is>
          <t>Turn Left</t>
        </is>
      </c>
      <c r="R597" s="12" t="n">
        <v>0.92</v>
      </c>
      <c r="S597" s="5" t="inlineStr">
        <is>
          <t>ACCEPTED</t>
        </is>
      </c>
      <c r="T597" s="5" t="inlineStr">
        <is>
          <t>Normal operation</t>
        </is>
      </c>
    </row>
    <row r="598" s="17">
      <c r="A598" s="7" t="n">
        <v>6315</v>
      </c>
      <c r="B598" s="8" t="n">
        <v>37865.3723</v>
      </c>
      <c r="C598" s="9" t="n">
        <v>37.8653723</v>
      </c>
      <c r="D598" s="9" t="n">
        <v>127.83096983</v>
      </c>
      <c r="E598" s="9" t="n">
        <v>52.39492336</v>
      </c>
      <c r="F598" s="10" t="n">
        <v>0.07035662462394489</v>
      </c>
      <c r="G598" s="10" t="n">
        <v>0.02207286726436626</v>
      </c>
      <c r="H598" s="10" t="n">
        <v>0.9765452850672842</v>
      </c>
      <c r="I598" s="10" t="n">
        <v>0.212544</v>
      </c>
      <c r="J598" s="5" t="inlineStr">
        <is>
          <t>Cleaner sand</t>
        </is>
      </c>
      <c r="K598" s="11" t="n">
        <v>15.21014102153114</v>
      </c>
      <c r="L598" s="12" t="n">
        <v>1.905536143270524</v>
      </c>
      <c r="M598" s="12" t="n">
        <v>1.85</v>
      </c>
      <c r="N598" s="12" t="n">
        <v>13.81233722729065</v>
      </c>
      <c r="O598" s="12" t="n">
        <v>329.2243049167722</v>
      </c>
      <c r="P598" s="5" t="inlineStr">
        <is>
          <t>Normal</t>
        </is>
      </c>
      <c r="Q598" s="5" t="inlineStr">
        <is>
          <t>Turn Left</t>
        </is>
      </c>
      <c r="R598" s="12" t="n">
        <v>0.51</v>
      </c>
      <c r="S598" s="5" t="inlineStr">
        <is>
          <t>REDUCED</t>
        </is>
      </c>
      <c r="T598" s="5" t="inlineStr">
        <is>
          <t>Normal operation</t>
        </is>
      </c>
    </row>
    <row r="599" s="17">
      <c r="A599" s="7" t="n">
        <v>6320</v>
      </c>
      <c r="B599" s="8" t="n">
        <v>56777.514807</v>
      </c>
      <c r="C599" s="9" t="n">
        <v>56.777514807</v>
      </c>
      <c r="D599" s="9" t="n">
        <v>118.39406128</v>
      </c>
      <c r="E599" s="9" t="n">
        <v>30</v>
      </c>
      <c r="F599" s="10" t="n">
        <v>0.1190145710012598</v>
      </c>
      <c r="G599" s="10" t="n">
        <v>0.3168452539005294</v>
      </c>
      <c r="H599" s="10" t="n">
        <v>0.9614024921702479</v>
      </c>
      <c r="I599" s="10" t="n">
        <v>0.452752</v>
      </c>
      <c r="J599" s="5" t="inlineStr">
        <is>
          <t>Transition</t>
        </is>
      </c>
      <c r="K599" s="11" t="n">
        <v>17.97960425944881</v>
      </c>
      <c r="L599" s="12" t="n">
        <v>1.752894992133384</v>
      </c>
      <c r="M599" s="12" t="n">
        <v>1.85</v>
      </c>
      <c r="N599" s="12" t="n">
        <v>12.72910710611911</v>
      </c>
      <c r="O599" s="12" t="n">
        <v>328.3315884515028</v>
      </c>
      <c r="P599" s="5" t="inlineStr">
        <is>
          <t>Normal</t>
        </is>
      </c>
      <c r="Q599" s="5" t="inlineStr">
        <is>
          <t>Turn Left</t>
        </is>
      </c>
      <c r="R599" s="12" t="n">
        <v>0.61</v>
      </c>
      <c r="S599" s="5" t="inlineStr">
        <is>
          <t>REDUCED</t>
        </is>
      </c>
      <c r="T599" s="5" t="inlineStr">
        <is>
          <t>Normal operation</t>
        </is>
      </c>
    </row>
    <row r="600" s="17">
      <c r="A600" s="7" t="n">
        <v>6325</v>
      </c>
      <c r="B600" s="8" t="n">
        <v>52291.02611</v>
      </c>
      <c r="C600" s="9" t="n">
        <v>52.29102611</v>
      </c>
      <c r="D600" s="9" t="n">
        <v>123.73307228</v>
      </c>
      <c r="E600" s="9" t="n">
        <v>76.37374138</v>
      </c>
      <c r="F600" s="10" t="n">
        <v>0.06196345094144049</v>
      </c>
      <c r="G600" s="10" t="n">
        <v>0.0953511648630599</v>
      </c>
      <c r="H600" s="10" t="n">
        <v>0.9109768302078821</v>
      </c>
      <c r="I600" s="10" t="n">
        <v>0.596788</v>
      </c>
      <c r="J600" s="5" t="inlineStr">
        <is>
          <t>Cleaner sand</t>
        </is>
      </c>
      <c r="K600" s="11" t="n">
        <v>17.6889124148502</v>
      </c>
      <c r="L600" s="12" t="n">
        <v>2.150512585357899</v>
      </c>
      <c r="M600" s="12" t="n">
        <v>1.85</v>
      </c>
      <c r="N600" s="12" t="n">
        <v>14.31175107885672</v>
      </c>
      <c r="O600" s="12" t="n">
        <v>335.6267826687114</v>
      </c>
      <c r="P600" s="5" t="inlineStr">
        <is>
          <t>Normal</t>
        </is>
      </c>
      <c r="Q600" s="5" t="inlineStr">
        <is>
          <t>Turn Left</t>
        </is>
      </c>
      <c r="R600" s="12" t="n">
        <v>0.41</v>
      </c>
      <c r="S600" s="5" t="inlineStr">
        <is>
          <t>REJECTED</t>
        </is>
      </c>
      <c r="T600" s="5" t="inlineStr">
        <is>
          <t>Normal operation</t>
        </is>
      </c>
    </row>
    <row r="601" s="17">
      <c r="A601" s="7" t="n">
        <v>6330</v>
      </c>
      <c r="B601" s="8" t="n">
        <v>38832.855136</v>
      </c>
      <c r="C601" s="9" t="n">
        <v>38.832855136</v>
      </c>
      <c r="D601" s="9" t="n">
        <v>132.06843843</v>
      </c>
      <c r="E601" s="9" t="n">
        <v>61.9170151</v>
      </c>
      <c r="F601" s="10" t="n">
        <v>0.1101314529726666</v>
      </c>
      <c r="G601" s="10" t="n">
        <v>0.135010222908113</v>
      </c>
      <c r="H601" s="10" t="n">
        <v>0.9649336532902911</v>
      </c>
      <c r="I601" s="10" t="n">
        <v>0.403798</v>
      </c>
      <c r="J601" s="5" t="inlineStr">
        <is>
          <t>Cleaner sand</t>
        </is>
      </c>
      <c r="K601" s="11" t="n">
        <v>16.03525746708244</v>
      </c>
      <c r="L601" s="12" t="n">
        <v>1.1</v>
      </c>
      <c r="M601" s="12" t="n">
        <v>1.85</v>
      </c>
      <c r="N601" s="12" t="n">
        <v>15.06202093254618</v>
      </c>
      <c r="O601" s="12" t="n">
        <v>342.3345669537039</v>
      </c>
      <c r="P601" s="5" t="inlineStr">
        <is>
          <t>Normal</t>
        </is>
      </c>
      <c r="Q601" s="5" t="inlineStr">
        <is>
          <t>Turn Left</t>
        </is>
      </c>
      <c r="R601" s="12" t="n">
        <v>0.82</v>
      </c>
      <c r="S601" s="5" t="inlineStr">
        <is>
          <t>ACCEPTED</t>
        </is>
      </c>
      <c r="T601" s="5" t="inlineStr">
        <is>
          <t>Normal operation</t>
        </is>
      </c>
    </row>
    <row r="602" s="17">
      <c r="A602" s="7" t="n">
        <v>6335</v>
      </c>
      <c r="B602" s="8" t="n">
        <v>70545.276854</v>
      </c>
      <c r="C602" s="9" t="n">
        <v>70.54527685399999</v>
      </c>
      <c r="D602" s="9" t="n">
        <v>167.98873345</v>
      </c>
      <c r="E602" s="9" t="n">
        <v>30</v>
      </c>
      <c r="F602" s="10" t="n">
        <v>0.1009703661983888</v>
      </c>
      <c r="G602" s="10" t="n">
        <v>0.32470757450815</v>
      </c>
      <c r="H602" s="10" t="n">
        <v>0.925645476348941</v>
      </c>
      <c r="I602" s="10" t="n">
        <v>0.744832</v>
      </c>
      <c r="J602" s="5" t="inlineStr">
        <is>
          <t>Transition</t>
        </is>
      </c>
      <c r="K602" s="11" t="n">
        <v>22.24754578659086</v>
      </c>
      <c r="L602" s="12" t="n">
        <v>1.992158906570145</v>
      </c>
      <c r="M602" s="12" t="n">
        <v>1.85</v>
      </c>
      <c r="N602" s="12" t="n">
        <v>15.10450611501556</v>
      </c>
      <c r="O602" s="12" t="n">
        <v>344.5</v>
      </c>
      <c r="P602" s="5" t="inlineStr">
        <is>
          <t>Normal</t>
        </is>
      </c>
      <c r="Q602" s="5" t="inlineStr">
        <is>
          <t>Turn Left</t>
        </is>
      </c>
      <c r="R602" s="12" t="n">
        <v>0.9</v>
      </c>
      <c r="S602" s="5" t="inlineStr">
        <is>
          <t>ACCEPTED</t>
        </is>
      </c>
      <c r="T602" s="5" t="inlineStr">
        <is>
          <t>WOB outside preferred band</t>
        </is>
      </c>
    </row>
    <row r="603" s="17">
      <c r="A603" s="7" t="n">
        <v>6340</v>
      </c>
      <c r="B603" s="8" t="n">
        <v>46106.709287</v>
      </c>
      <c r="C603" s="9" t="n">
        <v>46.106709287</v>
      </c>
      <c r="D603" s="9" t="n">
        <v>138.71572227</v>
      </c>
      <c r="E603" s="9" t="n">
        <v>71.37908693999999</v>
      </c>
      <c r="F603" s="10" t="n">
        <v>0.07194219484516007</v>
      </c>
      <c r="G603" s="10" t="n">
        <v>0.06043869083545741</v>
      </c>
      <c r="H603" s="10" t="n">
        <v>0.9013842305395882</v>
      </c>
      <c r="I603" s="10" t="n">
        <v>0.7199410000000001</v>
      </c>
      <c r="J603" s="5" t="inlineStr">
        <is>
          <t>Cleaner sand</t>
        </is>
      </c>
      <c r="K603" s="11" t="n">
        <v>16.07361073928156</v>
      </c>
      <c r="L603" s="12" t="n">
        <v>1.339502915267562</v>
      </c>
      <c r="M603" s="12" t="n">
        <v>1.85</v>
      </c>
      <c r="N603" s="12" t="n">
        <v>13.913150409638</v>
      </c>
      <c r="O603" s="12" t="n">
        <v>343.2713270991804</v>
      </c>
      <c r="P603" s="5" t="inlineStr">
        <is>
          <t>Normal</t>
        </is>
      </c>
      <c r="Q603" s="5" t="inlineStr">
        <is>
          <t>Turn Left</t>
        </is>
      </c>
      <c r="R603" s="12" t="n">
        <v>0.53</v>
      </c>
      <c r="S603" s="5" t="inlineStr">
        <is>
          <t>REDUCED</t>
        </is>
      </c>
      <c r="T603" s="5" t="inlineStr">
        <is>
          <t>Normal operation</t>
        </is>
      </c>
    </row>
    <row r="604" s="17">
      <c r="A604" s="7" t="n">
        <v>6345</v>
      </c>
      <c r="B604" s="8" t="n">
        <v>56462.786533</v>
      </c>
      <c r="C604" s="9" t="n">
        <v>56.462786533</v>
      </c>
      <c r="D604" s="9" t="n">
        <v>145.87259241</v>
      </c>
      <c r="E604" s="9" t="n">
        <v>45.48584362</v>
      </c>
      <c r="F604" s="10" t="n">
        <v>0.1530884824849966</v>
      </c>
      <c r="G604" s="10" t="n">
        <v>0.1301968155768721</v>
      </c>
      <c r="H604" s="10" t="n">
        <v>0.8862132560395189</v>
      </c>
      <c r="I604" s="10" t="n">
        <v>1.756948</v>
      </c>
      <c r="J604" s="5" t="inlineStr">
        <is>
          <t>Cleaner sand</t>
        </is>
      </c>
      <c r="K604" s="11" t="n">
        <v>19.77008855914536</v>
      </c>
      <c r="L604" s="12" t="n">
        <v>1.1</v>
      </c>
      <c r="M604" s="12" t="n">
        <v>1.85</v>
      </c>
      <c r="N604" s="12" t="n">
        <v>15.89456788057774</v>
      </c>
      <c r="O604" s="12" t="n">
        <v>344.5</v>
      </c>
      <c r="P604" s="5" t="inlineStr">
        <is>
          <t>Normal</t>
        </is>
      </c>
      <c r="Q604" s="5" t="inlineStr">
        <is>
          <t>Turn Left</t>
        </is>
      </c>
      <c r="R604" s="12" t="n">
        <v>0.64</v>
      </c>
      <c r="S604" s="5" t="inlineStr">
        <is>
          <t>REDUCED</t>
        </is>
      </c>
      <c r="T604" s="5" t="inlineStr">
        <is>
          <t>Normal operation</t>
        </is>
      </c>
    </row>
    <row r="605" s="17">
      <c r="A605" s="7" t="n">
        <v>6350</v>
      </c>
      <c r="B605" s="8" t="n">
        <v>69262.076332</v>
      </c>
      <c r="C605" s="9" t="n">
        <v>69.26207633199999</v>
      </c>
      <c r="D605" s="9" t="n">
        <v>103.49012704</v>
      </c>
      <c r="E605" s="9" t="n">
        <v>47.53815766</v>
      </c>
      <c r="F605" s="10" t="n">
        <v>0.08326403463322385</v>
      </c>
      <c r="G605" s="10" t="n">
        <v>0.3545835658891199</v>
      </c>
      <c r="H605" s="10" t="n">
        <v>0.9271858109877308</v>
      </c>
      <c r="I605" s="10" t="n">
        <v>0.645249</v>
      </c>
      <c r="J605" s="5" t="inlineStr">
        <is>
          <t>Transition</t>
        </is>
      </c>
      <c r="K605" s="11" t="n">
        <v>22.61018670108124</v>
      </c>
      <c r="L605" s="12" t="n">
        <v>1.910489273767241</v>
      </c>
      <c r="M605" s="12" t="n">
        <v>1.85</v>
      </c>
      <c r="N605" s="12" t="n">
        <v>17.91469555078276</v>
      </c>
      <c r="O605" s="12" t="n">
        <v>329.4848476954325</v>
      </c>
      <c r="P605" s="5" t="inlineStr">
        <is>
          <t>Normal</t>
        </is>
      </c>
      <c r="Q605" s="5" t="inlineStr">
        <is>
          <t>Drop</t>
        </is>
      </c>
      <c r="R605" s="12" t="n">
        <v>0.47</v>
      </c>
      <c r="S605" s="5" t="inlineStr">
        <is>
          <t>REJECTED</t>
        </is>
      </c>
      <c r="T605" s="5" t="inlineStr">
        <is>
          <t>Normal operation</t>
        </is>
      </c>
    </row>
    <row r="606" s="17">
      <c r="A606" s="7" t="n">
        <v>6355</v>
      </c>
      <c r="B606" s="8" t="n">
        <v>55835.510873</v>
      </c>
      <c r="C606" s="9" t="n">
        <v>55.835510873</v>
      </c>
      <c r="D606" s="9" t="n">
        <v>130.99007705</v>
      </c>
      <c r="E606" s="9" t="n">
        <v>51.83847628</v>
      </c>
      <c r="F606" s="10" t="n">
        <v>0.07072946196120686</v>
      </c>
      <c r="G606" s="10" t="n">
        <v>0.1596778526076704</v>
      </c>
      <c r="H606" s="10" t="n">
        <v>0.9291352669732266</v>
      </c>
      <c r="I606" s="10" t="n">
        <v>0.506757</v>
      </c>
      <c r="J606" s="5" t="inlineStr">
        <is>
          <t>Cleaner sand</t>
        </is>
      </c>
      <c r="K606" s="11" t="n">
        <v>19.19854798234967</v>
      </c>
      <c r="L606" s="12" t="n">
        <v>2.333092687129849</v>
      </c>
      <c r="M606" s="12" t="n">
        <v>1.85</v>
      </c>
      <c r="N606" s="12" t="n">
        <v>16.98461057691386</v>
      </c>
      <c r="O606" s="12" t="n">
        <v>323.7500128277252</v>
      </c>
      <c r="P606" s="5" t="inlineStr">
        <is>
          <t>Normal</t>
        </is>
      </c>
      <c r="Q606" s="5" t="inlineStr">
        <is>
          <t>Turn Left</t>
        </is>
      </c>
      <c r="R606" s="12" t="n">
        <v>0.65</v>
      </c>
      <c r="S606" s="5" t="inlineStr">
        <is>
          <t>REDUCED</t>
        </is>
      </c>
      <c r="T606" s="5" t="inlineStr">
        <is>
          <t>Normal operation</t>
        </is>
      </c>
    </row>
    <row r="607" s="17">
      <c r="A607" s="7" t="n">
        <v>6360</v>
      </c>
      <c r="B607" s="8" t="n">
        <v>61352.476679</v>
      </c>
      <c r="C607" s="9" t="n">
        <v>61.352476679</v>
      </c>
      <c r="D607" s="9" t="n">
        <v>130.44492011</v>
      </c>
      <c r="E607" s="9" t="n">
        <v>65.86936917999999</v>
      </c>
      <c r="F607" s="10" t="n">
        <v>0.1543986561042302</v>
      </c>
      <c r="G607" s="10" t="n">
        <v>0.08257240060934604</v>
      </c>
      <c r="H607" s="10" t="n">
        <v>0.9208484773913098</v>
      </c>
      <c r="I607" s="10" t="n">
        <v>1.242756</v>
      </c>
      <c r="J607" s="5" t="inlineStr">
        <is>
          <t>Cleaner sand</t>
        </is>
      </c>
      <c r="K607" s="11" t="n">
        <v>21.67659821837865</v>
      </c>
      <c r="L607" s="12" t="n">
        <v>1.592650227832431</v>
      </c>
      <c r="M607" s="12" t="n">
        <v>1.85</v>
      </c>
      <c r="N607" s="12" t="n">
        <v>18.03951068143355</v>
      </c>
      <c r="O607" s="12" t="n">
        <v>333.8923743268376</v>
      </c>
      <c r="P607" s="5" t="inlineStr">
        <is>
          <t>Normal</t>
        </is>
      </c>
      <c r="Q607" s="5" t="inlineStr">
        <is>
          <t>Drop</t>
        </is>
      </c>
      <c r="R607" s="12" t="n">
        <v>0.47</v>
      </c>
      <c r="S607" s="5" t="inlineStr">
        <is>
          <t>REJECTED</t>
        </is>
      </c>
      <c r="T607" s="5" t="inlineStr">
        <is>
          <t>Normal operation</t>
        </is>
      </c>
    </row>
    <row r="608" s="17">
      <c r="A608" s="7" t="n">
        <v>6365</v>
      </c>
      <c r="B608" s="8" t="n">
        <v>74252.14864100001</v>
      </c>
      <c r="C608" s="9" t="n">
        <v>74.25214864100001</v>
      </c>
      <c r="D608" s="9" t="n">
        <v>148.9874344</v>
      </c>
      <c r="E608" s="9" t="n">
        <v>30</v>
      </c>
      <c r="F608" s="10" t="n">
        <v>0.04468775315081772</v>
      </c>
      <c r="G608" s="10" t="n">
        <v>0.2653484089920413</v>
      </c>
      <c r="H608" s="10" t="n">
        <v>0.9344714899146797</v>
      </c>
      <c r="I608" s="10" t="n">
        <v>0.338961</v>
      </c>
      <c r="J608" s="5" t="inlineStr">
        <is>
          <t>Transition</t>
        </is>
      </c>
      <c r="K608" s="11" t="n">
        <v>21.39854186068618</v>
      </c>
      <c r="L608" s="12" t="n">
        <v>2.12690852812944</v>
      </c>
      <c r="M608" s="12" t="n">
        <v>1.85</v>
      </c>
      <c r="N608" s="12" t="n">
        <v>16.86835502721888</v>
      </c>
      <c r="O608" s="12" t="n">
        <v>333.3994941746933</v>
      </c>
      <c r="P608" s="5" t="inlineStr">
        <is>
          <t>Normal</t>
        </is>
      </c>
      <c r="Q608" s="5" t="inlineStr">
        <is>
          <t>Turn Left</t>
        </is>
      </c>
      <c r="R608" s="12" t="n">
        <v>0.6899999999999999</v>
      </c>
      <c r="S608" s="5" t="inlineStr">
        <is>
          <t>REDUCED</t>
        </is>
      </c>
      <c r="T608" s="5" t="inlineStr">
        <is>
          <t>WOB outside preferred band</t>
        </is>
      </c>
    </row>
    <row r="609" s="17">
      <c r="A609" s="7" t="n">
        <v>6370</v>
      </c>
      <c r="B609" s="8" t="n">
        <v>42774.161411</v>
      </c>
      <c r="C609" s="9" t="n">
        <v>42.774161411</v>
      </c>
      <c r="D609" s="9" t="n">
        <v>136.25550846</v>
      </c>
      <c r="E609" s="9" t="n">
        <v>63.93158044</v>
      </c>
      <c r="F609" s="10" t="n">
        <v>0.05081346511649992</v>
      </c>
      <c r="G609" s="10" t="n">
        <v>0.2325224888780426</v>
      </c>
      <c r="H609" s="10" t="n">
        <v>0.9060018049823652</v>
      </c>
      <c r="I609" s="10" t="n">
        <v>0.5081329999999999</v>
      </c>
      <c r="J609" s="5" t="inlineStr">
        <is>
          <t>Cleaner sand</t>
        </is>
      </c>
      <c r="K609" s="11" t="n">
        <v>15.13819373300923</v>
      </c>
      <c r="L609" s="12" t="n">
        <v>2.450016346414436</v>
      </c>
      <c r="M609" s="12" t="n">
        <v>1.85</v>
      </c>
      <c r="N609" s="12" t="n">
        <v>18.53888415208126</v>
      </c>
      <c r="O609" s="12" t="n">
        <v>320.4025490778035</v>
      </c>
      <c r="P609" s="5" t="inlineStr">
        <is>
          <t>Normal</t>
        </is>
      </c>
      <c r="Q609" s="5" t="inlineStr">
        <is>
          <t>Drop</t>
        </is>
      </c>
      <c r="R609" s="12" t="n">
        <v>0.8</v>
      </c>
      <c r="S609" s="5" t="inlineStr">
        <is>
          <t>ACCEPTED</t>
        </is>
      </c>
      <c r="T609" s="5" t="inlineStr">
        <is>
          <t>Normal operation</t>
        </is>
      </c>
    </row>
    <row r="610" s="17">
      <c r="A610" s="7" t="n">
        <v>6375</v>
      </c>
      <c r="B610" s="8" t="n">
        <v>64176.8111</v>
      </c>
      <c r="C610" s="9" t="n">
        <v>64.17681109999999</v>
      </c>
      <c r="D610" s="9" t="n">
        <v>114.36728452</v>
      </c>
      <c r="E610" s="9" t="n">
        <v>55.0450502</v>
      </c>
      <c r="F610" s="10" t="n">
        <v>0.1463956858250537</v>
      </c>
      <c r="G610" s="10" t="n">
        <v>0.2086237978710938</v>
      </c>
      <c r="H610" s="10" t="n">
        <v>0.8927212481568618</v>
      </c>
      <c r="I610" s="10" t="n">
        <v>1.574273</v>
      </c>
      <c r="J610" s="5" t="inlineStr">
        <is>
          <t>Cleaner sand</t>
        </is>
      </c>
      <c r="K610" s="11" t="n">
        <v>18.54053833858924</v>
      </c>
      <c r="L610" s="12" t="n">
        <v>2.304308082256183</v>
      </c>
      <c r="M610" s="12" t="n">
        <v>1.85</v>
      </c>
      <c r="N610" s="12" t="n">
        <v>18.3146052831071</v>
      </c>
      <c r="O610" s="12" t="n">
        <v>328.0991272810892</v>
      </c>
      <c r="P610" s="5" t="inlineStr">
        <is>
          <t>Normal</t>
        </is>
      </c>
      <c r="Q610" s="5" t="inlineStr">
        <is>
          <t>Turn Left</t>
        </is>
      </c>
      <c r="R610" s="12" t="n">
        <v>0.7</v>
      </c>
      <c r="S610" s="5" t="inlineStr">
        <is>
          <t>ACCEPTED</t>
        </is>
      </c>
      <c r="T610" s="5" t="inlineStr">
        <is>
          <t>Normal operation</t>
        </is>
      </c>
    </row>
    <row r="611" s="17">
      <c r="A611" s="7" t="n">
        <v>6380</v>
      </c>
      <c r="B611" s="8" t="n">
        <v>42547.062645</v>
      </c>
      <c r="C611" s="9" t="n">
        <v>42.547062645</v>
      </c>
      <c r="D611" s="9" t="n">
        <v>134.50573759</v>
      </c>
      <c r="E611" s="9" t="n">
        <v>42.24470916</v>
      </c>
      <c r="F611" s="10" t="n">
        <v>0.04788949378759041</v>
      </c>
      <c r="G611" s="10" t="n">
        <v>0.1604600823392935</v>
      </c>
      <c r="H611" s="10" t="n">
        <v>0.9267625347165364</v>
      </c>
      <c r="I611" s="10" t="n">
        <v>0.335384</v>
      </c>
      <c r="J611" s="5" t="inlineStr">
        <is>
          <t>Cleaner sand</t>
        </is>
      </c>
      <c r="K611" s="11" t="n">
        <v>17.83712437329588</v>
      </c>
      <c r="L611" s="12" t="n">
        <v>2.463582619391982</v>
      </c>
      <c r="M611" s="12" t="n">
        <v>1.85</v>
      </c>
      <c r="N611" s="12" t="n">
        <v>16.66693023825781</v>
      </c>
      <c r="O611" s="12" t="n">
        <v>332.3181040130576</v>
      </c>
      <c r="P611" s="5" t="inlineStr">
        <is>
          <t>Normal</t>
        </is>
      </c>
      <c r="Q611" s="5" t="inlineStr">
        <is>
          <t>Turn Left</t>
        </is>
      </c>
      <c r="R611" s="12" t="n">
        <v>0.53</v>
      </c>
      <c r="S611" s="5" t="inlineStr">
        <is>
          <t>REDUCED</t>
        </is>
      </c>
      <c r="T611" s="5" t="inlineStr">
        <is>
          <t>Normal operation</t>
        </is>
      </c>
    </row>
    <row r="612" s="17">
      <c r="A612" s="7" t="n">
        <v>6385</v>
      </c>
      <c r="B612" s="8" t="n">
        <v>52746.917334</v>
      </c>
      <c r="C612" s="9" t="n">
        <v>52.746917334</v>
      </c>
      <c r="D612" s="9" t="n">
        <v>134.97290959</v>
      </c>
      <c r="E612" s="9" t="n">
        <v>61.6376657</v>
      </c>
      <c r="F612" s="10" t="n">
        <v>0.05364519551074836</v>
      </c>
      <c r="G612" s="10" t="n">
        <v>0.05826960357332102</v>
      </c>
      <c r="H612" s="10" t="n">
        <v>0.9586964935157842</v>
      </c>
      <c r="I612" s="10" t="n">
        <v>0.218029</v>
      </c>
      <c r="J612" s="5" t="inlineStr">
        <is>
          <t>Cleaner sand</t>
        </is>
      </c>
      <c r="K612" s="11" t="n">
        <v>18.87141958689643</v>
      </c>
      <c r="L612" s="12" t="n">
        <v>2.023642470625227</v>
      </c>
      <c r="M612" s="12" t="n">
        <v>1.85</v>
      </c>
      <c r="N612" s="12" t="n">
        <v>18.20646484949114</v>
      </c>
      <c r="O612" s="12" t="n">
        <v>330.214687112174</v>
      </c>
      <c r="P612" s="5" t="inlineStr">
        <is>
          <t>Normal</t>
        </is>
      </c>
      <c r="Q612" s="5" t="inlineStr">
        <is>
          <t>Hold</t>
        </is>
      </c>
      <c r="R612" s="12" t="n">
        <v>0.59</v>
      </c>
      <c r="S612" s="5" t="inlineStr">
        <is>
          <t>REDUCED</t>
        </is>
      </c>
      <c r="T612" s="5" t="inlineStr">
        <is>
          <t>Normal operation</t>
        </is>
      </c>
    </row>
    <row r="613" s="17">
      <c r="A613" s="7" t="n">
        <v>6390</v>
      </c>
      <c r="B613" s="8" t="n">
        <v>56144.677714</v>
      </c>
      <c r="C613" s="9" t="n">
        <v>56.144677714</v>
      </c>
      <c r="D613" s="9" t="n">
        <v>134.3567548</v>
      </c>
      <c r="E613" s="9" t="n">
        <v>52.5189664</v>
      </c>
      <c r="F613" s="10" t="n">
        <v>0.08708385151166376</v>
      </c>
      <c r="G613" s="10" t="n">
        <v>0.08749618632392786</v>
      </c>
      <c r="H613" s="10" t="n">
        <v>0.9399845900188587</v>
      </c>
      <c r="I613" s="10" t="n">
        <v>0.5386339999999999</v>
      </c>
      <c r="J613" s="5" t="inlineStr">
        <is>
          <t>Cleaner sand</t>
        </is>
      </c>
      <c r="K613" s="11" t="n">
        <v>18.78639087660157</v>
      </c>
      <c r="L613" s="12" t="n">
        <v>1.69696248306178</v>
      </c>
      <c r="M613" s="12" t="n">
        <v>1.85</v>
      </c>
      <c r="N613" s="12" t="n">
        <v>16.39245523718157</v>
      </c>
      <c r="O613" s="12" t="n">
        <v>329.7574894297483</v>
      </c>
      <c r="P613" s="5" t="inlineStr">
        <is>
          <t>Normal</t>
        </is>
      </c>
      <c r="Q613" s="5" t="inlineStr">
        <is>
          <t>Turn Left</t>
        </is>
      </c>
      <c r="R613" s="12" t="n">
        <v>0.75</v>
      </c>
      <c r="S613" s="5" t="inlineStr">
        <is>
          <t>ACCEPTED</t>
        </is>
      </c>
      <c r="T613" s="5" t="inlineStr">
        <is>
          <t>Normal operation</t>
        </is>
      </c>
    </row>
    <row r="614" s="17">
      <c r="A614" s="7" t="n">
        <v>6395</v>
      </c>
      <c r="B614" s="8" t="n">
        <v>61393.829172</v>
      </c>
      <c r="C614" s="9" t="n">
        <v>61.393829172</v>
      </c>
      <c r="D614" s="9" t="n">
        <v>162.65990598</v>
      </c>
      <c r="E614" s="9" t="n">
        <v>30</v>
      </c>
      <c r="F614" s="10" t="n">
        <v>0.09068938546938954</v>
      </c>
      <c r="G614" s="10" t="n">
        <v>0.2327495295504797</v>
      </c>
      <c r="H614" s="10" t="n">
        <v>1</v>
      </c>
      <c r="I614" s="10" t="n">
        <v>0.001</v>
      </c>
      <c r="J614" s="5" t="inlineStr">
        <is>
          <t>Cleaner sand</t>
        </is>
      </c>
      <c r="K614" s="11" t="n">
        <v>20.08737664993011</v>
      </c>
      <c r="L614" s="12" t="n">
        <v>1.1</v>
      </c>
      <c r="M614" s="12" t="n">
        <v>1.85</v>
      </c>
      <c r="N614" s="12" t="n">
        <v>16.74818989870514</v>
      </c>
      <c r="O614" s="12" t="n">
        <v>325.5517487574003</v>
      </c>
      <c r="P614" s="5" t="inlineStr">
        <is>
          <t>Normal</t>
        </is>
      </c>
      <c r="Q614" s="5" t="inlineStr">
        <is>
          <t>Turn Left</t>
        </is>
      </c>
      <c r="R614" s="12" t="n">
        <v>0.72</v>
      </c>
      <c r="S614" s="5" t="inlineStr">
        <is>
          <t>ACCEPTED</t>
        </is>
      </c>
      <c r="T614" s="5" t="inlineStr">
        <is>
          <t>Normal operation</t>
        </is>
      </c>
    </row>
    <row r="615" s="17">
      <c r="A615" s="7" t="n">
        <v>6400</v>
      </c>
      <c r="B615" s="8" t="n">
        <v>33898.772716</v>
      </c>
      <c r="C615" s="9" t="n">
        <v>33.898772716</v>
      </c>
      <c r="D615" s="9" t="n">
        <v>142.25953607</v>
      </c>
      <c r="E615" s="9" t="n">
        <v>78.44529262</v>
      </c>
      <c r="F615" s="10" t="n">
        <v>0.03295852812885436</v>
      </c>
      <c r="G615" s="10" t="n">
        <v>0.1287558823364891</v>
      </c>
      <c r="H615" s="10" t="n">
        <v>0.9691440400756582</v>
      </c>
      <c r="I615" s="10" t="n">
        <v>0.141057</v>
      </c>
      <c r="J615" s="5" t="inlineStr">
        <is>
          <t>Cleaner sand</t>
        </is>
      </c>
      <c r="K615" s="11" t="n">
        <v>13.62498346070163</v>
      </c>
      <c r="L615" s="12" t="n">
        <v>1.539429380816325</v>
      </c>
      <c r="M615" s="12" t="n">
        <v>1.85</v>
      </c>
      <c r="N615" s="12" t="n">
        <v>17.70633441193683</v>
      </c>
      <c r="O615" s="12" t="n">
        <v>315.3292594087311</v>
      </c>
      <c r="P615" s="5" t="inlineStr">
        <is>
          <t>Normal</t>
        </is>
      </c>
      <c r="Q615" s="5" t="inlineStr">
        <is>
          <t>Drop</t>
        </is>
      </c>
      <c r="R615" s="12" t="n">
        <v>0.48</v>
      </c>
      <c r="S615" s="5" t="inlineStr">
        <is>
          <t>REJECTED</t>
        </is>
      </c>
      <c r="T615" s="5" t="inlineStr">
        <is>
          <t>Normal operation</t>
        </is>
      </c>
    </row>
    <row r="616" s="17">
      <c r="A616" s="7" t="n">
        <v>6405</v>
      </c>
      <c r="B616" s="8" t="n">
        <v>47420.693884</v>
      </c>
      <c r="C616" s="9" t="n">
        <v>47.420693884</v>
      </c>
      <c r="D616" s="9" t="n">
        <v>147.57014793</v>
      </c>
      <c r="E616" s="9" t="n">
        <v>59.89595454000001</v>
      </c>
      <c r="F616" s="10" t="n">
        <v>0.1535897155148364</v>
      </c>
      <c r="G616" s="10" t="n">
        <v>0.1308201983715713</v>
      </c>
      <c r="H616" s="10" t="n">
        <v>0.9352665831434473</v>
      </c>
      <c r="I616" s="10" t="n">
        <v>0.986524</v>
      </c>
      <c r="J616" s="5" t="inlineStr">
        <is>
          <t>Cleaner sand</t>
        </is>
      </c>
      <c r="K616" s="11" t="n">
        <v>19.68319822790242</v>
      </c>
      <c r="L616" s="12" t="n">
        <v>1.246809168295066</v>
      </c>
      <c r="M616" s="12" t="n">
        <v>1.85</v>
      </c>
      <c r="N616" s="12" t="n">
        <v>17.73589852425229</v>
      </c>
      <c r="O616" s="12" t="n">
        <v>312.853962246518</v>
      </c>
      <c r="P616" s="5" t="inlineStr">
        <is>
          <t>Normal</t>
        </is>
      </c>
      <c r="Q616" s="5" t="inlineStr">
        <is>
          <t>Drop</t>
        </is>
      </c>
      <c r="R616" s="12" t="n">
        <v>0.86</v>
      </c>
      <c r="S616" s="5" t="inlineStr">
        <is>
          <t>ACCEPTED</t>
        </is>
      </c>
      <c r="T616" s="5" t="inlineStr">
        <is>
          <t>Normal operation</t>
        </is>
      </c>
    </row>
    <row r="617" s="17">
      <c r="A617" s="7" t="n">
        <v>6410</v>
      </c>
      <c r="B617" s="8" t="n">
        <v>64964.073473</v>
      </c>
      <c r="C617" s="9" t="n">
        <v>64.964073473</v>
      </c>
      <c r="D617" s="9" t="n">
        <v>122.99061713</v>
      </c>
      <c r="E617" s="9" t="n">
        <v>39.59368524</v>
      </c>
      <c r="F617" s="10" t="n">
        <v>0.07352038387804712</v>
      </c>
      <c r="G617" s="10" t="n">
        <v>0.3568401473154345</v>
      </c>
      <c r="H617" s="10" t="n">
        <v>0.8835433968362386</v>
      </c>
      <c r="I617" s="10" t="n">
        <v>0.849766</v>
      </c>
      <c r="J617" s="5" t="inlineStr">
        <is>
          <t>Transition</t>
        </is>
      </c>
      <c r="K617" s="11" t="n">
        <v>20.59327434592282</v>
      </c>
      <c r="L617" s="12" t="n">
        <v>2.723761931573929</v>
      </c>
      <c r="M617" s="12" t="n">
        <v>1.85</v>
      </c>
      <c r="N617" s="12" t="n">
        <v>15.69275212065925</v>
      </c>
      <c r="O617" s="12" t="n">
        <v>303.4405622495649</v>
      </c>
      <c r="P617" s="5" t="inlineStr">
        <is>
          <t>Normal</t>
        </is>
      </c>
      <c r="Q617" s="5" t="inlineStr">
        <is>
          <t>Drop</t>
        </is>
      </c>
      <c r="R617" s="12" t="n">
        <v>0.66</v>
      </c>
      <c r="S617" s="5" t="inlineStr">
        <is>
          <t>REDUCED</t>
        </is>
      </c>
      <c r="T617" s="5" t="inlineStr">
        <is>
          <t>High vibration detected</t>
        </is>
      </c>
    </row>
    <row r="618" s="17">
      <c r="A618" s="7" t="n">
        <v>6415</v>
      </c>
      <c r="B618" s="8" t="n">
        <v>33936.512847</v>
      </c>
      <c r="C618" s="9" t="n">
        <v>33.936512847</v>
      </c>
      <c r="D618" s="9" t="n">
        <v>145.340351</v>
      </c>
      <c r="E618" s="9" t="n">
        <v>58.6529682</v>
      </c>
      <c r="F618" s="10" t="n">
        <v>0.04763627258420094</v>
      </c>
      <c r="G618" s="10" t="n">
        <v>0.2034219520735956</v>
      </c>
      <c r="H618" s="10" t="n">
        <v>0.9450888182878292</v>
      </c>
      <c r="I618" s="10" t="n">
        <v>0.287309</v>
      </c>
      <c r="J618" s="5" t="inlineStr">
        <is>
          <t>Cleaner sand</t>
        </is>
      </c>
      <c r="K618" s="11" t="n">
        <v>14.86680852889855</v>
      </c>
      <c r="L618" s="12" t="n">
        <v>1.573815951908155</v>
      </c>
      <c r="M618" s="12" t="n">
        <v>1.85</v>
      </c>
      <c r="N618" s="12" t="n">
        <v>18.49820918419864</v>
      </c>
      <c r="O618" s="12" t="n">
        <v>330.5659890481601</v>
      </c>
      <c r="P618" s="5" t="inlineStr">
        <is>
          <t>Normal</t>
        </is>
      </c>
      <c r="Q618" s="5" t="inlineStr">
        <is>
          <t>Turn Left</t>
        </is>
      </c>
      <c r="R618" s="12" t="n">
        <v>0.49</v>
      </c>
      <c r="S618" s="5" t="inlineStr">
        <is>
          <t>REJECTED</t>
        </is>
      </c>
      <c r="T618" s="5" t="inlineStr">
        <is>
          <t>Normal operation</t>
        </is>
      </c>
    </row>
    <row r="619" s="17">
      <c r="A619" s="7" t="n">
        <v>6420</v>
      </c>
      <c r="B619" s="8" t="n">
        <v>50485.126942</v>
      </c>
      <c r="C619" s="9" t="n">
        <v>50.485126942</v>
      </c>
      <c r="D619" s="9" t="n">
        <v>152.17512517</v>
      </c>
      <c r="E619" s="9" t="n">
        <v>45.2452384</v>
      </c>
      <c r="F619" s="10" t="n">
        <v>0.08974266115129034</v>
      </c>
      <c r="G619" s="10" t="n">
        <v>0.09358633691600388</v>
      </c>
      <c r="H619" s="10" t="n">
        <v>0.9773531355922619</v>
      </c>
      <c r="I619" s="10" t="n">
        <v>0.21787</v>
      </c>
      <c r="J619" s="5" t="inlineStr">
        <is>
          <t>Cleaner sand</t>
        </is>
      </c>
      <c r="K619" s="11" t="n">
        <v>18.52682838579523</v>
      </c>
      <c r="L619" s="12" t="n">
        <v>1.720370355324398</v>
      </c>
      <c r="M619" s="12" t="n">
        <v>1.85</v>
      </c>
      <c r="N619" s="12" t="n">
        <v>17.7609091998529</v>
      </c>
      <c r="O619" s="12" t="n">
        <v>309.9999688550901</v>
      </c>
      <c r="P619" s="5" t="inlineStr">
        <is>
          <t>Normal</t>
        </is>
      </c>
      <c r="Q619" s="5" t="inlineStr">
        <is>
          <t>Drop</t>
        </is>
      </c>
      <c r="R619" s="12" t="n">
        <v>0.47</v>
      </c>
      <c r="S619" s="5" t="inlineStr">
        <is>
          <t>REJECTED</t>
        </is>
      </c>
      <c r="T619" s="5" t="inlineStr">
        <is>
          <t>Normal operation</t>
        </is>
      </c>
    </row>
    <row r="620" s="17">
      <c r="A620" s="7" t="n">
        <v>6425</v>
      </c>
      <c r="B620" s="8" t="n">
        <v>74126.15309199999</v>
      </c>
      <c r="C620" s="9" t="n">
        <v>74.126153092</v>
      </c>
      <c r="D620" s="9" t="n">
        <v>147.01904889</v>
      </c>
      <c r="E620" s="9" t="n">
        <v>30</v>
      </c>
      <c r="F620" s="10" t="n">
        <v>0.1055307033481783</v>
      </c>
      <c r="G620" s="10" t="n">
        <v>0.2204076327040862</v>
      </c>
      <c r="H620" s="10" t="n">
        <v>0.9405155495851579</v>
      </c>
      <c r="I620" s="10" t="n">
        <v>0.670961</v>
      </c>
      <c r="J620" s="5" t="inlineStr">
        <is>
          <t>Cleaner sand</t>
        </is>
      </c>
      <c r="K620" s="11" t="n">
        <v>22.63016698516986</v>
      </c>
      <c r="L620" s="12" t="n">
        <v>1.930227834259829</v>
      </c>
      <c r="M620" s="12" t="n">
        <v>1.85</v>
      </c>
      <c r="N620" s="12" t="n">
        <v>15.99042742816951</v>
      </c>
      <c r="O620" s="12" t="n">
        <v>304.6316509990646</v>
      </c>
      <c r="P620" s="5" t="inlineStr">
        <is>
          <t>Normal</t>
        </is>
      </c>
      <c r="Q620" s="5" t="inlineStr">
        <is>
          <t>Drop</t>
        </is>
      </c>
      <c r="R620" s="12" t="n">
        <v>0.93</v>
      </c>
      <c r="S620" s="5" t="inlineStr">
        <is>
          <t>ACCEPTED</t>
        </is>
      </c>
      <c r="T620" s="5" t="inlineStr">
        <is>
          <t>WOB outside preferred band</t>
        </is>
      </c>
    </row>
    <row r="621" s="17">
      <c r="A621" s="7" t="n">
        <v>6430</v>
      </c>
      <c r="B621" s="8" t="n">
        <v>44839.853267</v>
      </c>
      <c r="C621" s="9" t="n">
        <v>44.839853267</v>
      </c>
      <c r="D621" s="9" t="n">
        <v>139.31749308</v>
      </c>
      <c r="E621" s="9" t="n">
        <v>56.64089812</v>
      </c>
      <c r="F621" s="10" t="n">
        <v>0.06470643269871329</v>
      </c>
      <c r="G621" s="10" t="n">
        <v>0.1756523017004147</v>
      </c>
      <c r="H621" s="10" t="n">
        <v>0.8756655568186704</v>
      </c>
      <c r="I621" s="10" t="n">
        <v>0.851093</v>
      </c>
      <c r="J621" s="5" t="inlineStr">
        <is>
          <t>Cleaner sand</t>
        </is>
      </c>
      <c r="K621" s="11" t="n">
        <v>16.9866578674681</v>
      </c>
      <c r="L621" s="12" t="n">
        <v>1.681365198722502</v>
      </c>
      <c r="M621" s="12" t="n">
        <v>1.85</v>
      </c>
      <c r="N621" s="12" t="n">
        <v>14.79698751548112</v>
      </c>
      <c r="O621" s="12" t="n">
        <v>294.4832839249242</v>
      </c>
      <c r="P621" s="5" t="inlineStr">
        <is>
          <t>Normal</t>
        </is>
      </c>
      <c r="Q621" s="5" t="inlineStr">
        <is>
          <t>Drop</t>
        </is>
      </c>
      <c r="R621" s="12" t="n">
        <v>0.55</v>
      </c>
      <c r="S621" s="5" t="inlineStr">
        <is>
          <t>REDUCED</t>
        </is>
      </c>
      <c r="T621" s="5" t="inlineStr">
        <is>
          <t>Normal operation</t>
        </is>
      </c>
    </row>
    <row r="622" s="17">
      <c r="A622" s="7" t="n">
        <v>6435</v>
      </c>
      <c r="B622" s="8" t="n">
        <v>64131.624254</v>
      </c>
      <c r="C622" s="9" t="n">
        <v>64.131624254</v>
      </c>
      <c r="D622" s="9" t="n">
        <v>126.91511464</v>
      </c>
      <c r="E622" s="9" t="n">
        <v>45.73165666</v>
      </c>
      <c r="F622" s="10" t="n">
        <v>0.1160344077421645</v>
      </c>
      <c r="G622" s="10" t="n">
        <v>0.1826524605909109</v>
      </c>
      <c r="H622" s="10" t="n">
        <v>0.9022039262316504</v>
      </c>
      <c r="I622" s="10" t="n">
        <v>1.16794</v>
      </c>
      <c r="J622" s="5" t="inlineStr">
        <is>
          <t>Cleaner sand</t>
        </is>
      </c>
      <c r="K622" s="11" t="n">
        <v>19.52047329381656</v>
      </c>
      <c r="L622" s="12" t="n">
        <v>2.490575009811069</v>
      </c>
      <c r="M622" s="12" t="n">
        <v>1.85</v>
      </c>
      <c r="N622" s="12" t="n">
        <v>16.49674515446058</v>
      </c>
      <c r="O622" s="12" t="n">
        <v>329.904296146183</v>
      </c>
      <c r="P622" s="5" t="inlineStr">
        <is>
          <t>Normal</t>
        </is>
      </c>
      <c r="Q622" s="5" t="inlineStr">
        <is>
          <t>Turn Left</t>
        </is>
      </c>
      <c r="R622" s="12" t="n">
        <v>0.9</v>
      </c>
      <c r="S622" s="5" t="inlineStr">
        <is>
          <t>ACCEPTED</t>
        </is>
      </c>
      <c r="T622" s="5" t="inlineStr">
        <is>
          <t>Normal operation</t>
        </is>
      </c>
    </row>
    <row r="623" s="17">
      <c r="A623" s="7" t="n">
        <v>6440</v>
      </c>
      <c r="B623" s="8" t="n">
        <v>59617.242423</v>
      </c>
      <c r="C623" s="9" t="n">
        <v>59.617242423</v>
      </c>
      <c r="D623" s="9" t="n">
        <v>100.46348084</v>
      </c>
      <c r="E623" s="9" t="n">
        <v>44.6159909</v>
      </c>
      <c r="F623" s="10" t="n">
        <v>0.1074857434693964</v>
      </c>
      <c r="G623" s="10" t="n">
        <v>0.2257119211991578</v>
      </c>
      <c r="H623" s="10" t="n">
        <v>0.9424094256474697</v>
      </c>
      <c r="I623" s="10" t="n">
        <v>0.62522</v>
      </c>
      <c r="J623" s="5" t="inlineStr">
        <is>
          <t>Cleaner sand</t>
        </is>
      </c>
      <c r="K623" s="11" t="n">
        <v>19.95212365550792</v>
      </c>
      <c r="L623" s="12" t="n">
        <v>1.354901812750118</v>
      </c>
      <c r="M623" s="12" t="n">
        <v>1.85</v>
      </c>
      <c r="N623" s="12" t="n">
        <v>15.99466763564831</v>
      </c>
      <c r="O623" s="12" t="n">
        <v>286.4859589596347</v>
      </c>
      <c r="P623" s="5" t="inlineStr">
        <is>
          <t>Normal</t>
        </is>
      </c>
      <c r="Q623" s="5" t="inlineStr">
        <is>
          <t>Drop</t>
        </is>
      </c>
      <c r="R623" s="12" t="n">
        <v>0.63</v>
      </c>
      <c r="S623" s="5" t="inlineStr">
        <is>
          <t>REDUCED</t>
        </is>
      </c>
      <c r="T623" s="5" t="inlineStr">
        <is>
          <t>Normal operation</t>
        </is>
      </c>
    </row>
    <row r="624" s="17">
      <c r="A624" s="7" t="n">
        <v>6445</v>
      </c>
      <c r="B624" s="8" t="n">
        <v>50951.014529</v>
      </c>
      <c r="C624" s="9" t="n">
        <v>50.951014529</v>
      </c>
      <c r="D624" s="9" t="n">
        <v>141.90447852</v>
      </c>
      <c r="E624" s="9" t="n">
        <v>51.68804974</v>
      </c>
      <c r="F624" s="10" t="n">
        <v>0.03506135873463454</v>
      </c>
      <c r="G624" s="10" t="n">
        <v>0.04501830731589142</v>
      </c>
      <c r="H624" s="10" t="n">
        <v>0.9542430167010413</v>
      </c>
      <c r="I624" s="10" t="n">
        <v>0.157757</v>
      </c>
      <c r="J624" s="5" t="inlineStr">
        <is>
          <t>Cleaner sand</t>
        </is>
      </c>
      <c r="K624" s="11" t="n">
        <v>19.76877306133386</v>
      </c>
      <c r="L624" s="12" t="n">
        <v>1.755357653066249</v>
      </c>
      <c r="M624" s="12" t="n">
        <v>1.85</v>
      </c>
      <c r="N624" s="12" t="n">
        <v>16.61075041423813</v>
      </c>
      <c r="O624" s="12" t="n">
        <v>289.507122623498</v>
      </c>
      <c r="P624" s="5" t="inlineStr">
        <is>
          <t>Normal</t>
        </is>
      </c>
      <c r="Q624" s="5" t="inlineStr">
        <is>
          <t>Drop</t>
        </is>
      </c>
      <c r="R624" s="12" t="n">
        <v>0.61</v>
      </c>
      <c r="S624" s="5" t="inlineStr">
        <is>
          <t>REDUCED</t>
        </is>
      </c>
      <c r="T624" s="5" t="inlineStr">
        <is>
          <t>Normal operation</t>
        </is>
      </c>
    </row>
    <row r="625" s="17">
      <c r="A625" s="7" t="n">
        <v>6450</v>
      </c>
      <c r="B625" s="8" t="n">
        <v>57174.651739</v>
      </c>
      <c r="C625" s="9" t="n">
        <v>57.174651739</v>
      </c>
      <c r="D625" s="9" t="n">
        <v>139.75148494</v>
      </c>
      <c r="E625" s="9" t="n">
        <v>61.93048524</v>
      </c>
      <c r="F625" s="10" t="n">
        <v>0.126288316950395</v>
      </c>
      <c r="G625" s="10" t="n">
        <v>0.08669942048063518</v>
      </c>
      <c r="H625" s="10" t="n">
        <v>0.9121723605028793</v>
      </c>
      <c r="I625" s="10" t="n">
        <v>1.155113</v>
      </c>
      <c r="J625" s="5" t="inlineStr">
        <is>
          <t>Cleaner sand</t>
        </is>
      </c>
      <c r="K625" s="11" t="n">
        <v>20.37683009202905</v>
      </c>
      <c r="L625" s="12" t="n">
        <v>1.296189413007956</v>
      </c>
      <c r="M625" s="12" t="n">
        <v>1.85</v>
      </c>
      <c r="N625" s="12" t="n">
        <v>15.88088951696836</v>
      </c>
      <c r="O625" s="12" t="n">
        <v>294.4452849959616</v>
      </c>
      <c r="P625" s="5" t="inlineStr">
        <is>
          <t>Normal</t>
        </is>
      </c>
      <c r="Q625" s="5" t="inlineStr">
        <is>
          <t>Drop</t>
        </is>
      </c>
      <c r="R625" s="12" t="n">
        <v>0.79</v>
      </c>
      <c r="S625" s="5" t="inlineStr">
        <is>
          <t>ACCEPTED</t>
        </is>
      </c>
      <c r="T625" s="5" t="inlineStr">
        <is>
          <t>Normal operation</t>
        </is>
      </c>
    </row>
    <row r="626" s="17">
      <c r="A626" s="7" t="n">
        <v>6455</v>
      </c>
      <c r="B626" s="8" t="n">
        <v>71548.92656000001</v>
      </c>
      <c r="C626" s="9" t="n">
        <v>71.54892656000001</v>
      </c>
      <c r="D626" s="9" t="n">
        <v>146.43961901</v>
      </c>
      <c r="E626" s="9" t="n">
        <v>43.09608072</v>
      </c>
      <c r="F626" s="10" t="n">
        <v>0.092944764220261</v>
      </c>
      <c r="G626" s="10" t="n">
        <v>0.2337248888586765</v>
      </c>
      <c r="H626" s="10" t="n">
        <v>0.9049771841868657</v>
      </c>
      <c r="I626" s="10" t="n">
        <v>0.880694</v>
      </c>
      <c r="J626" s="5" t="inlineStr">
        <is>
          <t>Cleaner sand</t>
        </is>
      </c>
      <c r="K626" s="11" t="n">
        <v>23.26833668336895</v>
      </c>
      <c r="L626" s="12" t="n">
        <v>1.1</v>
      </c>
      <c r="M626" s="12" t="n">
        <v>1.85</v>
      </c>
      <c r="N626" s="12" t="n">
        <v>13.63252061390346</v>
      </c>
      <c r="O626" s="12" t="n">
        <v>292.7056761059505</v>
      </c>
      <c r="P626" s="5" t="inlineStr">
        <is>
          <t>Normal</t>
        </is>
      </c>
      <c r="Q626" s="5" t="inlineStr">
        <is>
          <t>Drop</t>
        </is>
      </c>
      <c r="R626" s="12" t="n">
        <v>0.41</v>
      </c>
      <c r="S626" s="5" t="inlineStr">
        <is>
          <t>REJECTED</t>
        </is>
      </c>
      <c r="T626" s="5" t="inlineStr">
        <is>
          <t>WOB outside preferred band</t>
        </is>
      </c>
    </row>
    <row r="627" s="17">
      <c r="A627" s="7" t="n">
        <v>6460</v>
      </c>
      <c r="B627" s="8" t="n">
        <v>39824.983616</v>
      </c>
      <c r="C627" s="9" t="n">
        <v>39.824983616</v>
      </c>
      <c r="D627" s="9" t="n">
        <v>127.11631961</v>
      </c>
      <c r="E627" s="9" t="n">
        <v>54.22331262</v>
      </c>
      <c r="F627" s="10" t="n">
        <v>0.05587837831377682</v>
      </c>
      <c r="G627" s="10" t="n">
        <v>0.133933279195365</v>
      </c>
      <c r="H627" s="10" t="n">
        <v>0.9786945047962501</v>
      </c>
      <c r="I627" s="10" t="n">
        <v>0.14907</v>
      </c>
      <c r="J627" s="5" t="inlineStr">
        <is>
          <t>Cleaner sand</t>
        </is>
      </c>
      <c r="K627" s="11" t="n">
        <v>15.32921518176043</v>
      </c>
      <c r="L627" s="12" t="n">
        <v>1.36023314545641</v>
      </c>
      <c r="M627" s="12" t="n">
        <v>1.85</v>
      </c>
      <c r="N627" s="12" t="n">
        <v>15.62663686948185</v>
      </c>
      <c r="O627" s="12" t="n">
        <v>292.6353953660084</v>
      </c>
      <c r="P627" s="5" t="inlineStr">
        <is>
          <t>Normal</t>
        </is>
      </c>
      <c r="Q627" s="5" t="inlineStr">
        <is>
          <t>Hold</t>
        </is>
      </c>
      <c r="R627" s="12" t="n">
        <v>0.59</v>
      </c>
      <c r="S627" s="5" t="inlineStr">
        <is>
          <t>REDUCED</t>
        </is>
      </c>
      <c r="T627" s="5" t="inlineStr">
        <is>
          <t>Normal operation</t>
        </is>
      </c>
    </row>
    <row r="628" s="17">
      <c r="A628" s="7" t="n">
        <v>6465</v>
      </c>
      <c r="B628" s="8" t="n">
        <v>44098.601956</v>
      </c>
      <c r="C628" s="9" t="n">
        <v>44.098601956</v>
      </c>
      <c r="D628" s="9" t="n">
        <v>134.55203133</v>
      </c>
      <c r="E628" s="9" t="n">
        <v>34.24263912</v>
      </c>
      <c r="F628" s="10" t="n">
        <v>0.09503074753942327</v>
      </c>
      <c r="G628" s="10" t="n">
        <v>0.1065731320762431</v>
      </c>
      <c r="H628" s="10" t="n">
        <v>0.9773172259983106</v>
      </c>
      <c r="I628" s="10" t="n">
        <v>0.204075</v>
      </c>
      <c r="J628" s="5" t="inlineStr">
        <is>
          <t>Cleaner sand</t>
        </is>
      </c>
      <c r="K628" s="11" t="n">
        <v>15.63683687585562</v>
      </c>
      <c r="L628" s="12" t="n">
        <v>1.641851969446278</v>
      </c>
      <c r="M628" s="12" t="n">
        <v>1.85</v>
      </c>
      <c r="N628" s="12" t="n">
        <v>15.62345640128593</v>
      </c>
      <c r="O628" s="12" t="n">
        <v>297.4313596186046</v>
      </c>
      <c r="P628" s="5" t="inlineStr">
        <is>
          <t>Normal</t>
        </is>
      </c>
      <c r="Q628" s="5" t="inlineStr">
        <is>
          <t>Drop</t>
        </is>
      </c>
      <c r="R628" s="12" t="n">
        <v>0.57</v>
      </c>
      <c r="S628" s="5" t="inlineStr">
        <is>
          <t>REDUCED</t>
        </is>
      </c>
      <c r="T628" s="5" t="inlineStr">
        <is>
          <t>Normal operation</t>
        </is>
      </c>
    </row>
    <row r="629" s="17">
      <c r="A629" s="7" t="n">
        <v>6470</v>
      </c>
      <c r="B629" s="8" t="n">
        <v>67470.08697600001</v>
      </c>
      <c r="C629" s="9" t="n">
        <v>67.470086976</v>
      </c>
      <c r="D629" s="9" t="n">
        <v>106.4617371</v>
      </c>
      <c r="E629" s="9" t="n">
        <v>48.50663178</v>
      </c>
      <c r="F629" s="10" t="n">
        <v>0.06161728977831608</v>
      </c>
      <c r="G629" s="10" t="n">
        <v>0.2220280956266528</v>
      </c>
      <c r="H629" s="10" t="n">
        <v>0.9749455661660175</v>
      </c>
      <c r="I629" s="10" t="n">
        <v>0.170642</v>
      </c>
      <c r="J629" s="5" t="inlineStr">
        <is>
          <t>Cleaner sand</t>
        </is>
      </c>
      <c r="K629" s="11" t="n">
        <v>20.79917632440004</v>
      </c>
      <c r="L629" s="12" t="n">
        <v>1.449641909986543</v>
      </c>
      <c r="M629" s="12" t="n">
        <v>1.85</v>
      </c>
      <c r="N629" s="12" t="n">
        <v>16.7337939342824</v>
      </c>
      <c r="O629" s="12" t="n">
        <v>280.6736525022721</v>
      </c>
      <c r="P629" s="5" t="inlineStr">
        <is>
          <t>Normal</t>
        </is>
      </c>
      <c r="Q629" s="5" t="inlineStr">
        <is>
          <t>Drop</t>
        </is>
      </c>
      <c r="R629" s="12" t="n">
        <v>0.88</v>
      </c>
      <c r="S629" s="5" t="inlineStr">
        <is>
          <t>ACCEPTED</t>
        </is>
      </c>
      <c r="T629" s="5" t="inlineStr">
        <is>
          <t>Normal operation</t>
        </is>
      </c>
    </row>
    <row r="630" s="17">
      <c r="A630" s="7" t="n">
        <v>6475</v>
      </c>
      <c r="B630" s="8" t="n">
        <v>50132.516482</v>
      </c>
      <c r="C630" s="9" t="n">
        <v>50.132516482</v>
      </c>
      <c r="D630" s="9" t="n">
        <v>135.35033539</v>
      </c>
      <c r="E630" s="9" t="n">
        <v>69.60216990000001</v>
      </c>
      <c r="F630" s="10" t="n">
        <v>0.07341585146640017</v>
      </c>
      <c r="G630" s="10" t="n">
        <v>0.02084832744668347</v>
      </c>
      <c r="H630" s="10" t="n">
        <v>0.9164228228487747</v>
      </c>
      <c r="I630" s="10" t="n">
        <v>0.62299</v>
      </c>
      <c r="J630" s="5" t="inlineStr">
        <is>
          <t>Cleaner sand</t>
        </is>
      </c>
      <c r="K630" s="11" t="n">
        <v>17.79193398471347</v>
      </c>
      <c r="L630" s="12" t="n">
        <v>1.320713719861811</v>
      </c>
      <c r="M630" s="12" t="n">
        <v>1.85</v>
      </c>
      <c r="N630" s="12" t="n">
        <v>14.89164838148315</v>
      </c>
      <c r="O630" s="12" t="n">
        <v>261.2772265759095</v>
      </c>
      <c r="P630" s="5" t="inlineStr">
        <is>
          <t>Normal</t>
        </is>
      </c>
      <c r="Q630" s="5" t="inlineStr">
        <is>
          <t>Drop</t>
        </is>
      </c>
      <c r="R630" s="12" t="n">
        <v>0.6899999999999999</v>
      </c>
      <c r="S630" s="5" t="inlineStr">
        <is>
          <t>REDUCED</t>
        </is>
      </c>
      <c r="T630" s="5" t="inlineStr">
        <is>
          <t>Normal operation</t>
        </is>
      </c>
    </row>
    <row r="631" s="17">
      <c r="A631" s="7" t="n">
        <v>6480</v>
      </c>
      <c r="B631" s="8" t="n">
        <v>47334.540232</v>
      </c>
      <c r="C631" s="9" t="n">
        <v>47.334540232</v>
      </c>
      <c r="D631" s="9" t="n">
        <v>150.41118205</v>
      </c>
      <c r="E631" s="9" t="n">
        <v>60.58728178</v>
      </c>
      <c r="F631" s="10" t="n">
        <v>0.1276828489204555</v>
      </c>
      <c r="G631" s="10" t="n">
        <v>0.1946903945909575</v>
      </c>
      <c r="H631" s="10" t="n">
        <v>0.932998769123449</v>
      </c>
      <c r="I631" s="10" t="n">
        <v>0.856926</v>
      </c>
      <c r="J631" s="5" t="inlineStr">
        <is>
          <t>Cleaner sand</t>
        </is>
      </c>
      <c r="K631" s="11" t="n">
        <v>18.31579224691571</v>
      </c>
      <c r="L631" s="12" t="n">
        <v>1.1</v>
      </c>
      <c r="M631" s="12" t="n">
        <v>1.85</v>
      </c>
      <c r="N631" s="12" t="n">
        <v>17.87085839026322</v>
      </c>
      <c r="O631" s="12" t="n">
        <v>265.4733472858261</v>
      </c>
      <c r="P631" s="5" t="inlineStr">
        <is>
          <t>Normal</t>
        </is>
      </c>
      <c r="Q631" s="5" t="inlineStr">
        <is>
          <t>Drop</t>
        </is>
      </c>
      <c r="R631" s="12" t="n">
        <v>0.6</v>
      </c>
      <c r="S631" s="5" t="inlineStr">
        <is>
          <t>REDUCED</t>
        </is>
      </c>
      <c r="T631" s="5" t="inlineStr">
        <is>
          <t>Normal operation</t>
        </is>
      </c>
    </row>
    <row r="632" s="17">
      <c r="A632" s="7" t="n">
        <v>6485</v>
      </c>
      <c r="B632" s="8" t="n">
        <v>59916.532292</v>
      </c>
      <c r="C632" s="9" t="n">
        <v>59.91653229200001</v>
      </c>
      <c r="D632" s="9" t="n">
        <v>149.38470135</v>
      </c>
      <c r="E632" s="9" t="n">
        <v>45.39917536</v>
      </c>
      <c r="F632" s="10" t="n">
        <v>0.05289726766939164</v>
      </c>
      <c r="G632" s="10" t="n">
        <v>0.3134106006436808</v>
      </c>
      <c r="H632" s="10" t="n">
        <v>0.9069905178507645</v>
      </c>
      <c r="I632" s="10" t="n">
        <v>0.48313</v>
      </c>
      <c r="J632" s="5" t="inlineStr">
        <is>
          <t>Transition</t>
        </is>
      </c>
      <c r="K632" s="11" t="n">
        <v>17.84323654828388</v>
      </c>
      <c r="L632" s="12" t="n">
        <v>1.619278269411939</v>
      </c>
      <c r="M632" s="12" t="n">
        <v>1.85</v>
      </c>
      <c r="N632" s="12" t="n">
        <v>13.09272195543299</v>
      </c>
      <c r="O632" s="12" t="n">
        <v>267.3173993145791</v>
      </c>
      <c r="P632" s="5" t="inlineStr">
        <is>
          <t>Normal</t>
        </is>
      </c>
      <c r="Q632" s="5" t="inlineStr">
        <is>
          <t>Drop</t>
        </is>
      </c>
      <c r="R632" s="12" t="n">
        <v>0.55</v>
      </c>
      <c r="S632" s="5" t="inlineStr">
        <is>
          <t>REDUCED</t>
        </is>
      </c>
      <c r="T632" s="5" t="inlineStr">
        <is>
          <t>Normal operation</t>
        </is>
      </c>
    </row>
    <row r="633" s="17">
      <c r="A633" s="7" t="n">
        <v>6490</v>
      </c>
      <c r="B633" s="8" t="n">
        <v>41932.571543</v>
      </c>
      <c r="C633" s="9" t="n">
        <v>41.932571543</v>
      </c>
      <c r="D633" s="9" t="n">
        <v>133.56305416</v>
      </c>
      <c r="E633" s="9" t="n">
        <v>71.05490158000001</v>
      </c>
      <c r="F633" s="10" t="n">
        <v>0.03241381482155967</v>
      </c>
      <c r="G633" s="10" t="n">
        <v>0.1343939407740515</v>
      </c>
      <c r="H633" s="10" t="n">
        <v>0.9546711766170377</v>
      </c>
      <c r="I633" s="10" t="n">
        <v>0.177601</v>
      </c>
      <c r="J633" s="5" t="inlineStr">
        <is>
          <t>Cleaner sand</t>
        </is>
      </c>
      <c r="K633" s="11" t="n">
        <v>17.75761217806037</v>
      </c>
      <c r="L633" s="12" t="n">
        <v>1.1</v>
      </c>
      <c r="M633" s="12" t="n">
        <v>1.85</v>
      </c>
      <c r="N633" s="12" t="n">
        <v>17.17164577482508</v>
      </c>
      <c r="O633" s="12" t="n">
        <v>281.1198604480396</v>
      </c>
      <c r="P633" s="5" t="inlineStr">
        <is>
          <t>Normal</t>
        </is>
      </c>
      <c r="Q633" s="5" t="inlineStr">
        <is>
          <t>Drop</t>
        </is>
      </c>
      <c r="R633" s="12" t="n">
        <v>0.72</v>
      </c>
      <c r="S633" s="5" t="inlineStr">
        <is>
          <t>ACCEPTED</t>
        </is>
      </c>
      <c r="T633" s="5" t="inlineStr">
        <is>
          <t>Normal operation</t>
        </is>
      </c>
    </row>
    <row r="634" s="17">
      <c r="A634" s="7" t="n">
        <v>6495</v>
      </c>
      <c r="B634" s="8" t="n">
        <v>42752.137228</v>
      </c>
      <c r="C634" s="9" t="n">
        <v>42.752137228</v>
      </c>
      <c r="D634" s="9" t="n">
        <v>132.53828096</v>
      </c>
      <c r="E634" s="9" t="n">
        <v>50.7534572</v>
      </c>
      <c r="F634" s="10" t="n">
        <v>0.1346359774354229</v>
      </c>
      <c r="G634" s="10" t="n">
        <v>0.1258618301885788</v>
      </c>
      <c r="H634" s="10" t="n">
        <v>0.9217836206331765</v>
      </c>
      <c r="I634" s="10" t="n">
        <v>1.09774</v>
      </c>
      <c r="J634" s="5" t="inlineStr">
        <is>
          <t>Cleaner sand</t>
        </is>
      </c>
      <c r="K634" s="11" t="n">
        <v>16.22078981417274</v>
      </c>
      <c r="L634" s="12" t="n">
        <v>2.032427422207905</v>
      </c>
      <c r="M634" s="12" t="n">
        <v>1.85</v>
      </c>
      <c r="N634" s="12" t="n">
        <v>15.06478672194151</v>
      </c>
      <c r="O634" s="12" t="n">
        <v>242.6715447459689</v>
      </c>
      <c r="P634" s="5" t="inlineStr">
        <is>
          <t>Normal</t>
        </is>
      </c>
      <c r="Q634" s="5" t="inlineStr">
        <is>
          <t>Drop</t>
        </is>
      </c>
      <c r="R634" s="12" t="n">
        <v>0.48</v>
      </c>
      <c r="S634" s="5" t="inlineStr">
        <is>
          <t>REJECTED</t>
        </is>
      </c>
      <c r="T634" s="5" t="inlineStr">
        <is>
          <t>Normal operation</t>
        </is>
      </c>
    </row>
    <row r="635" s="17">
      <c r="A635" s="7" t="n">
        <v>6500</v>
      </c>
      <c r="B635" s="8" t="n">
        <v>72655.680198</v>
      </c>
      <c r="C635" s="9" t="n">
        <v>72.655680198</v>
      </c>
      <c r="D635" s="9" t="n">
        <v>111.44557444</v>
      </c>
      <c r="E635" s="9" t="n">
        <v>33.02626178</v>
      </c>
      <c r="F635" s="10" t="n">
        <v>0.05770135136011274</v>
      </c>
      <c r="G635" s="10" t="n">
        <v>0.1908130435269452</v>
      </c>
      <c r="H635" s="10" t="n">
        <v>0.9368975668904582</v>
      </c>
      <c r="I635" s="10" t="n">
        <v>0.39728</v>
      </c>
      <c r="J635" s="5" t="inlineStr">
        <is>
          <t>Cleaner sand</t>
        </is>
      </c>
      <c r="K635" s="11" t="n">
        <v>21.45182491648133</v>
      </c>
      <c r="L635" s="12" t="n">
        <v>1.700395478937907</v>
      </c>
      <c r="M635" s="12" t="n">
        <v>1.85</v>
      </c>
      <c r="N635" s="12" t="n">
        <v>16.36313507453105</v>
      </c>
      <c r="O635" s="12" t="n">
        <v>264.9120269973432</v>
      </c>
      <c r="P635" s="5" t="inlineStr">
        <is>
          <t>Normal</t>
        </is>
      </c>
      <c r="Q635" s="5" t="inlineStr">
        <is>
          <t>Drop</t>
        </is>
      </c>
      <c r="R635" s="12" t="n">
        <v>0.54</v>
      </c>
      <c r="S635" s="5" t="inlineStr">
        <is>
          <t>REDUCED</t>
        </is>
      </c>
      <c r="T635" s="5" t="inlineStr">
        <is>
          <t>WOB outside preferred band</t>
        </is>
      </c>
    </row>
    <row r="636" s="17">
      <c r="A636" s="7" t="n">
        <v>6505</v>
      </c>
      <c r="B636" s="8" t="n">
        <v>39162.302147</v>
      </c>
      <c r="C636" s="9" t="n">
        <v>39.16230214700001</v>
      </c>
      <c r="D636" s="9" t="n">
        <v>121.6214002</v>
      </c>
      <c r="E636" s="9" t="n">
        <v>53.91240224</v>
      </c>
      <c r="F636" s="10" t="n">
        <v>0.07077844976543596</v>
      </c>
      <c r="G636" s="10" t="n">
        <v>0.2213716233637791</v>
      </c>
      <c r="H636" s="10" t="n">
        <v>0.923895518906541</v>
      </c>
      <c r="I636" s="10" t="n">
        <v>0.58435</v>
      </c>
      <c r="J636" s="5" t="inlineStr">
        <is>
          <t>Cleaner sand</t>
        </is>
      </c>
      <c r="K636" s="11" t="n">
        <v>14.70644502902406</v>
      </c>
      <c r="L636" s="12" t="n">
        <v>1.1</v>
      </c>
      <c r="M636" s="12" t="n">
        <v>1.85</v>
      </c>
      <c r="N636" s="12" t="n">
        <v>15.23869002616216</v>
      </c>
      <c r="O636" s="12" t="n">
        <v>250.9578459950825</v>
      </c>
      <c r="P636" s="5" t="inlineStr">
        <is>
          <t>Normal</t>
        </is>
      </c>
      <c r="Q636" s="5" t="inlineStr">
        <is>
          <t>Drop</t>
        </is>
      </c>
      <c r="R636" s="12" t="n">
        <v>0.5600000000000001</v>
      </c>
      <c r="S636" s="5" t="inlineStr">
        <is>
          <t>REDUCED</t>
        </is>
      </c>
      <c r="T636" s="5" t="inlineStr">
        <is>
          <t>Normal operation</t>
        </is>
      </c>
    </row>
    <row r="637" s="17">
      <c r="A637" s="7" t="n">
        <v>6510</v>
      </c>
      <c r="B637" s="8" t="n">
        <v>43692.842928</v>
      </c>
      <c r="C637" s="9" t="n">
        <v>43.692842928</v>
      </c>
      <c r="D637" s="9" t="n">
        <v>136.3892945</v>
      </c>
      <c r="E637" s="9" t="n">
        <v>50.6802845</v>
      </c>
      <c r="F637" s="10" t="n">
        <v>0.06643280743806729</v>
      </c>
      <c r="G637" s="10" t="n">
        <v>0.1625545963224393</v>
      </c>
      <c r="H637" s="10" t="n">
        <v>0.8842363556478979</v>
      </c>
      <c r="I637" s="10" t="n">
        <v>0.785567</v>
      </c>
      <c r="J637" s="5" t="inlineStr">
        <is>
          <t>Cleaner sand</t>
        </is>
      </c>
      <c r="K637" s="11" t="n">
        <v>14.8969571636817</v>
      </c>
      <c r="L637" s="12" t="n">
        <v>1.508487552245567</v>
      </c>
      <c r="M637" s="12" t="n">
        <v>1.85</v>
      </c>
      <c r="N637" s="12" t="n">
        <v>16.50564365012031</v>
      </c>
      <c r="O637" s="12" t="n">
        <v>253.8562352979045</v>
      </c>
      <c r="P637" s="5" t="inlineStr">
        <is>
          <t>Normal</t>
        </is>
      </c>
      <c r="Q637" s="5" t="inlineStr">
        <is>
          <t>Drop</t>
        </is>
      </c>
      <c r="R637" s="12" t="n">
        <v>0.73</v>
      </c>
      <c r="S637" s="5" t="inlineStr">
        <is>
          <t>ACCEPTED</t>
        </is>
      </c>
      <c r="T637" s="5" t="inlineStr">
        <is>
          <t>Normal operation</t>
        </is>
      </c>
    </row>
    <row r="638" s="17">
      <c r="A638" s="7" t="n">
        <v>6515</v>
      </c>
      <c r="B638" s="8" t="n">
        <v>57200.056058</v>
      </c>
      <c r="C638" s="9" t="n">
        <v>57.200056058</v>
      </c>
      <c r="D638" s="9" t="n">
        <v>123.26105098</v>
      </c>
      <c r="E638" s="9" t="n">
        <v>39.9757052</v>
      </c>
      <c r="F638" s="10" t="n">
        <v>0.07772465539953062</v>
      </c>
      <c r="G638" s="10" t="n">
        <v>0.3353351007172837</v>
      </c>
      <c r="H638" s="10" t="n">
        <v>0.9330761863801009</v>
      </c>
      <c r="I638" s="10" t="n">
        <v>0.564729</v>
      </c>
      <c r="J638" s="5" t="inlineStr">
        <is>
          <t>Transition</t>
        </is>
      </c>
      <c r="K638" s="11" t="n">
        <v>19.85925303351723</v>
      </c>
      <c r="L638" s="12" t="n">
        <v>1.291443361260614</v>
      </c>
      <c r="M638" s="12" t="n">
        <v>1.85</v>
      </c>
      <c r="N638" s="12" t="n">
        <v>14.40992425576993</v>
      </c>
      <c r="O638" s="12" t="n">
        <v>240.8348688821995</v>
      </c>
      <c r="P638" s="5" t="inlineStr">
        <is>
          <t>Normal</t>
        </is>
      </c>
      <c r="Q638" s="5" t="inlineStr">
        <is>
          <t>Drop</t>
        </is>
      </c>
      <c r="R638" s="12" t="n">
        <v>0.61</v>
      </c>
      <c r="S638" s="5" t="inlineStr">
        <is>
          <t>REDUCED</t>
        </is>
      </c>
      <c r="T638" s="5" t="inlineStr">
        <is>
          <t>Normal operation</t>
        </is>
      </c>
    </row>
    <row r="639" s="17">
      <c r="A639" s="7" t="n">
        <v>6520</v>
      </c>
      <c r="B639" s="8" t="n">
        <v>45769.578176</v>
      </c>
      <c r="C639" s="9" t="n">
        <v>45.769578176</v>
      </c>
      <c r="D639" s="9" t="n">
        <v>142.38164964</v>
      </c>
      <c r="E639" s="9" t="n">
        <v>66.54933778</v>
      </c>
      <c r="F639" s="10" t="n">
        <v>0.07357382159324058</v>
      </c>
      <c r="G639" s="10" t="n">
        <v>0.08871615163613072</v>
      </c>
      <c r="H639" s="10" t="n">
        <v>0.9642393416146737</v>
      </c>
      <c r="I639" s="10" t="n">
        <v>0.287257</v>
      </c>
      <c r="J639" s="5" t="inlineStr">
        <is>
          <t>Cleaner sand</t>
        </is>
      </c>
      <c r="K639" s="11" t="n">
        <v>17.00708832822754</v>
      </c>
      <c r="L639" s="12" t="n">
        <v>1.816395510105398</v>
      </c>
      <c r="M639" s="12" t="n">
        <v>1.85</v>
      </c>
      <c r="N639" s="12" t="n">
        <v>13.37456161335881</v>
      </c>
      <c r="O639" s="12" t="n">
        <v>229.8757351783744</v>
      </c>
      <c r="P639" s="5" t="inlineStr">
        <is>
          <t>Normal</t>
        </is>
      </c>
      <c r="Q639" s="5" t="inlineStr">
        <is>
          <t>Drop</t>
        </is>
      </c>
      <c r="R639" s="12" t="n">
        <v>0.68</v>
      </c>
      <c r="S639" s="5" t="inlineStr">
        <is>
          <t>REDUCED</t>
        </is>
      </c>
      <c r="T639" s="5" t="inlineStr">
        <is>
          <t>Normal operation</t>
        </is>
      </c>
    </row>
    <row r="640" s="17">
      <c r="A640" s="7" t="n">
        <v>6525</v>
      </c>
      <c r="B640" s="8" t="n">
        <v>52124.71642</v>
      </c>
      <c r="C640" s="9" t="n">
        <v>52.12471642</v>
      </c>
      <c r="D640" s="9" t="n">
        <v>147.02411675</v>
      </c>
      <c r="E640" s="9" t="n">
        <v>30</v>
      </c>
      <c r="F640" s="10" t="n">
        <v>0.1426417453523713</v>
      </c>
      <c r="G640" s="10" t="n">
        <v>0.1883395566152196</v>
      </c>
      <c r="H640" s="10" t="n">
        <v>0.9245171978081254</v>
      </c>
      <c r="I640" s="10" t="n">
        <v>1.059971</v>
      </c>
      <c r="J640" s="5" t="inlineStr">
        <is>
          <t>Cleaner sand</t>
        </is>
      </c>
      <c r="K640" s="11" t="n">
        <v>16.8126568264281</v>
      </c>
      <c r="L640" s="12" t="n">
        <v>2.316820718551341</v>
      </c>
      <c r="M640" s="12" t="n">
        <v>1.85</v>
      </c>
      <c r="N640" s="12" t="n">
        <v>16.53869709594373</v>
      </c>
      <c r="O640" s="12" t="n">
        <v>242.3328930046779</v>
      </c>
      <c r="P640" s="5" t="inlineStr">
        <is>
          <t>Normal</t>
        </is>
      </c>
      <c r="Q640" s="5" t="inlineStr">
        <is>
          <t>Drop</t>
        </is>
      </c>
      <c r="R640" s="12" t="n">
        <v>0.76</v>
      </c>
      <c r="S640" s="5" t="inlineStr">
        <is>
          <t>ACCEPTED</t>
        </is>
      </c>
      <c r="T640" s="5" t="inlineStr">
        <is>
          <t>Normal operation</t>
        </is>
      </c>
    </row>
    <row r="641" s="17">
      <c r="A641" s="7" t="n">
        <v>6530</v>
      </c>
      <c r="B641" s="8" t="n">
        <v>73901.866956</v>
      </c>
      <c r="C641" s="9" t="n">
        <v>73.90186695599999</v>
      </c>
      <c r="D641" s="9" t="n">
        <v>113.27934748</v>
      </c>
      <c r="E641" s="9" t="n">
        <v>44.53154484</v>
      </c>
      <c r="F641" s="10" t="n">
        <v>0.09033266516885835</v>
      </c>
      <c r="G641" s="10" t="n">
        <v>0.3006694263380223</v>
      </c>
      <c r="H641" s="10" t="n">
        <v>0.8914796369439717</v>
      </c>
      <c r="I641" s="10" t="n">
        <v>0.997331</v>
      </c>
      <c r="J641" s="5" t="inlineStr">
        <is>
          <t>Transition</t>
        </is>
      </c>
      <c r="K641" s="11" t="n">
        <v>20.81282791034109</v>
      </c>
      <c r="L641" s="12" t="n">
        <v>1.1</v>
      </c>
      <c r="M641" s="12" t="n">
        <v>1.85</v>
      </c>
      <c r="N641" s="12" t="n">
        <v>14.43379003924594</v>
      </c>
      <c r="O641" s="12" t="n">
        <v>237.981703576429</v>
      </c>
      <c r="P641" s="5" t="inlineStr">
        <is>
          <t>Normal</t>
        </is>
      </c>
      <c r="Q641" s="5" t="inlineStr">
        <is>
          <t>Drop</t>
        </is>
      </c>
      <c r="R641" s="12" t="n">
        <v>0.93</v>
      </c>
      <c r="S641" s="5" t="inlineStr">
        <is>
          <t>ACCEPTED</t>
        </is>
      </c>
      <c r="T641" s="5" t="inlineStr">
        <is>
          <t>WOB outside preferred band</t>
        </is>
      </c>
    </row>
    <row r="642" s="17">
      <c r="A642" s="7" t="n">
        <v>6535</v>
      </c>
      <c r="B642" s="8" t="n">
        <v>42578.136066</v>
      </c>
      <c r="C642" s="9" t="n">
        <v>42.578136066</v>
      </c>
      <c r="D642" s="9" t="n">
        <v>143.2475707</v>
      </c>
      <c r="E642" s="9" t="n">
        <v>72.6072157</v>
      </c>
      <c r="F642" s="10" t="n">
        <v>0.05628964925621534</v>
      </c>
      <c r="G642" s="10" t="n">
        <v>0.2999184409045503</v>
      </c>
      <c r="H642" s="10" t="n">
        <v>0.974776032327812</v>
      </c>
      <c r="I642" s="10" t="n">
        <v>0.169463</v>
      </c>
      <c r="J642" s="5" t="inlineStr">
        <is>
          <t>Transition</t>
        </is>
      </c>
      <c r="K642" s="11" t="n">
        <v>16.01101043666081</v>
      </c>
      <c r="L642" s="12" t="n">
        <v>1.716362778782234</v>
      </c>
      <c r="M642" s="12" t="n">
        <v>1.85</v>
      </c>
      <c r="N642" s="12" t="n">
        <v>14.75861425100559</v>
      </c>
      <c r="O642" s="12" t="n">
        <v>237.8703182559825</v>
      </c>
      <c r="P642" s="5" t="inlineStr">
        <is>
          <t>Normal</t>
        </is>
      </c>
      <c r="Q642" s="5" t="inlineStr">
        <is>
          <t>Drop</t>
        </is>
      </c>
      <c r="R642" s="12" t="n">
        <v>0.82</v>
      </c>
      <c r="S642" s="5" t="inlineStr">
        <is>
          <t>ACCEPTED</t>
        </is>
      </c>
      <c r="T642" s="5" t="inlineStr">
        <is>
          <t>Normal operation</t>
        </is>
      </c>
    </row>
    <row r="643" s="17">
      <c r="A643" s="7" t="n">
        <v>6540</v>
      </c>
      <c r="B643" s="8" t="n">
        <v>68583.604183</v>
      </c>
      <c r="C643" s="9" t="n">
        <v>68.58360418300001</v>
      </c>
      <c r="D643" s="9" t="n">
        <v>125.06443052</v>
      </c>
      <c r="E643" s="9" t="n">
        <v>59.14209082</v>
      </c>
      <c r="F643" s="10" t="n">
        <v>0.126000197417393</v>
      </c>
      <c r="G643" s="10" t="n">
        <v>0.1971409500233097</v>
      </c>
      <c r="H643" s="10" t="n">
        <v>0.9535977183323887</v>
      </c>
      <c r="I643" s="10" t="n">
        <v>0.602387</v>
      </c>
      <c r="J643" s="5" t="inlineStr">
        <is>
          <t>Cleaner sand</t>
        </is>
      </c>
      <c r="K643" s="11" t="n">
        <v>22.79878466610254</v>
      </c>
      <c r="L643" s="12" t="n">
        <v>1.581534930172346</v>
      </c>
      <c r="M643" s="12" t="n">
        <v>1.85</v>
      </c>
      <c r="N643" s="12" t="n">
        <v>15.96503907995374</v>
      </c>
      <c r="O643" s="12" t="n">
        <v>224.837894799038</v>
      </c>
      <c r="P643" s="5" t="inlineStr">
        <is>
          <t>Normal</t>
        </is>
      </c>
      <c r="Q643" s="5" t="inlineStr">
        <is>
          <t>Drop</t>
        </is>
      </c>
      <c r="R643" s="12" t="n">
        <v>0.62</v>
      </c>
      <c r="S643" s="5" t="inlineStr">
        <is>
          <t>REDUCED</t>
        </is>
      </c>
      <c r="T643" s="5" t="inlineStr">
        <is>
          <t>Normal operation</t>
        </is>
      </c>
    </row>
    <row r="644" s="17">
      <c r="A644" s="7" t="n">
        <v>6545</v>
      </c>
      <c r="B644" s="8" t="n">
        <v>69828.981311</v>
      </c>
      <c r="C644" s="9" t="n">
        <v>69.82898131099999</v>
      </c>
      <c r="D644" s="9" t="n">
        <v>107.15291261</v>
      </c>
      <c r="E644" s="9" t="n">
        <v>30</v>
      </c>
      <c r="F644" s="10" t="n">
        <v>0.06749285796143523</v>
      </c>
      <c r="G644" s="10" t="n">
        <v>0.184326180811229</v>
      </c>
      <c r="H644" s="10" t="n">
        <v>0.9072594376097458</v>
      </c>
      <c r="I644" s="10" t="n">
        <v>0.620998</v>
      </c>
      <c r="J644" s="5" t="inlineStr">
        <is>
          <t>Cleaner sand</t>
        </is>
      </c>
      <c r="K644" s="11" t="n">
        <v>21.0992235769587</v>
      </c>
      <c r="L644" s="12" t="n">
        <v>1.988956637460728</v>
      </c>
      <c r="M644" s="12" t="n">
        <v>1.85</v>
      </c>
      <c r="N644" s="12" t="n">
        <v>12.90759313337412</v>
      </c>
      <c r="O644" s="12" t="n">
        <v>215.9121393464362</v>
      </c>
      <c r="P644" s="5" t="inlineStr">
        <is>
          <t>Normal</t>
        </is>
      </c>
      <c r="Q644" s="5" t="inlineStr">
        <is>
          <t>Turn Right</t>
        </is>
      </c>
      <c r="R644" s="12" t="n">
        <v>0.8100000000000001</v>
      </c>
      <c r="S644" s="5" t="inlineStr">
        <is>
          <t>ACCEPTED</t>
        </is>
      </c>
      <c r="T644" s="5" t="inlineStr">
        <is>
          <t>Normal operation</t>
        </is>
      </c>
    </row>
    <row r="645" s="17">
      <c r="A645" s="7" t="n">
        <v>6550</v>
      </c>
      <c r="B645" s="8" t="n">
        <v>39271.136363</v>
      </c>
      <c r="C645" s="9" t="n">
        <v>39.271136363</v>
      </c>
      <c r="D645" s="9" t="n">
        <v>126.38111792</v>
      </c>
      <c r="E645" s="9" t="n">
        <v>74.96396376</v>
      </c>
      <c r="F645" s="10" t="n">
        <v>0.05542459806601669</v>
      </c>
      <c r="G645" s="10" t="n">
        <v>0.2729003059528592</v>
      </c>
      <c r="H645" s="10" t="n">
        <v>0.9009303185759812</v>
      </c>
      <c r="I645" s="10" t="n">
        <v>0.5622509999999999</v>
      </c>
      <c r="J645" s="5" t="inlineStr">
        <is>
          <t>Transition</t>
        </is>
      </c>
      <c r="K645" s="11" t="n">
        <v>14.23542341723727</v>
      </c>
      <c r="L645" s="12" t="n">
        <v>1.764466347836467</v>
      </c>
      <c r="M645" s="12" t="n">
        <v>1.85</v>
      </c>
      <c r="N645" s="12" t="n">
        <v>14.91254647142931</v>
      </c>
      <c r="O645" s="12" t="n">
        <v>203.3891733600692</v>
      </c>
      <c r="P645" s="5" t="inlineStr">
        <is>
          <t>Normal</t>
        </is>
      </c>
      <c r="Q645" s="5" t="inlineStr">
        <is>
          <t>Turn Right</t>
        </is>
      </c>
      <c r="R645" s="12" t="n">
        <v>0.92</v>
      </c>
      <c r="S645" s="5" t="inlineStr">
        <is>
          <t>ACCEPTED</t>
        </is>
      </c>
      <c r="T645" s="5" t="inlineStr">
        <is>
          <t>Normal operation</t>
        </is>
      </c>
    </row>
    <row r="646" s="17">
      <c r="A646" s="7" t="n">
        <v>6555</v>
      </c>
      <c r="B646" s="8" t="n">
        <v>60548.147088</v>
      </c>
      <c r="C646" s="9" t="n">
        <v>60.548147088</v>
      </c>
      <c r="D646" s="9" t="n">
        <v>112.91582756</v>
      </c>
      <c r="E646" s="9" t="n">
        <v>38.5344896</v>
      </c>
      <c r="F646" s="10" t="n">
        <v>0.1583375160803445</v>
      </c>
      <c r="G646" s="10" t="n">
        <v>0.1807936759995876</v>
      </c>
      <c r="H646" s="10" t="n">
        <v>0.9140963618935167</v>
      </c>
      <c r="I646" s="10" t="n">
        <v>1.347726</v>
      </c>
      <c r="J646" s="5" t="inlineStr">
        <is>
          <t>Cleaner sand</t>
        </is>
      </c>
      <c r="K646" s="11" t="n">
        <v>19.40612573477903</v>
      </c>
      <c r="L646" s="12" t="n">
        <v>1.291535027447979</v>
      </c>
      <c r="M646" s="12" t="n">
        <v>1.85</v>
      </c>
      <c r="N646" s="12" t="n">
        <v>13.2608184774979</v>
      </c>
      <c r="O646" s="12" t="n">
        <v>224.3733885793015</v>
      </c>
      <c r="P646" s="5" t="inlineStr">
        <is>
          <t>Normal</t>
        </is>
      </c>
      <c r="Q646" s="5" t="inlineStr">
        <is>
          <t>Turn Right</t>
        </is>
      </c>
      <c r="R646" s="12" t="n">
        <v>0.67</v>
      </c>
      <c r="S646" s="5" t="inlineStr">
        <is>
          <t>REDUCED</t>
        </is>
      </c>
      <c r="T646" s="5" t="inlineStr">
        <is>
          <t>Normal operation</t>
        </is>
      </c>
    </row>
    <row r="647" s="17">
      <c r="A647" s="7" t="n">
        <v>6560</v>
      </c>
      <c r="B647" s="8" t="n">
        <v>60050.954161</v>
      </c>
      <c r="C647" s="9" t="n">
        <v>60.050954161</v>
      </c>
      <c r="D647" s="9" t="n">
        <v>119.57805544</v>
      </c>
      <c r="E647" s="9" t="n">
        <v>50.11693548</v>
      </c>
      <c r="F647" s="10" t="n">
        <v>0.04249138130990639</v>
      </c>
      <c r="G647" s="10" t="n">
        <v>0.2934298801351321</v>
      </c>
      <c r="H647" s="10" t="n">
        <v>0.8942769162399596</v>
      </c>
      <c r="I647" s="10" t="n">
        <v>0.489287</v>
      </c>
      <c r="J647" s="5" t="inlineStr">
        <is>
          <t>Transition</t>
        </is>
      </c>
      <c r="K647" s="11" t="n">
        <v>19.28770069709097</v>
      </c>
      <c r="L647" s="12" t="n">
        <v>1.503663571523357</v>
      </c>
      <c r="M647" s="12" t="n">
        <v>1.85</v>
      </c>
      <c r="N647" s="12" t="n">
        <v>13.66208987226439</v>
      </c>
      <c r="O647" s="12" t="n">
        <v>217.7653542538997</v>
      </c>
      <c r="P647" s="5" t="inlineStr">
        <is>
          <t>Normal</t>
        </is>
      </c>
      <c r="Q647" s="5" t="inlineStr">
        <is>
          <t>Turn Right</t>
        </is>
      </c>
      <c r="R647" s="12" t="n">
        <v>0.63</v>
      </c>
      <c r="S647" s="5" t="inlineStr">
        <is>
          <t>REDUCED</t>
        </is>
      </c>
      <c r="T647" s="5" t="inlineStr">
        <is>
          <t>Normal operation</t>
        </is>
      </c>
    </row>
    <row r="648" s="17">
      <c r="A648" s="7" t="n">
        <v>6565</v>
      </c>
      <c r="B648" s="8" t="n">
        <v>41324.531256</v>
      </c>
      <c r="C648" s="9" t="n">
        <v>41.324531256</v>
      </c>
      <c r="D648" s="9" t="n">
        <v>132.67983271</v>
      </c>
      <c r="E648" s="9" t="n">
        <v>52.893936</v>
      </c>
      <c r="F648" s="10" t="n">
        <v>0.05852485185071155</v>
      </c>
      <c r="G648" s="10" t="n">
        <v>0.1329603936840529</v>
      </c>
      <c r="H648" s="10" t="n">
        <v>0.954412275834727</v>
      </c>
      <c r="I648" s="10" t="n">
        <v>0.305842</v>
      </c>
      <c r="J648" s="5" t="inlineStr">
        <is>
          <t>Cleaner sand</t>
        </is>
      </c>
      <c r="K648" s="11" t="n">
        <v>13.41934345684101</v>
      </c>
      <c r="L648" s="12" t="n">
        <v>1.26994733016629</v>
      </c>
      <c r="M648" s="12" t="n">
        <v>1.85</v>
      </c>
      <c r="N648" s="12" t="n">
        <v>13.70641940240442</v>
      </c>
      <c r="O648" s="12" t="n">
        <v>201.3674637952284</v>
      </c>
      <c r="P648" s="5" t="inlineStr">
        <is>
          <t>Normal</t>
        </is>
      </c>
      <c r="Q648" s="5" t="inlineStr">
        <is>
          <t>Turn Right</t>
        </is>
      </c>
      <c r="R648" s="12" t="n">
        <v>0.44</v>
      </c>
      <c r="S648" s="5" t="inlineStr">
        <is>
          <t>REJECTED</t>
        </is>
      </c>
      <c r="T648" s="5" t="inlineStr">
        <is>
          <t>Normal operation</t>
        </is>
      </c>
    </row>
    <row r="649" s="17">
      <c r="A649" s="7" t="n">
        <v>6570</v>
      </c>
      <c r="B649" s="8" t="n">
        <v>49035.162848</v>
      </c>
      <c r="C649" s="9" t="n">
        <v>49.035162848</v>
      </c>
      <c r="D649" s="9" t="n">
        <v>115.37892363</v>
      </c>
      <c r="E649" s="9" t="n">
        <v>61.73345564</v>
      </c>
      <c r="F649" s="10" t="n">
        <v>0.09415068803350939</v>
      </c>
      <c r="G649" s="10" t="n">
        <v>0.1263641307438545</v>
      </c>
      <c r="H649" s="10" t="n">
        <v>0.9657469347389757</v>
      </c>
      <c r="I649" s="10" t="n">
        <v>0.325092</v>
      </c>
      <c r="J649" s="5" t="inlineStr">
        <is>
          <t>Cleaner sand</t>
        </is>
      </c>
      <c r="K649" s="11" t="n">
        <v>17.48008714023648</v>
      </c>
      <c r="L649" s="12" t="n">
        <v>2.187243497913313</v>
      </c>
      <c r="M649" s="12" t="n">
        <v>1.85</v>
      </c>
      <c r="N649" s="12" t="n">
        <v>11.44071504032658</v>
      </c>
      <c r="O649" s="12" t="n">
        <v>203.2977984546621</v>
      </c>
      <c r="P649" s="5" t="inlineStr">
        <is>
          <t>Normal</t>
        </is>
      </c>
      <c r="Q649" s="5" t="inlineStr">
        <is>
          <t>Turn Right</t>
        </is>
      </c>
      <c r="R649" s="12" t="n">
        <v>0.89</v>
      </c>
      <c r="S649" s="5" t="inlineStr">
        <is>
          <t>ACCEPTED</t>
        </is>
      </c>
      <c r="T649" s="5" t="inlineStr">
        <is>
          <t>Normal operation</t>
        </is>
      </c>
    </row>
    <row r="650" s="17">
      <c r="A650" s="7" t="n">
        <v>6575</v>
      </c>
      <c r="B650" s="8" t="n">
        <v>36391.920964</v>
      </c>
      <c r="C650" s="9" t="n">
        <v>36.391920964</v>
      </c>
      <c r="D650" s="9" t="n">
        <v>136.46899377</v>
      </c>
      <c r="E650" s="9" t="n">
        <v>54.64796274</v>
      </c>
      <c r="F650" s="10" t="n">
        <v>0.03029364797778076</v>
      </c>
      <c r="G650" s="10" t="n">
        <v>0.1129865264811812</v>
      </c>
      <c r="H650" s="10" t="n">
        <v>0.9230783284100813</v>
      </c>
      <c r="I650" s="10" t="n">
        <v>0.244635</v>
      </c>
      <c r="J650" s="5" t="inlineStr">
        <is>
          <t>Cleaner sand</t>
        </is>
      </c>
      <c r="K650" s="11" t="n">
        <v>14.97808185971311</v>
      </c>
      <c r="L650" s="12" t="n">
        <v>1.670442707849252</v>
      </c>
      <c r="M650" s="12" t="n">
        <v>1.85</v>
      </c>
      <c r="N650" s="12" t="n">
        <v>12.15706201734381</v>
      </c>
      <c r="O650" s="12" t="n">
        <v>201.8405228771969</v>
      </c>
      <c r="P650" s="5" t="inlineStr">
        <is>
          <t>Normal</t>
        </is>
      </c>
      <c r="Q650" s="5" t="inlineStr">
        <is>
          <t>Turn Right</t>
        </is>
      </c>
      <c r="R650" s="12" t="n">
        <v>0.54</v>
      </c>
      <c r="S650" s="5" t="inlineStr">
        <is>
          <t>REDUCED</t>
        </is>
      </c>
      <c r="T650" s="5" t="inlineStr">
        <is>
          <t>Normal operation</t>
        </is>
      </c>
    </row>
    <row r="651" s="17">
      <c r="A651" s="7" t="n">
        <v>6580</v>
      </c>
      <c r="B651" s="8" t="n">
        <v>35957.000715</v>
      </c>
      <c r="C651" s="9" t="n">
        <v>35.957000715</v>
      </c>
      <c r="D651" s="9" t="n">
        <v>135.85466942</v>
      </c>
      <c r="E651" s="9" t="n">
        <v>42.61405191999999</v>
      </c>
      <c r="F651" s="10" t="n">
        <v>0.05823298597298242</v>
      </c>
      <c r="G651" s="10" t="n">
        <v>0.1171623377475109</v>
      </c>
      <c r="H651" s="10" t="n">
        <v>0.9117583251330617</v>
      </c>
      <c r="I651" s="10" t="n">
        <v>0.548924</v>
      </c>
      <c r="J651" s="5" t="inlineStr">
        <is>
          <t>Cleaner sand</t>
        </is>
      </c>
      <c r="K651" s="11" t="n">
        <v>15.82523151495922</v>
      </c>
      <c r="L651" s="12" t="n">
        <v>2.591583436018974</v>
      </c>
      <c r="M651" s="12" t="n">
        <v>1.85</v>
      </c>
      <c r="N651" s="12" t="n">
        <v>14.70449164595024</v>
      </c>
      <c r="O651" s="12" t="n">
        <v>189.6755983492084</v>
      </c>
      <c r="P651" s="5" t="inlineStr">
        <is>
          <t>Normal</t>
        </is>
      </c>
      <c r="Q651" s="5" t="inlineStr">
        <is>
          <t>Turn Right</t>
        </is>
      </c>
      <c r="R651" s="12" t="n">
        <v>0.44</v>
      </c>
      <c r="S651" s="5" t="inlineStr">
        <is>
          <t>REJECTED</t>
        </is>
      </c>
      <c r="T651" s="5" t="inlineStr">
        <is>
          <t>High vibration detected</t>
        </is>
      </c>
    </row>
    <row r="652" s="17">
      <c r="A652" s="7" t="n">
        <v>6585</v>
      </c>
      <c r="B652" s="8" t="n">
        <v>46064.117224</v>
      </c>
      <c r="C652" s="9" t="n">
        <v>46.064117224</v>
      </c>
      <c r="D652" s="9" t="n">
        <v>124.15532337</v>
      </c>
      <c r="E652" s="9" t="n">
        <v>63.80409832</v>
      </c>
      <c r="F652" s="10" t="n">
        <v>0.1527325727505546</v>
      </c>
      <c r="G652" s="10" t="n">
        <v>0.1717986370542711</v>
      </c>
      <c r="H652" s="10" t="n">
        <v>0.8883614600228712</v>
      </c>
      <c r="I652" s="10" t="n">
        <v>1.749438</v>
      </c>
      <c r="J652" s="5" t="inlineStr">
        <is>
          <t>Cleaner sand</t>
        </is>
      </c>
      <c r="K652" s="11" t="n">
        <v>18.83689855688374</v>
      </c>
      <c r="L652" s="12" t="n">
        <v>1.630276201230836</v>
      </c>
      <c r="M652" s="12" t="n">
        <v>1.85</v>
      </c>
      <c r="N652" s="12" t="n">
        <v>13.87869214377614</v>
      </c>
      <c r="O652" s="12" t="n">
        <v>194.5046211218119</v>
      </c>
      <c r="P652" s="5" t="inlineStr">
        <is>
          <t>Normal</t>
        </is>
      </c>
      <c r="Q652" s="5" t="inlineStr">
        <is>
          <t>Turn Right</t>
        </is>
      </c>
      <c r="R652" s="12" t="n">
        <v>0.7</v>
      </c>
      <c r="S652" s="5" t="inlineStr">
        <is>
          <t>ACCEPTED</t>
        </is>
      </c>
      <c r="T652" s="5" t="inlineStr">
        <is>
          <t>Normal operation</t>
        </is>
      </c>
    </row>
    <row r="653" s="17">
      <c r="A653" s="7" t="n">
        <v>6590</v>
      </c>
      <c r="B653" s="8" t="n">
        <v>71416.11072300001</v>
      </c>
      <c r="C653" s="9" t="n">
        <v>71.416110723</v>
      </c>
      <c r="D653" s="9" t="n">
        <v>115.85848525</v>
      </c>
      <c r="E653" s="9" t="n">
        <v>31.56519234</v>
      </c>
      <c r="F653" s="10" t="n">
        <v>0.08547180329191141</v>
      </c>
      <c r="G653" s="10" t="n">
        <v>0.3228784198831911</v>
      </c>
      <c r="H653" s="10" t="n">
        <v>0.9085578310361593</v>
      </c>
      <c r="I653" s="10" t="n">
        <v>0.824369</v>
      </c>
      <c r="J653" s="5" t="inlineStr">
        <is>
          <t>Transition</t>
        </is>
      </c>
      <c r="K653" s="11" t="n">
        <v>22.77728738145569</v>
      </c>
      <c r="L653" s="12" t="n">
        <v>1.312880684213873</v>
      </c>
      <c r="M653" s="12" t="n">
        <v>1.85</v>
      </c>
      <c r="N653" s="12" t="n">
        <v>12.42375886089328</v>
      </c>
      <c r="O653" s="12" t="n">
        <v>189.7032018641494</v>
      </c>
      <c r="P653" s="5" t="inlineStr">
        <is>
          <t>Normal</t>
        </is>
      </c>
      <c r="Q653" s="5" t="inlineStr">
        <is>
          <t>Turn Right</t>
        </is>
      </c>
      <c r="R653" s="12" t="n">
        <v>0.87</v>
      </c>
      <c r="S653" s="5" t="inlineStr">
        <is>
          <t>ACCEPTED</t>
        </is>
      </c>
      <c r="T653" s="5" t="inlineStr">
        <is>
          <t>WOB outside preferred band</t>
        </is>
      </c>
    </row>
    <row r="654" s="17">
      <c r="A654" s="7" t="n">
        <v>6595</v>
      </c>
      <c r="B654" s="8" t="n">
        <v>56424.14165</v>
      </c>
      <c r="C654" s="9" t="n">
        <v>56.42414165</v>
      </c>
      <c r="D654" s="9" t="n">
        <v>144.88106082</v>
      </c>
      <c r="E654" s="9" t="n">
        <v>74.97700094</v>
      </c>
      <c r="F654" s="10" t="n">
        <v>0.06690008136566437</v>
      </c>
      <c r="G654" s="10" t="n">
        <v>0.1869162026557412</v>
      </c>
      <c r="H654" s="10" t="n">
        <v>0.9875955913206921</v>
      </c>
      <c r="I654" s="10" t="n">
        <v>0.083272</v>
      </c>
      <c r="J654" s="5" t="inlineStr">
        <is>
          <t>Cleaner sand</t>
        </is>
      </c>
      <c r="K654" s="11" t="n">
        <v>18.62448631873143</v>
      </c>
      <c r="L654" s="12" t="n">
        <v>1.1</v>
      </c>
      <c r="M654" s="12" t="n">
        <v>1.85</v>
      </c>
      <c r="N654" s="12" t="n">
        <v>12.59979752028823</v>
      </c>
      <c r="O654" s="12" t="n">
        <v>195.4656771469116</v>
      </c>
      <c r="P654" s="5" t="inlineStr">
        <is>
          <t>Normal</t>
        </is>
      </c>
      <c r="Q654" s="5" t="inlineStr">
        <is>
          <t>Turn Right</t>
        </is>
      </c>
      <c r="R654" s="12" t="n">
        <v>0.62</v>
      </c>
      <c r="S654" s="5" t="inlineStr">
        <is>
          <t>REDUCED</t>
        </is>
      </c>
      <c r="T654" s="5" t="inlineStr">
        <is>
          <t>Normal operation</t>
        </is>
      </c>
    </row>
    <row r="655" s="17">
      <c r="A655" s="7" t="n">
        <v>6600</v>
      </c>
      <c r="B655" s="8" t="n">
        <v>39962.57818</v>
      </c>
      <c r="C655" s="9" t="n">
        <v>39.96257817999999</v>
      </c>
      <c r="D655" s="9" t="n">
        <v>115.77629303</v>
      </c>
      <c r="E655" s="9" t="n">
        <v>43.65057866</v>
      </c>
      <c r="F655" s="10" t="n">
        <v>0.1006702043666155</v>
      </c>
      <c r="G655" s="10" t="n">
        <v>0.1539215256514135</v>
      </c>
      <c r="H655" s="10" t="n">
        <v>0.9330378715847035</v>
      </c>
      <c r="I655" s="10" t="n">
        <v>0.720961</v>
      </c>
      <c r="J655" s="5" t="inlineStr">
        <is>
          <t>Cleaner sand</t>
        </is>
      </c>
      <c r="K655" s="11" t="n">
        <v>14.759211565516</v>
      </c>
      <c r="L655" s="12" t="n">
        <v>1.1</v>
      </c>
      <c r="M655" s="12" t="n">
        <v>1.85</v>
      </c>
      <c r="N655" s="12" t="n">
        <v>11.67976847969682</v>
      </c>
      <c r="O655" s="12" t="n">
        <v>190.9456412482398</v>
      </c>
      <c r="P655" s="5" t="inlineStr">
        <is>
          <t>Normal</t>
        </is>
      </c>
      <c r="Q655" s="5" t="inlineStr">
        <is>
          <t>Turn Right</t>
        </is>
      </c>
      <c r="R655" s="12" t="n">
        <v>0.83</v>
      </c>
      <c r="S655" s="5" t="inlineStr">
        <is>
          <t>ACCEPTED</t>
        </is>
      </c>
      <c r="T655" s="5" t="inlineStr">
        <is>
          <t>Normal operation</t>
        </is>
      </c>
    </row>
    <row r="656" s="17">
      <c r="A656" s="7" t="n">
        <v>6605</v>
      </c>
      <c r="B656" s="8" t="n">
        <v>56128.422116</v>
      </c>
      <c r="C656" s="9" t="n">
        <v>56.128422116</v>
      </c>
      <c r="D656" s="9" t="n">
        <v>145.44178333</v>
      </c>
      <c r="E656" s="9" t="n">
        <v>40.90752942</v>
      </c>
      <c r="F656" s="10" t="n">
        <v>0.07739570974178131</v>
      </c>
      <c r="G656" s="10" t="n">
        <v>0.3782799443050989</v>
      </c>
      <c r="H656" s="10" t="n">
        <v>0.9021391157417478</v>
      </c>
      <c r="I656" s="10" t="n">
        <v>0.747988</v>
      </c>
      <c r="J656" s="5" t="inlineStr">
        <is>
          <t>Transition</t>
        </is>
      </c>
      <c r="K656" s="11" t="n">
        <v>21.41234559473119</v>
      </c>
      <c r="L656" s="12" t="n">
        <v>1.1</v>
      </c>
      <c r="M656" s="12" t="n">
        <v>1.85</v>
      </c>
      <c r="N656" s="12" t="n">
        <v>13.60438885140337</v>
      </c>
      <c r="O656" s="12" t="n">
        <v>181.0016181852937</v>
      </c>
      <c r="P656" s="5" t="inlineStr">
        <is>
          <t>Normal</t>
        </is>
      </c>
      <c r="Q656" s="5" t="inlineStr">
        <is>
          <t>Turn Right</t>
        </is>
      </c>
      <c r="R656" s="12" t="n">
        <v>0.86</v>
      </c>
      <c r="S656" s="5" t="inlineStr">
        <is>
          <t>ACCEPTED</t>
        </is>
      </c>
      <c r="T656" s="5" t="inlineStr">
        <is>
          <t>Normal operation</t>
        </is>
      </c>
    </row>
    <row r="657" s="17">
      <c r="A657" s="7" t="n">
        <v>6610</v>
      </c>
      <c r="B657" s="8" t="n">
        <v>45190.116362</v>
      </c>
      <c r="C657" s="9" t="n">
        <v>45.190116362</v>
      </c>
      <c r="D657" s="9" t="n">
        <v>143.24002355</v>
      </c>
      <c r="E657" s="9" t="n">
        <v>70.44926597999999</v>
      </c>
      <c r="F657" s="10" t="n">
        <v>0.04834060121991714</v>
      </c>
      <c r="G657" s="10" t="n">
        <v>0.100340845255023</v>
      </c>
      <c r="H657" s="10" t="n">
        <v>0.9946507914038997</v>
      </c>
      <c r="I657" s="10" t="n">
        <v>0.044877</v>
      </c>
      <c r="J657" s="5" t="inlineStr">
        <is>
          <t>Cleaner sand</t>
        </is>
      </c>
      <c r="K657" s="11" t="n">
        <v>16.88641323548546</v>
      </c>
      <c r="L657" s="12" t="n">
        <v>1.790892058995627</v>
      </c>
      <c r="M657" s="12" t="n">
        <v>1.85</v>
      </c>
      <c r="N657" s="12" t="n">
        <v>11.35891881149733</v>
      </c>
      <c r="O657" s="12" t="n">
        <v>216.6366565724075</v>
      </c>
      <c r="P657" s="5" t="inlineStr">
        <is>
          <t>Normal</t>
        </is>
      </c>
      <c r="Q657" s="5" t="inlineStr">
        <is>
          <t>Turn Right</t>
        </is>
      </c>
      <c r="R657" s="12" t="n">
        <v>0.65</v>
      </c>
      <c r="S657" s="5" t="inlineStr">
        <is>
          <t>REDUCED</t>
        </is>
      </c>
      <c r="T657" s="5" t="inlineStr">
        <is>
          <t>Normal operation</t>
        </is>
      </c>
    </row>
    <row r="658" s="17">
      <c r="A658" s="7" t="n">
        <v>6615</v>
      </c>
      <c r="B658" s="8" t="n">
        <v>43494.980912</v>
      </c>
      <c r="C658" s="9" t="n">
        <v>43.494980912</v>
      </c>
      <c r="D658" s="9" t="n">
        <v>117.28103082</v>
      </c>
      <c r="E658" s="9" t="n">
        <v>45.16767706</v>
      </c>
      <c r="F658" s="10" t="n">
        <v>0.09933415887980743</v>
      </c>
      <c r="G658" s="10" t="n">
        <v>0.1350378593189514</v>
      </c>
      <c r="H658" s="10" t="n">
        <v>0.9001916129063399</v>
      </c>
      <c r="I658" s="10" t="n">
        <v>1.02519</v>
      </c>
      <c r="J658" s="5" t="inlineStr">
        <is>
          <t>Cleaner sand</t>
        </is>
      </c>
      <c r="K658" s="11" t="n">
        <v>16.52935202357228</v>
      </c>
      <c r="L658" s="12" t="n">
        <v>1.909275261382668</v>
      </c>
      <c r="M658" s="12" t="n">
        <v>1.85</v>
      </c>
      <c r="N658" s="12" t="n">
        <v>11.69931859520783</v>
      </c>
      <c r="O658" s="12" t="n">
        <v>208.2778268680204</v>
      </c>
      <c r="P658" s="5" t="inlineStr">
        <is>
          <t>Normal</t>
        </is>
      </c>
      <c r="Q658" s="5" t="inlineStr">
        <is>
          <t>Hold</t>
        </is>
      </c>
      <c r="R658" s="12" t="n">
        <v>0.73</v>
      </c>
      <c r="S658" s="5" t="inlineStr">
        <is>
          <t>ACCEPTED</t>
        </is>
      </c>
      <c r="T658" s="5" t="inlineStr">
        <is>
          <t>Normal operation</t>
        </is>
      </c>
    </row>
    <row r="659" s="17">
      <c r="A659" s="7" t="n">
        <v>6620</v>
      </c>
      <c r="B659" s="8" t="n">
        <v>65229.43508</v>
      </c>
      <c r="C659" s="9" t="n">
        <v>65.22943508</v>
      </c>
      <c r="D659" s="9" t="n">
        <v>122.09862596</v>
      </c>
      <c r="E659" s="9" t="n">
        <v>30</v>
      </c>
      <c r="F659" s="10" t="n">
        <v>0.05189081292812412</v>
      </c>
      <c r="G659" s="10" t="n">
        <v>0.308277367833923</v>
      </c>
      <c r="H659" s="10" t="n">
        <v>0.9328519849840782</v>
      </c>
      <c r="I659" s="10" t="n">
        <v>0.394436</v>
      </c>
      <c r="J659" s="5" t="inlineStr">
        <is>
          <t>Transition</t>
        </is>
      </c>
      <c r="K659" s="11" t="n">
        <v>20.4887338153188</v>
      </c>
      <c r="L659" s="12" t="n">
        <v>1.1</v>
      </c>
      <c r="M659" s="12" t="n">
        <v>1.85</v>
      </c>
      <c r="N659" s="12" t="n">
        <v>12.66630977561999</v>
      </c>
      <c r="O659" s="12" t="n">
        <v>187.5084134441478</v>
      </c>
      <c r="P659" s="5" t="inlineStr">
        <is>
          <t>Normal</t>
        </is>
      </c>
      <c r="Q659" s="5" t="inlineStr">
        <is>
          <t>Turn Right</t>
        </is>
      </c>
      <c r="R659" s="12" t="n">
        <v>0.6899999999999999</v>
      </c>
      <c r="S659" s="5" t="inlineStr">
        <is>
          <t>REDUCED</t>
        </is>
      </c>
      <c r="T659" s="5" t="inlineStr">
        <is>
          <t>Normal operation</t>
        </is>
      </c>
    </row>
    <row r="660" s="17">
      <c r="A660" s="7" t="n">
        <v>6625</v>
      </c>
      <c r="B660" s="8" t="n">
        <v>41899.586099</v>
      </c>
      <c r="C660" s="9" t="n">
        <v>41.899586099</v>
      </c>
      <c r="D660" s="9" t="n">
        <v>119.87970922</v>
      </c>
      <c r="E660" s="9" t="n">
        <v>58.83615702</v>
      </c>
      <c r="F660" s="10" t="n">
        <v>0.05454871112124347</v>
      </c>
      <c r="G660" s="10" t="n">
        <v>0.1756825637200589</v>
      </c>
      <c r="H660" s="10" t="n">
        <v>0.9113479662976242</v>
      </c>
      <c r="I660" s="10" t="n">
        <v>0.470587</v>
      </c>
      <c r="J660" s="5" t="inlineStr">
        <is>
          <t>Cleaner sand</t>
        </is>
      </c>
      <c r="K660" s="11" t="n">
        <v>16.4200798828425</v>
      </c>
      <c r="L660" s="12" t="n">
        <v>2.098568773897297</v>
      </c>
      <c r="M660" s="12" t="n">
        <v>1.85</v>
      </c>
      <c r="N660" s="12" t="n">
        <v>9.944434370738376</v>
      </c>
      <c r="O660" s="12" t="n">
        <v>197.774872872085</v>
      </c>
      <c r="P660" s="5" t="inlineStr">
        <is>
          <t>Normal</t>
        </is>
      </c>
      <c r="Q660" s="5" t="inlineStr">
        <is>
          <t>Turn Right</t>
        </is>
      </c>
      <c r="R660" s="12" t="n">
        <v>0.92</v>
      </c>
      <c r="S660" s="5" t="inlineStr">
        <is>
          <t>ACCEPTED</t>
        </is>
      </c>
      <c r="T660" s="5" t="inlineStr">
        <is>
          <t>Normal operation</t>
        </is>
      </c>
    </row>
    <row r="661" s="17">
      <c r="A661" s="7" t="n">
        <v>6630</v>
      </c>
      <c r="B661" s="8" t="n">
        <v>56433.729914</v>
      </c>
      <c r="C661" s="9" t="n">
        <v>56.433729914</v>
      </c>
      <c r="D661" s="9" t="n">
        <v>136.79031112</v>
      </c>
      <c r="E661" s="9" t="n">
        <v>35.87185858</v>
      </c>
      <c r="F661" s="10" t="n">
        <v>0.09149683255895122</v>
      </c>
      <c r="G661" s="10" t="n">
        <v>0.2625713151389244</v>
      </c>
      <c r="H661" s="10" t="n">
        <v>0.9548823373826532</v>
      </c>
      <c r="I661" s="10" t="n">
        <v>0.44014</v>
      </c>
      <c r="J661" s="5" t="inlineStr">
        <is>
          <t>Transition</t>
        </is>
      </c>
      <c r="K661" s="11" t="n">
        <v>18.75077808647653</v>
      </c>
      <c r="L661" s="12" t="n">
        <v>1.423300084675114</v>
      </c>
      <c r="M661" s="12" t="n">
        <v>1.85</v>
      </c>
      <c r="N661" s="12" t="n">
        <v>12.7599899536868</v>
      </c>
      <c r="O661" s="12" t="n">
        <v>199.183956511482</v>
      </c>
      <c r="P661" s="5" t="inlineStr">
        <is>
          <t>Normal</t>
        </is>
      </c>
      <c r="Q661" s="5" t="inlineStr">
        <is>
          <t>Turn Right</t>
        </is>
      </c>
      <c r="R661" s="12" t="n">
        <v>0.8</v>
      </c>
      <c r="S661" s="5" t="inlineStr">
        <is>
          <t>ACCEPTED</t>
        </is>
      </c>
      <c r="T661" s="5" t="inlineStr">
        <is>
          <t>Normal operation</t>
        </is>
      </c>
    </row>
    <row r="662" s="17">
      <c r="A662" s="7" t="n">
        <v>6635</v>
      </c>
      <c r="B662" s="8" t="n">
        <v>56744.779797</v>
      </c>
      <c r="C662" s="9" t="n">
        <v>56.744779797</v>
      </c>
      <c r="D662" s="9" t="n">
        <v>168.71200313</v>
      </c>
      <c r="E662" s="9" t="n">
        <v>30</v>
      </c>
      <c r="F662" s="10" t="n">
        <v>0.05571429294454573</v>
      </c>
      <c r="G662" s="10" t="n">
        <v>0.2954755391147572</v>
      </c>
      <c r="H662" s="10" t="n">
        <v>0.9762960863594412</v>
      </c>
      <c r="I662" s="10" t="n">
        <v>0.139401</v>
      </c>
      <c r="J662" s="5" t="inlineStr">
        <is>
          <t>Transition</t>
        </is>
      </c>
      <c r="K662" s="11" t="n">
        <v>18.37868529205447</v>
      </c>
      <c r="L662" s="12" t="n">
        <v>1.731928575872919</v>
      </c>
      <c r="M662" s="12" t="n">
        <v>1.85</v>
      </c>
      <c r="N662" s="12" t="n">
        <v>8.522510893977223</v>
      </c>
      <c r="O662" s="12" t="n">
        <v>207.0855284672406</v>
      </c>
      <c r="P662" s="5" t="inlineStr">
        <is>
          <t>Normal</t>
        </is>
      </c>
      <c r="Q662" s="5" t="inlineStr">
        <is>
          <t>Turn Right</t>
        </is>
      </c>
      <c r="R662" s="12" t="n">
        <v>0.91</v>
      </c>
      <c r="S662" s="5" t="inlineStr">
        <is>
          <t>ACCEPTED</t>
        </is>
      </c>
      <c r="T662" s="5" t="inlineStr">
        <is>
          <t>Normal operation</t>
        </is>
      </c>
    </row>
    <row r="663" s="17">
      <c r="A663" s="7" t="n">
        <v>6640</v>
      </c>
      <c r="B663" s="8" t="n">
        <v>47524.906555</v>
      </c>
      <c r="C663" s="9" t="n">
        <v>47.524906555</v>
      </c>
      <c r="D663" s="9" t="n">
        <v>128.57128719</v>
      </c>
      <c r="E663" s="9" t="n">
        <v>63.69803870000001</v>
      </c>
      <c r="F663" s="10" t="n">
        <v>0.0326335925967542</v>
      </c>
      <c r="G663" s="10" t="n">
        <v>0.1127672790431975</v>
      </c>
      <c r="H663" s="10" t="n">
        <v>0.9833953445236037</v>
      </c>
      <c r="I663" s="10" t="n">
        <v>0.073924</v>
      </c>
      <c r="J663" s="5" t="inlineStr">
        <is>
          <t>Cleaner sand</t>
        </is>
      </c>
      <c r="K663" s="11" t="n">
        <v>16.70975427104107</v>
      </c>
      <c r="L663" s="12" t="n">
        <v>2.449988107845158</v>
      </c>
      <c r="M663" s="12" t="n">
        <v>1.85</v>
      </c>
      <c r="N663" s="12" t="n">
        <v>12.409192209893</v>
      </c>
      <c r="O663" s="12" t="n">
        <v>187.3602131539846</v>
      </c>
      <c r="P663" s="5" t="inlineStr">
        <is>
          <t>Normal</t>
        </is>
      </c>
      <c r="Q663" s="5" t="inlineStr">
        <is>
          <t>Turn Right</t>
        </is>
      </c>
      <c r="R663" s="12" t="n">
        <v>0.52</v>
      </c>
      <c r="S663" s="5" t="inlineStr">
        <is>
          <t>REDUCED</t>
        </is>
      </c>
      <c r="T663" s="5" t="inlineStr">
        <is>
          <t>Normal operation</t>
        </is>
      </c>
    </row>
    <row r="664" s="17">
      <c r="A664" s="7" t="n">
        <v>6645</v>
      </c>
      <c r="B664" s="8" t="n">
        <v>46304.83413</v>
      </c>
      <c r="C664" s="9" t="n">
        <v>46.30483413</v>
      </c>
      <c r="D664" s="9" t="n">
        <v>137.44913975</v>
      </c>
      <c r="E664" s="9" t="n">
        <v>30</v>
      </c>
      <c r="F664" s="10" t="n">
        <v>0.1112582999100554</v>
      </c>
      <c r="G664" s="10" t="n">
        <v>0.2981642582091957</v>
      </c>
      <c r="H664" s="10" t="n">
        <v>0.9120898271870467</v>
      </c>
      <c r="I664" s="10" t="n">
        <v>0.9706</v>
      </c>
      <c r="J664" s="5" t="inlineStr">
        <is>
          <t>Transition</t>
        </is>
      </c>
      <c r="K664" s="11" t="n">
        <v>16.99946223670077</v>
      </c>
      <c r="L664" s="12" t="n">
        <v>2.09945126477411</v>
      </c>
      <c r="M664" s="12" t="n">
        <v>1.85</v>
      </c>
      <c r="N664" s="12" t="n">
        <v>9.584725893111575</v>
      </c>
      <c r="O664" s="12" t="n">
        <v>207.0440564544878</v>
      </c>
      <c r="P664" s="5" t="inlineStr">
        <is>
          <t>Normal</t>
        </is>
      </c>
      <c r="Q664" s="5" t="inlineStr">
        <is>
          <t>Turn Right</t>
        </is>
      </c>
      <c r="R664" s="12" t="n">
        <v>0.57</v>
      </c>
      <c r="S664" s="5" t="inlineStr">
        <is>
          <t>REDUCED</t>
        </is>
      </c>
      <c r="T664" s="5" t="inlineStr">
        <is>
          <t>Normal operation</t>
        </is>
      </c>
    </row>
    <row r="665" s="17">
      <c r="A665" s="7" t="n">
        <v>6650</v>
      </c>
      <c r="B665" s="8" t="n">
        <v>60898.161692</v>
      </c>
      <c r="C665" s="9" t="n">
        <v>60.898161692</v>
      </c>
      <c r="D665" s="9" t="n">
        <v>124.28248431</v>
      </c>
      <c r="E665" s="9" t="n">
        <v>30</v>
      </c>
      <c r="F665" s="10" t="n">
        <v>0.09999888747745303</v>
      </c>
      <c r="G665" s="10" t="n">
        <v>0.335515743963664</v>
      </c>
      <c r="H665" s="10" t="n">
        <v>0.9055766415950153</v>
      </c>
      <c r="I665" s="10" t="n">
        <v>0.972722</v>
      </c>
      <c r="J665" s="5" t="inlineStr">
        <is>
          <t>Transition</t>
        </is>
      </c>
      <c r="K665" s="11" t="n">
        <v>19.17281928314421</v>
      </c>
      <c r="L665" s="12" t="n">
        <v>1.528419982526142</v>
      </c>
      <c r="M665" s="12" t="n">
        <v>1.85</v>
      </c>
      <c r="N665" s="12" t="n">
        <v>9.532242492879027</v>
      </c>
      <c r="O665" s="12" t="n">
        <v>191.4240891011292</v>
      </c>
      <c r="P665" s="5" t="inlineStr">
        <is>
          <t>Normal</t>
        </is>
      </c>
      <c r="Q665" s="5" t="inlineStr">
        <is>
          <t>Turn Right</t>
        </is>
      </c>
      <c r="R665" s="12" t="n">
        <v>0.44</v>
      </c>
      <c r="S665" s="5" t="inlineStr">
        <is>
          <t>REJECTED</t>
        </is>
      </c>
      <c r="T665" s="5" t="inlineStr">
        <is>
          <t>Normal operation</t>
        </is>
      </c>
    </row>
    <row r="666" s="17">
      <c r="A666" s="7" t="n">
        <v>6655</v>
      </c>
      <c r="B666" s="8" t="n">
        <v>50735.579975</v>
      </c>
      <c r="C666" s="9" t="n">
        <v>50.735579975</v>
      </c>
      <c r="D666" s="9" t="n">
        <v>126.85664984</v>
      </c>
      <c r="E666" s="9" t="n">
        <v>61.05252682</v>
      </c>
      <c r="F666" s="10" t="n">
        <v>0.03008291718063154</v>
      </c>
      <c r="G666" s="10" t="n">
        <v>0.04883880887158253</v>
      </c>
      <c r="H666" s="10" t="n">
        <v>1</v>
      </c>
      <c r="I666" s="10" t="n">
        <v>0.040475</v>
      </c>
      <c r="J666" s="5" t="inlineStr">
        <is>
          <t>Cleaner sand</t>
        </is>
      </c>
      <c r="K666" s="11" t="n">
        <v>17.13427970851547</v>
      </c>
      <c r="L666" s="12" t="n">
        <v>1.223315809546509</v>
      </c>
      <c r="M666" s="12" t="n">
        <v>1.85</v>
      </c>
      <c r="N666" s="12" t="n">
        <v>7.169284355316845</v>
      </c>
      <c r="O666" s="12" t="n">
        <v>184.5257957801365</v>
      </c>
      <c r="P666" s="5" t="inlineStr">
        <is>
          <t>Normal</t>
        </is>
      </c>
      <c r="Q666" s="5" t="inlineStr">
        <is>
          <t>Build</t>
        </is>
      </c>
      <c r="R666" s="12" t="n">
        <v>0.67</v>
      </c>
      <c r="S666" s="5" t="inlineStr">
        <is>
          <t>REDUCED</t>
        </is>
      </c>
      <c r="T666" s="5" t="inlineStr">
        <is>
          <t>Normal operation</t>
        </is>
      </c>
    </row>
    <row r="667" s="17">
      <c r="A667" s="7" t="n">
        <v>6660</v>
      </c>
      <c r="B667" s="8" t="n">
        <v>53684.388617</v>
      </c>
      <c r="C667" s="9" t="n">
        <v>53.684388617</v>
      </c>
      <c r="D667" s="9" t="n">
        <v>134.68568077</v>
      </c>
      <c r="E667" s="9" t="n">
        <v>45.33127608</v>
      </c>
      <c r="F667" s="10" t="n">
        <v>0.1398225729694844</v>
      </c>
      <c r="G667" s="10" t="n">
        <v>0.2989551620849314</v>
      </c>
      <c r="H667" s="10" t="n">
        <v>0.9128286832233372</v>
      </c>
      <c r="I667" s="10" t="n">
        <v>1.265603</v>
      </c>
      <c r="J667" s="5" t="inlineStr">
        <is>
          <t>Transition</t>
        </is>
      </c>
      <c r="K667" s="11" t="n">
        <v>18.49590540179322</v>
      </c>
      <c r="L667" s="12" t="n">
        <v>1.1</v>
      </c>
      <c r="M667" s="12" t="n">
        <v>1.85</v>
      </c>
      <c r="N667" s="12" t="n">
        <v>8.81361115806645</v>
      </c>
      <c r="O667" s="12" t="n">
        <v>206.3052890388983</v>
      </c>
      <c r="P667" s="5" t="inlineStr">
        <is>
          <t>Normal</t>
        </is>
      </c>
      <c r="Q667" s="5" t="inlineStr">
        <is>
          <t>Turn Right</t>
        </is>
      </c>
      <c r="R667" s="12" t="n">
        <v>0.88</v>
      </c>
      <c r="S667" s="5" t="inlineStr">
        <is>
          <t>ACCEPTED</t>
        </is>
      </c>
      <c r="T667" s="5" t="inlineStr">
        <is>
          <t>Normal operation</t>
        </is>
      </c>
    </row>
    <row r="668" s="17">
      <c r="A668" s="7" t="n">
        <v>6665</v>
      </c>
      <c r="B668" s="8" t="n">
        <v>65371.722648</v>
      </c>
      <c r="C668" s="9" t="n">
        <v>65.371722648</v>
      </c>
      <c r="D668" s="9" t="n">
        <v>162.5511314</v>
      </c>
      <c r="E668" s="9" t="n">
        <v>47.19164862</v>
      </c>
      <c r="F668" s="10" t="n">
        <v>0.06578963649355017</v>
      </c>
      <c r="G668" s="10" t="n">
        <v>0.3031697997102898</v>
      </c>
      <c r="H668" s="10" t="n">
        <v>0.9052203845955713</v>
      </c>
      <c r="I668" s="10" t="n">
        <v>0.629522</v>
      </c>
      <c r="J668" s="5" t="inlineStr">
        <is>
          <t>Transition</t>
        </is>
      </c>
      <c r="K668" s="11" t="n">
        <v>20.28405144600482</v>
      </c>
      <c r="L668" s="12" t="n">
        <v>1.307614873571214</v>
      </c>
      <c r="M668" s="12" t="n">
        <v>1.85</v>
      </c>
      <c r="N668" s="12" t="n">
        <v>7.831642513125252</v>
      </c>
      <c r="O668" s="12" t="n">
        <v>213.345753590869</v>
      </c>
      <c r="P668" s="5" t="inlineStr">
        <is>
          <t>Normal</t>
        </is>
      </c>
      <c r="Q668" s="5" t="inlineStr">
        <is>
          <t>Build</t>
        </is>
      </c>
      <c r="R668" s="12" t="n">
        <v>0.58</v>
      </c>
      <c r="S668" s="5" t="inlineStr">
        <is>
          <t>REDUCED</t>
        </is>
      </c>
      <c r="T668" s="5" t="inlineStr">
        <is>
          <t>Normal operation</t>
        </is>
      </c>
    </row>
    <row r="669" s="17">
      <c r="A669" s="7" t="n">
        <v>6670</v>
      </c>
      <c r="B669" s="8" t="n">
        <v>32448.68759</v>
      </c>
      <c r="C669" s="9" t="n">
        <v>32.44868759</v>
      </c>
      <c r="D669" s="9" t="n">
        <v>132.6655102</v>
      </c>
      <c r="E669" s="9" t="n">
        <v>76.51115616000001</v>
      </c>
      <c r="F669" s="10" t="n">
        <v>0.04253555429211889</v>
      </c>
      <c r="G669" s="10" t="n">
        <v>0.07839028296649177</v>
      </c>
      <c r="H669" s="10" t="n">
        <v>1</v>
      </c>
      <c r="I669" s="10" t="n">
        <v>0.039048</v>
      </c>
      <c r="J669" s="5" t="inlineStr">
        <is>
          <t>Cleaner sand</t>
        </is>
      </c>
      <c r="K669" s="11" t="n">
        <v>15.9877634810381</v>
      </c>
      <c r="L669" s="12" t="n">
        <v>1.55654618297443</v>
      </c>
      <c r="M669" s="12" t="n">
        <v>1.85</v>
      </c>
      <c r="N669" s="12" t="n">
        <v>8.171997467277466</v>
      </c>
      <c r="O669" s="12" t="n">
        <v>227.8821884319035</v>
      </c>
      <c r="P669" s="5" t="inlineStr">
        <is>
          <t>Normal</t>
        </is>
      </c>
      <c r="Q669" s="5" t="inlineStr">
        <is>
          <t>Build</t>
        </is>
      </c>
      <c r="R669" s="12" t="n">
        <v>0.47</v>
      </c>
      <c r="S669" s="5" t="inlineStr">
        <is>
          <t>REJECTED</t>
        </is>
      </c>
      <c r="T669" s="5" t="inlineStr">
        <is>
          <t>Normal operation</t>
        </is>
      </c>
    </row>
    <row r="670" s="17">
      <c r="A670" s="7" t="n">
        <v>6675</v>
      </c>
      <c r="B670" s="8" t="n">
        <v>59329.963964</v>
      </c>
      <c r="C670" s="9" t="n">
        <v>59.329963964</v>
      </c>
      <c r="D670" s="9" t="n">
        <v>140.59085779</v>
      </c>
      <c r="E670" s="9" t="n">
        <v>46.7166013</v>
      </c>
      <c r="F670" s="10" t="n">
        <v>0.1167773038275173</v>
      </c>
      <c r="G670" s="10" t="n">
        <v>0.08072062845021089</v>
      </c>
      <c r="H670" s="10" t="n">
        <v>0.8948413806769908</v>
      </c>
      <c r="I670" s="10" t="n">
        <v>1.275793</v>
      </c>
      <c r="J670" s="5" t="inlineStr">
        <is>
          <t>Cleaner sand</t>
        </is>
      </c>
      <c r="K670" s="11" t="n">
        <v>16.77684876842092</v>
      </c>
      <c r="L670" s="12" t="n">
        <v>1.17628203169592</v>
      </c>
      <c r="M670" s="12" t="n">
        <v>1.85</v>
      </c>
      <c r="N670" s="12" t="n">
        <v>8.561980173540187</v>
      </c>
      <c r="O670" s="12" t="n">
        <v>191.7568368150334</v>
      </c>
      <c r="P670" s="5" t="inlineStr">
        <is>
          <t>Normal</t>
        </is>
      </c>
      <c r="Q670" s="5" t="inlineStr">
        <is>
          <t>Turn Right</t>
        </is>
      </c>
      <c r="R670" s="12" t="n">
        <v>0.44</v>
      </c>
      <c r="S670" s="5" t="inlineStr">
        <is>
          <t>REJECTED</t>
        </is>
      </c>
      <c r="T670" s="5" t="inlineStr">
        <is>
          <t>Normal operation</t>
        </is>
      </c>
    </row>
    <row r="671" s="17">
      <c r="A671" s="7" t="n">
        <v>6680</v>
      </c>
      <c r="B671" s="8" t="n">
        <v>64461.626599</v>
      </c>
      <c r="C671" s="9" t="n">
        <v>64.461626599</v>
      </c>
      <c r="D671" s="9" t="n">
        <v>117.2763591</v>
      </c>
      <c r="E671" s="9" t="n">
        <v>31.31484306</v>
      </c>
      <c r="F671" s="10" t="n">
        <v>0.08234259158178964</v>
      </c>
      <c r="G671" s="10" t="n">
        <v>0.2796098814444757</v>
      </c>
      <c r="H671" s="10" t="n">
        <v>0.8726589963785716</v>
      </c>
      <c r="I671" s="10" t="n">
        <v>1.041296</v>
      </c>
      <c r="J671" s="5" t="inlineStr">
        <is>
          <t>Transition</t>
        </is>
      </c>
      <c r="K671" s="11" t="n">
        <v>21.46314916936373</v>
      </c>
      <c r="L671" s="12" t="n">
        <v>1.595684086124771</v>
      </c>
      <c r="M671" s="12" t="n">
        <v>1.85</v>
      </c>
      <c r="N671" s="12" t="n">
        <v>9.764160240683287</v>
      </c>
      <c r="O671" s="12" t="n">
        <v>212.6751669551639</v>
      </c>
      <c r="P671" s="5" t="inlineStr">
        <is>
          <t>Normal</t>
        </is>
      </c>
      <c r="Q671" s="5" t="inlineStr">
        <is>
          <t>Turn Right</t>
        </is>
      </c>
      <c r="R671" s="12" t="n">
        <v>0.65</v>
      </c>
      <c r="S671" s="5" t="inlineStr">
        <is>
          <t>REDUCED</t>
        </is>
      </c>
      <c r="T671" s="5" t="inlineStr">
        <is>
          <t>Normal operation</t>
        </is>
      </c>
    </row>
    <row r="672" s="17">
      <c r="A672" s="7" t="n">
        <v>6685</v>
      </c>
      <c r="B672" s="8" t="n">
        <v>36973.681505</v>
      </c>
      <c r="C672" s="9" t="n">
        <v>36.973681505</v>
      </c>
      <c r="D672" s="9" t="n">
        <v>148.10954718</v>
      </c>
      <c r="E672" s="9" t="n">
        <v>65.39456704</v>
      </c>
      <c r="F672" s="10" t="n">
        <v>0.04788206488356921</v>
      </c>
      <c r="G672" s="10" t="n">
        <v>0.221810996265292</v>
      </c>
      <c r="H672" s="10" t="n">
        <v>0.9497728719507595</v>
      </c>
      <c r="I672" s="10" t="n">
        <v>0.240116</v>
      </c>
      <c r="J672" s="5" t="inlineStr">
        <is>
          <t>Cleaner sand</t>
        </is>
      </c>
      <c r="K672" s="11" t="n">
        <v>16.56209992759727</v>
      </c>
      <c r="L672" s="12" t="n">
        <v>1.697657422649796</v>
      </c>
      <c r="M672" s="12" t="n">
        <v>1.85</v>
      </c>
      <c r="N672" s="12" t="n">
        <v>8.567462211492103</v>
      </c>
      <c r="O672" s="12" t="n">
        <v>203.695022362176</v>
      </c>
      <c r="P672" s="5" t="inlineStr">
        <is>
          <t>Normal</t>
        </is>
      </c>
      <c r="Q672" s="5" t="inlineStr">
        <is>
          <t>Turn Right</t>
        </is>
      </c>
      <c r="R672" s="12" t="n">
        <v>0.49</v>
      </c>
      <c r="S672" s="5" t="inlineStr">
        <is>
          <t>REJECTED</t>
        </is>
      </c>
      <c r="T672" s="5" t="inlineStr">
        <is>
          <t>Normal operation</t>
        </is>
      </c>
    </row>
    <row r="673" s="17">
      <c r="A673" s="7" t="n">
        <v>6690</v>
      </c>
      <c r="B673" s="8" t="n">
        <v>45722.377421</v>
      </c>
      <c r="C673" s="9" t="n">
        <v>45.722377421</v>
      </c>
      <c r="D673" s="9" t="n">
        <v>151.36712934</v>
      </c>
      <c r="E673" s="9" t="n">
        <v>35.17079794</v>
      </c>
      <c r="F673" s="10" t="n">
        <v>0.1241267527284091</v>
      </c>
      <c r="G673" s="10" t="n">
        <v>0.2113301635913545</v>
      </c>
      <c r="H673" s="10" t="n">
        <v>0.87687377660231</v>
      </c>
      <c r="I673" s="10" t="n">
        <v>1.518099</v>
      </c>
      <c r="J673" s="5" t="inlineStr">
        <is>
          <t>Cleaner sand</t>
        </is>
      </c>
      <c r="K673" s="11" t="n">
        <v>14.85169888897959</v>
      </c>
      <c r="L673" s="12" t="n">
        <v>1.549820568914041</v>
      </c>
      <c r="M673" s="12" t="n">
        <v>1.85</v>
      </c>
      <c r="N673" s="12" t="n">
        <v>8.476104216895488</v>
      </c>
      <c r="O673" s="12" t="n">
        <v>217.9026474403755</v>
      </c>
      <c r="P673" s="5" t="inlineStr">
        <is>
          <t>Normal</t>
        </is>
      </c>
      <c r="Q673" s="5" t="inlineStr">
        <is>
          <t>Build</t>
        </is>
      </c>
      <c r="R673" s="12" t="n">
        <v>0.59</v>
      </c>
      <c r="S673" s="5" t="inlineStr">
        <is>
          <t>REDUCED</t>
        </is>
      </c>
      <c r="T673" s="5" t="inlineStr">
        <is>
          <t>Normal operation</t>
        </is>
      </c>
    </row>
    <row r="674" s="17">
      <c r="A674" s="7" t="n">
        <v>6695</v>
      </c>
      <c r="B674" s="8" t="n">
        <v>73419.089016</v>
      </c>
      <c r="C674" s="9" t="n">
        <v>73.419089016</v>
      </c>
      <c r="D674" s="9" t="n">
        <v>105.49832462</v>
      </c>
      <c r="E674" s="9" t="n">
        <v>40.6525127</v>
      </c>
      <c r="F674" s="10" t="n">
        <v>0.09782610549497589</v>
      </c>
      <c r="G674" s="10" t="n">
        <v>0.3675474987693025</v>
      </c>
      <c r="H674" s="10" t="n">
        <v>0.9044107520198786</v>
      </c>
      <c r="I674" s="10" t="n">
        <v>0.950569</v>
      </c>
      <c r="J674" s="5" t="inlineStr">
        <is>
          <t>Transition</t>
        </is>
      </c>
      <c r="K674" s="11" t="n">
        <v>21.67642578415908</v>
      </c>
      <c r="L674" s="12" t="n">
        <v>1.341498735396505</v>
      </c>
      <c r="M674" s="12" t="n">
        <v>1.85</v>
      </c>
      <c r="N674" s="12" t="n">
        <v>6.430496074777587</v>
      </c>
      <c r="O674" s="12" t="n">
        <v>197.8024289530092</v>
      </c>
      <c r="P674" s="5" t="inlineStr">
        <is>
          <t>Normal</t>
        </is>
      </c>
      <c r="Q674" s="5" t="inlineStr">
        <is>
          <t>Build</t>
        </is>
      </c>
      <c r="R674" s="12" t="n">
        <v>0.85</v>
      </c>
      <c r="S674" s="5" t="inlineStr">
        <is>
          <t>ACCEPTED</t>
        </is>
      </c>
      <c r="T674" s="5" t="inlineStr">
        <is>
          <t>WOB outside preferred band</t>
        </is>
      </c>
    </row>
    <row r="675" s="17">
      <c r="A675" s="7" t="n">
        <v>6700</v>
      </c>
      <c r="B675" s="8" t="n">
        <v>38930.615322</v>
      </c>
      <c r="C675" s="9" t="n">
        <v>38.930615322</v>
      </c>
      <c r="D675" s="9" t="n">
        <v>127.9661287</v>
      </c>
      <c r="E675" s="9" t="n">
        <v>72.68218911999999</v>
      </c>
      <c r="F675" s="10" t="n">
        <v>0.04555685596258556</v>
      </c>
      <c r="G675" s="10" t="n">
        <v>0.1090705824693749</v>
      </c>
      <c r="H675" s="10" t="n">
        <v>0.9212647410060812</v>
      </c>
      <c r="I675" s="10" t="n">
        <v>0.400612</v>
      </c>
      <c r="J675" s="5" t="inlineStr">
        <is>
          <t>Cleaner sand</t>
        </is>
      </c>
      <c r="K675" s="11" t="n">
        <v>15.3044963204988</v>
      </c>
      <c r="L675" s="12" t="n">
        <v>1.742640789263696</v>
      </c>
      <c r="M675" s="12" t="n">
        <v>1.85</v>
      </c>
      <c r="N675" s="12" t="n">
        <v>6.488237676596048</v>
      </c>
      <c r="O675" s="12" t="n">
        <v>202.4729280176976</v>
      </c>
      <c r="P675" s="5" t="inlineStr">
        <is>
          <t>Normal</t>
        </is>
      </c>
      <c r="Q675" s="5" t="inlineStr">
        <is>
          <t>Build</t>
        </is>
      </c>
      <c r="R675" s="12" t="n">
        <v>0.61</v>
      </c>
      <c r="S675" s="5" t="inlineStr">
        <is>
          <t>REDUCED</t>
        </is>
      </c>
      <c r="T675" s="5" t="inlineStr">
        <is>
          <t>Normal operation</t>
        </is>
      </c>
    </row>
    <row r="676" s="17">
      <c r="A676" s="7" t="n">
        <v>6705</v>
      </c>
      <c r="B676" s="8" t="n">
        <v>52842.32889</v>
      </c>
      <c r="C676" s="9" t="n">
        <v>52.84232889</v>
      </c>
      <c r="D676" s="9" t="n">
        <v>136.55306424</v>
      </c>
      <c r="E676" s="9" t="n">
        <v>41.46625774</v>
      </c>
      <c r="F676" s="10" t="n">
        <v>0.05146685336982262</v>
      </c>
      <c r="G676" s="10" t="n">
        <v>0.08812339387530709</v>
      </c>
      <c r="H676" s="10" t="n">
        <v>0.9665634791851834</v>
      </c>
      <c r="I676" s="10" t="n">
        <v>0.203612</v>
      </c>
      <c r="J676" s="5" t="inlineStr">
        <is>
          <t>Cleaner sand</t>
        </is>
      </c>
      <c r="K676" s="11" t="n">
        <v>16.82709048443092</v>
      </c>
      <c r="L676" s="12" t="n">
        <v>1.87655091828901</v>
      </c>
      <c r="M676" s="12" t="n">
        <v>1.85</v>
      </c>
      <c r="N676" s="12" t="n">
        <v>9.750107229739054</v>
      </c>
      <c r="O676" s="12" t="n">
        <v>210.0825567130763</v>
      </c>
      <c r="P676" s="5" t="inlineStr">
        <is>
          <t>Normal</t>
        </is>
      </c>
      <c r="Q676" s="5" t="inlineStr">
        <is>
          <t>Turn Right</t>
        </is>
      </c>
      <c r="R676" s="12" t="n">
        <v>0.74</v>
      </c>
      <c r="S676" s="5" t="inlineStr">
        <is>
          <t>ACCEPTED</t>
        </is>
      </c>
      <c r="T676" s="5" t="inlineStr">
        <is>
          <t>Normal operation</t>
        </is>
      </c>
    </row>
    <row r="677" s="17">
      <c r="A677" s="7" t="n">
        <v>6710</v>
      </c>
      <c r="B677" s="8" t="n">
        <v>72078.91489299999</v>
      </c>
      <c r="C677" s="9" t="n">
        <v>72.07891489299999</v>
      </c>
      <c r="D677" s="9" t="n">
        <v>146.82297325</v>
      </c>
      <c r="E677" s="9" t="n">
        <v>49.41288102</v>
      </c>
      <c r="F677" s="10" t="n">
        <v>0.1080712374339694</v>
      </c>
      <c r="G677" s="10" t="n">
        <v>0.2307693757944395</v>
      </c>
      <c r="H677" s="10" t="n">
        <v>0.9365308770900302</v>
      </c>
      <c r="I677" s="10" t="n">
        <v>0.699367</v>
      </c>
      <c r="J677" s="5" t="inlineStr">
        <is>
          <t>Cleaner sand</t>
        </is>
      </c>
      <c r="K677" s="11" t="n">
        <v>20.99480968559199</v>
      </c>
      <c r="L677" s="12" t="n">
        <v>1.125704452053006</v>
      </c>
      <c r="M677" s="12" t="n">
        <v>1.85</v>
      </c>
      <c r="N677" s="12" t="n">
        <v>6.234550073492906</v>
      </c>
      <c r="O677" s="12" t="n">
        <v>221.5109078330102</v>
      </c>
      <c r="P677" s="5" t="inlineStr">
        <is>
          <t>Normal</t>
        </is>
      </c>
      <c r="Q677" s="5" t="inlineStr">
        <is>
          <t>Build</t>
        </is>
      </c>
      <c r="R677" s="12" t="n">
        <v>0.68</v>
      </c>
      <c r="S677" s="5" t="inlineStr">
        <is>
          <t>REDUCED</t>
        </is>
      </c>
      <c r="T677" s="5" t="inlineStr">
        <is>
          <t>WOB outside preferred band</t>
        </is>
      </c>
    </row>
    <row r="678" s="17">
      <c r="A678" s="7" t="n">
        <v>6715</v>
      </c>
      <c r="B678" s="8" t="n">
        <v>53426.047816</v>
      </c>
      <c r="C678" s="9" t="n">
        <v>53.426047816</v>
      </c>
      <c r="D678" s="9" t="n">
        <v>119.5363378</v>
      </c>
      <c r="E678" s="9" t="n">
        <v>43.62938412</v>
      </c>
      <c r="F678" s="10" t="n">
        <v>0.03221657029320375</v>
      </c>
      <c r="G678" s="10" t="n">
        <v>0.1488733917371</v>
      </c>
      <c r="H678" s="10" t="n">
        <v>0.9309927424563991</v>
      </c>
      <c r="I678" s="10" t="n">
        <v>0.243176</v>
      </c>
      <c r="J678" s="5" t="inlineStr">
        <is>
          <t>Cleaner sand</t>
        </is>
      </c>
      <c r="K678" s="11" t="n">
        <v>17.23138486821609</v>
      </c>
      <c r="L678" s="12" t="n">
        <v>2.351356866075673</v>
      </c>
      <c r="M678" s="12" t="n">
        <v>1.85</v>
      </c>
      <c r="N678" s="12" t="n">
        <v>9.121928859162361</v>
      </c>
      <c r="O678" s="12" t="n">
        <v>217.3211944316232</v>
      </c>
      <c r="P678" s="5" t="inlineStr">
        <is>
          <t>Normal</t>
        </is>
      </c>
      <c r="Q678" s="5" t="inlineStr">
        <is>
          <t>Turn Right</t>
        </is>
      </c>
      <c r="R678" s="12" t="n">
        <v>0.8</v>
      </c>
      <c r="S678" s="5" t="inlineStr">
        <is>
          <t>ACCEPTED</t>
        </is>
      </c>
      <c r="T678" s="5" t="inlineStr">
        <is>
          <t>Normal operation</t>
        </is>
      </c>
    </row>
    <row r="679" s="17">
      <c r="A679" s="7" t="n">
        <v>6720</v>
      </c>
      <c r="B679" s="8" t="n">
        <v>69083.178929</v>
      </c>
      <c r="C679" s="9" t="n">
        <v>69.083178929</v>
      </c>
      <c r="D679" s="9" t="n">
        <v>123.79591511</v>
      </c>
      <c r="E679" s="9" t="n">
        <v>54.5875025</v>
      </c>
      <c r="F679" s="10" t="n">
        <v>0.1540564656836658</v>
      </c>
      <c r="G679" s="10" t="n">
        <v>0.1079023756849905</v>
      </c>
      <c r="H679" s="10" t="n">
        <v>0.98881946478984</v>
      </c>
      <c r="I679" s="10" t="n">
        <v>0.152583</v>
      </c>
      <c r="J679" s="5" t="inlineStr">
        <is>
          <t>Cleaner sand</t>
        </is>
      </c>
      <c r="K679" s="11" t="n">
        <v>22.97391618428861</v>
      </c>
      <c r="L679" s="12" t="n">
        <v>1.611691815180712</v>
      </c>
      <c r="M679" s="12" t="n">
        <v>1.85</v>
      </c>
      <c r="N679" s="12" t="n">
        <v>6.43142528574553</v>
      </c>
      <c r="O679" s="12" t="n">
        <v>233.4551753225862</v>
      </c>
      <c r="P679" s="5" t="inlineStr">
        <is>
          <t>Normal</t>
        </is>
      </c>
      <c r="Q679" s="5" t="inlineStr">
        <is>
          <t>Build</t>
        </is>
      </c>
      <c r="R679" s="12" t="n">
        <v>0.49</v>
      </c>
      <c r="S679" s="5" t="inlineStr">
        <is>
          <t>REJECTED</t>
        </is>
      </c>
      <c r="T679" s="5" t="inlineStr">
        <is>
          <t>Normal operation</t>
        </is>
      </c>
    </row>
    <row r="680" s="17">
      <c r="A680" s="7" t="n">
        <v>6725</v>
      </c>
      <c r="B680" s="8" t="n">
        <v>61122.221976</v>
      </c>
      <c r="C680" s="9" t="n">
        <v>61.122221976</v>
      </c>
      <c r="D680" s="9" t="n">
        <v>108.56287732</v>
      </c>
      <c r="E680" s="9" t="n">
        <v>43.1111105</v>
      </c>
      <c r="F680" s="10" t="n">
        <v>0.09281635453669188</v>
      </c>
      <c r="G680" s="10" t="n">
        <v>0.2749986138993795</v>
      </c>
      <c r="H680" s="10" t="n">
        <v>0.8440151291582394</v>
      </c>
      <c r="I680" s="10" t="n">
        <v>1.45529</v>
      </c>
      <c r="J680" s="5" t="inlineStr">
        <is>
          <t>Transition</t>
        </is>
      </c>
      <c r="K680" s="11" t="n">
        <v>20.69313197938659</v>
      </c>
      <c r="L680" s="12" t="n">
        <v>1.669236315242975</v>
      </c>
      <c r="M680" s="12" t="n">
        <v>1.85</v>
      </c>
      <c r="N680" s="12" t="n">
        <v>6.528925874079991</v>
      </c>
      <c r="O680" s="12" t="n">
        <v>240.3788357072392</v>
      </c>
      <c r="P680" s="5" t="inlineStr">
        <is>
          <t>Normal</t>
        </is>
      </c>
      <c r="Q680" s="5" t="inlineStr">
        <is>
          <t>Build</t>
        </is>
      </c>
      <c r="R680" s="12" t="n">
        <v>0.91</v>
      </c>
      <c r="S680" s="5" t="inlineStr">
        <is>
          <t>ACCEPTED</t>
        </is>
      </c>
      <c r="T680" s="5" t="inlineStr">
        <is>
          <t>Normal operation</t>
        </is>
      </c>
    </row>
    <row r="681" s="17">
      <c r="A681" s="7" t="n">
        <v>6730</v>
      </c>
      <c r="B681" s="8" t="n">
        <v>53592.369483</v>
      </c>
      <c r="C681" s="9" t="n">
        <v>53.592369483</v>
      </c>
      <c r="D681" s="9" t="n">
        <v>136.92116709</v>
      </c>
      <c r="E681" s="9" t="n">
        <v>45.21618006000001</v>
      </c>
      <c r="F681" s="10" t="n">
        <v>0.05324653530474485</v>
      </c>
      <c r="G681" s="10" t="n">
        <v>0.1059340523620354</v>
      </c>
      <c r="H681" s="10" t="n">
        <v>0.9337149771945472</v>
      </c>
      <c r="I681" s="10" t="n">
        <v>0.373547</v>
      </c>
      <c r="J681" s="5" t="inlineStr">
        <is>
          <t>Cleaner sand</t>
        </is>
      </c>
      <c r="K681" s="11" t="n">
        <v>19.64410596026256</v>
      </c>
      <c r="L681" s="12" t="n">
        <v>2.007025067395713</v>
      </c>
      <c r="M681" s="12" t="n">
        <v>1.85</v>
      </c>
      <c r="N681" s="12" t="n">
        <v>7.695972978195095</v>
      </c>
      <c r="O681" s="12" t="n">
        <v>239.4539705608094</v>
      </c>
      <c r="P681" s="5" t="inlineStr">
        <is>
          <t>Normal</t>
        </is>
      </c>
      <c r="Q681" s="5" t="inlineStr">
        <is>
          <t>Build</t>
        </is>
      </c>
      <c r="R681" s="12" t="n">
        <v>0.75</v>
      </c>
      <c r="S681" s="5" t="inlineStr">
        <is>
          <t>ACCEPTED</t>
        </is>
      </c>
      <c r="T681" s="5" t="inlineStr">
        <is>
          <t>Normal operation</t>
        </is>
      </c>
    </row>
    <row r="682" s="17">
      <c r="A682" s="7" t="n">
        <v>6735</v>
      </c>
      <c r="B682" s="8" t="n">
        <v>37984.836813</v>
      </c>
      <c r="C682" s="9" t="n">
        <v>37.984836813</v>
      </c>
      <c r="D682" s="9" t="n">
        <v>132.64157788</v>
      </c>
      <c r="E682" s="9" t="n">
        <v>32.9220283</v>
      </c>
      <c r="F682" s="10" t="n">
        <v>0.1115485216523318</v>
      </c>
      <c r="G682" s="10" t="n">
        <v>0.2143635704009453</v>
      </c>
      <c r="H682" s="10" t="n">
        <v>0.9346668165679282</v>
      </c>
      <c r="I682" s="10" t="n">
        <v>0.743841</v>
      </c>
      <c r="J682" s="5" t="inlineStr">
        <is>
          <t>Cleaner sand</t>
        </is>
      </c>
      <c r="K682" s="11" t="n">
        <v>16.22366012845776</v>
      </c>
      <c r="L682" s="12" t="n">
        <v>1.774275904319116</v>
      </c>
      <c r="M682" s="12" t="n">
        <v>1.85</v>
      </c>
      <c r="N682" s="12" t="n">
        <v>7.736505131219219</v>
      </c>
      <c r="O682" s="12" t="n">
        <v>253.0875359265337</v>
      </c>
      <c r="P682" s="5" t="inlineStr">
        <is>
          <t>Normal</t>
        </is>
      </c>
      <c r="Q682" s="5" t="inlineStr">
        <is>
          <t>Build</t>
        </is>
      </c>
      <c r="R682" s="12" t="n">
        <v>0.55</v>
      </c>
      <c r="S682" s="5" t="inlineStr">
        <is>
          <t>REDUCED</t>
        </is>
      </c>
      <c r="T682" s="5" t="inlineStr">
        <is>
          <t>Normal operation</t>
        </is>
      </c>
    </row>
    <row r="683" s="17">
      <c r="A683" s="7" t="n">
        <v>6740</v>
      </c>
      <c r="B683" s="8" t="n">
        <v>69137.92585299999</v>
      </c>
      <c r="C683" s="9" t="n">
        <v>69.137925853</v>
      </c>
      <c r="D683" s="9" t="n">
        <v>161.7647252</v>
      </c>
      <c r="E683" s="9" t="n">
        <v>43.93137372</v>
      </c>
      <c r="F683" s="10" t="n">
        <v>0.04074902928011329</v>
      </c>
      <c r="G683" s="10" t="n">
        <v>0.2444382333026216</v>
      </c>
      <c r="H683" s="10" t="n">
        <v>0.9349768909177353</v>
      </c>
      <c r="I683" s="10" t="n">
        <v>0.300161</v>
      </c>
      <c r="J683" s="5" t="inlineStr">
        <is>
          <t>Cleaner sand</t>
        </is>
      </c>
      <c r="K683" s="11" t="n">
        <v>20.10266311297864</v>
      </c>
      <c r="L683" s="12" t="n">
        <v>2.12703695061749</v>
      </c>
      <c r="M683" s="12" t="n">
        <v>1.85</v>
      </c>
      <c r="N683" s="12" t="n">
        <v>5.942448861948597</v>
      </c>
      <c r="O683" s="12" t="n">
        <v>244.5823845948073</v>
      </c>
      <c r="P683" s="5" t="inlineStr">
        <is>
          <t>Normal</t>
        </is>
      </c>
      <c r="Q683" s="5" t="inlineStr">
        <is>
          <t>Build</t>
        </is>
      </c>
      <c r="R683" s="12" t="n">
        <v>0.47</v>
      </c>
      <c r="S683" s="5" t="inlineStr">
        <is>
          <t>REJECTED</t>
        </is>
      </c>
      <c r="T683" s="5" t="inlineStr">
        <is>
          <t>Normal operation</t>
        </is>
      </c>
    </row>
    <row r="684" s="17">
      <c r="A684" s="7" t="n">
        <v>6745</v>
      </c>
      <c r="B684" s="8" t="n">
        <v>40226.516796</v>
      </c>
      <c r="C684" s="9" t="n">
        <v>40.22651679600001</v>
      </c>
      <c r="D684" s="9" t="n">
        <v>133.55998749</v>
      </c>
      <c r="E684" s="9" t="n">
        <v>56.95957882</v>
      </c>
      <c r="F684" s="10" t="n">
        <v>0.0527709514829567</v>
      </c>
      <c r="G684" s="10" t="n">
        <v>0.0960409118056164</v>
      </c>
      <c r="H684" s="10" t="n">
        <v>0.9787755652968492</v>
      </c>
      <c r="I684" s="10" t="n">
        <v>0.127842</v>
      </c>
      <c r="J684" s="5" t="inlineStr">
        <is>
          <t>Cleaner sand</t>
        </is>
      </c>
      <c r="K684" s="11" t="n">
        <v>15.3897612276393</v>
      </c>
      <c r="L684" s="12" t="n">
        <v>1.800690840948894</v>
      </c>
      <c r="M684" s="12" t="n">
        <v>1.85</v>
      </c>
      <c r="N684" s="12" t="n">
        <v>5.72019752523169</v>
      </c>
      <c r="O684" s="12" t="n">
        <v>231.8521948628009</v>
      </c>
      <c r="P684" s="5" t="inlineStr">
        <is>
          <t>Normal</t>
        </is>
      </c>
      <c r="Q684" s="5" t="inlineStr">
        <is>
          <t>Build</t>
        </is>
      </c>
      <c r="R684" s="12" t="n">
        <v>0.48</v>
      </c>
      <c r="S684" s="5" t="inlineStr">
        <is>
          <t>REJECTED</t>
        </is>
      </c>
      <c r="T684" s="5" t="inlineStr">
        <is>
          <t>Normal operation</t>
        </is>
      </c>
    </row>
    <row r="685" s="17">
      <c r="A685" s="7" t="n">
        <v>6750</v>
      </c>
      <c r="B685" s="8" t="n">
        <v>66440.900541</v>
      </c>
      <c r="C685" s="9" t="n">
        <v>66.44090054099999</v>
      </c>
      <c r="D685" s="9" t="n">
        <v>124.89497822</v>
      </c>
      <c r="E685" s="9" t="n">
        <v>47.86140494</v>
      </c>
      <c r="F685" s="10" t="n">
        <v>0.1405841613206787</v>
      </c>
      <c r="G685" s="10" t="n">
        <v>0.101493140978879</v>
      </c>
      <c r="H685" s="10" t="n">
        <v>0.9156368534366099</v>
      </c>
      <c r="I685" s="10" t="n">
        <v>1.19504</v>
      </c>
      <c r="J685" s="5" t="inlineStr">
        <is>
          <t>Cleaner sand</t>
        </is>
      </c>
      <c r="K685" s="11" t="n">
        <v>21.22504816219971</v>
      </c>
      <c r="L685" s="12" t="n">
        <v>1.359905686426185</v>
      </c>
      <c r="M685" s="12" t="n">
        <v>1.85</v>
      </c>
      <c r="N685" s="12" t="n">
        <v>6.290625216229077</v>
      </c>
      <c r="O685" s="12" t="n">
        <v>261.3139317904387</v>
      </c>
      <c r="P685" s="5" t="inlineStr">
        <is>
          <t>Normal</t>
        </is>
      </c>
      <c r="Q685" s="5" t="inlineStr">
        <is>
          <t>Build</t>
        </is>
      </c>
      <c r="R685" s="12" t="n">
        <v>0.83</v>
      </c>
      <c r="S685" s="5" t="inlineStr">
        <is>
          <t>ACCEPTED</t>
        </is>
      </c>
      <c r="T685" s="5" t="inlineStr">
        <is>
          <t>Normal operation</t>
        </is>
      </c>
    </row>
    <row r="686" s="17">
      <c r="A686" s="7" t="n">
        <v>6755</v>
      </c>
      <c r="B686" s="8" t="n">
        <v>60931.0149</v>
      </c>
      <c r="C686" s="9" t="n">
        <v>60.9310149</v>
      </c>
      <c r="D686" s="9" t="n">
        <v>160.45581717</v>
      </c>
      <c r="E686" s="9" t="n">
        <v>49.8508053</v>
      </c>
      <c r="F686" s="10" t="n">
        <v>0.1194659166166817</v>
      </c>
      <c r="G686" s="10" t="n">
        <v>0.3556300616872353</v>
      </c>
      <c r="H686" s="10" t="n">
        <v>0.9058647316306599</v>
      </c>
      <c r="I686" s="10" t="n">
        <v>1.171686</v>
      </c>
      <c r="J686" s="5" t="inlineStr">
        <is>
          <t>Transition</t>
        </is>
      </c>
      <c r="K686" s="11" t="n">
        <v>18.50015866085089</v>
      </c>
      <c r="L686" s="12" t="n">
        <v>1.83713672735099</v>
      </c>
      <c r="M686" s="12" t="n">
        <v>1.85</v>
      </c>
      <c r="N686" s="12" t="n">
        <v>6.941074890507989</v>
      </c>
      <c r="O686" s="12" t="n">
        <v>245.3387631360844</v>
      </c>
      <c r="P686" s="5" t="inlineStr">
        <is>
          <t>Normal</t>
        </is>
      </c>
      <c r="Q686" s="5" t="inlineStr">
        <is>
          <t>Build</t>
        </is>
      </c>
      <c r="R686" s="12" t="n">
        <v>0.72</v>
      </c>
      <c r="S686" s="5" t="inlineStr">
        <is>
          <t>ACCEPTED</t>
        </is>
      </c>
      <c r="T686" s="5" t="inlineStr">
        <is>
          <t>Normal operation</t>
        </is>
      </c>
    </row>
    <row r="687" s="17">
      <c r="A687" s="7" t="n">
        <v>6760</v>
      </c>
      <c r="B687" s="8" t="n">
        <v>45552.103738</v>
      </c>
      <c r="C687" s="9" t="n">
        <v>45.552103738</v>
      </c>
      <c r="D687" s="9" t="n">
        <v>124.7589656</v>
      </c>
      <c r="E687" s="9" t="n">
        <v>75.65626680000001</v>
      </c>
      <c r="F687" s="10" t="n">
        <v>0.03327810057514533</v>
      </c>
      <c r="G687" s="10" t="n">
        <v>0.2170786219792957</v>
      </c>
      <c r="H687" s="10" t="n">
        <v>0.9114817466235068</v>
      </c>
      <c r="I687" s="10" t="n">
        <v>0.310868</v>
      </c>
      <c r="J687" s="5" t="inlineStr">
        <is>
          <t>Cleaner sand</t>
        </is>
      </c>
      <c r="K687" s="11" t="n">
        <v>17.60677053876132</v>
      </c>
      <c r="L687" s="12" t="n">
        <v>1.1</v>
      </c>
      <c r="M687" s="12" t="n">
        <v>1.85</v>
      </c>
      <c r="N687" s="12" t="n">
        <v>7.79883320123518</v>
      </c>
      <c r="O687" s="12" t="n">
        <v>264.2448655158177</v>
      </c>
      <c r="P687" s="5" t="inlineStr">
        <is>
          <t>Normal</t>
        </is>
      </c>
      <c r="Q687" s="5" t="inlineStr">
        <is>
          <t>Build</t>
        </is>
      </c>
      <c r="R687" s="12" t="n">
        <v>0.61</v>
      </c>
      <c r="S687" s="5" t="inlineStr">
        <is>
          <t>REDUCED</t>
        </is>
      </c>
      <c r="T687" s="5" t="inlineStr">
        <is>
          <t>Normal operation</t>
        </is>
      </c>
    </row>
    <row r="688" s="17">
      <c r="A688" s="7" t="n">
        <v>6765</v>
      </c>
      <c r="B688" s="8" t="n">
        <v>55238.392725</v>
      </c>
      <c r="C688" s="9" t="n">
        <v>55.238392725</v>
      </c>
      <c r="D688" s="9" t="n">
        <v>126.0531823</v>
      </c>
      <c r="E688" s="9" t="n">
        <v>54.60311694</v>
      </c>
      <c r="F688" s="10" t="n">
        <v>0.1080544588178743</v>
      </c>
      <c r="G688" s="10" t="n">
        <v>0.2340528862973293</v>
      </c>
      <c r="H688" s="10" t="n">
        <v>0.9307662690071599</v>
      </c>
      <c r="I688" s="10" t="n">
        <v>0.757764</v>
      </c>
      <c r="J688" s="5" t="inlineStr">
        <is>
          <t>Cleaner sand</t>
        </is>
      </c>
      <c r="K688" s="11" t="n">
        <v>18.43496473972497</v>
      </c>
      <c r="L688" s="12" t="n">
        <v>1.713194255830496</v>
      </c>
      <c r="M688" s="12" t="n">
        <v>1.85</v>
      </c>
      <c r="N688" s="12" t="n">
        <v>6.784045529495159</v>
      </c>
      <c r="O688" s="12" t="n">
        <v>274.6574972230604</v>
      </c>
      <c r="P688" s="5" t="inlineStr">
        <is>
          <t>Normal</t>
        </is>
      </c>
      <c r="Q688" s="5" t="inlineStr">
        <is>
          <t>Build</t>
        </is>
      </c>
      <c r="R688" s="12" t="n">
        <v>0.58</v>
      </c>
      <c r="S688" s="5" t="inlineStr">
        <is>
          <t>REDUCED</t>
        </is>
      </c>
      <c r="T688" s="5" t="inlineStr">
        <is>
          <t>Normal operation</t>
        </is>
      </c>
    </row>
    <row r="689" s="17">
      <c r="A689" s="7" t="n">
        <v>6770</v>
      </c>
      <c r="B689" s="8" t="n">
        <v>52857.872058</v>
      </c>
      <c r="C689" s="9" t="n">
        <v>52.857872058</v>
      </c>
      <c r="D689" s="9" t="n">
        <v>138.34945669</v>
      </c>
      <c r="E689" s="9" t="n">
        <v>52.96662408</v>
      </c>
      <c r="F689" s="10" t="n">
        <v>0.07180286531160926</v>
      </c>
      <c r="G689" s="10" t="n">
        <v>0.03315949875685007</v>
      </c>
      <c r="H689" s="10" t="n">
        <v>0.9992261556353916</v>
      </c>
      <c r="I689" s="10" t="n">
        <v>0.009933000000000001</v>
      </c>
      <c r="J689" s="5" t="inlineStr">
        <is>
          <t>Cleaner sand</t>
        </is>
      </c>
      <c r="K689" s="11" t="n">
        <v>17.86264009634517</v>
      </c>
      <c r="L689" s="12" t="n">
        <v>1.643717304584214</v>
      </c>
      <c r="M689" s="12" t="n">
        <v>2.562398478790084</v>
      </c>
      <c r="N689" s="12" t="n">
        <v>7.721507204731142</v>
      </c>
      <c r="O689" s="12" t="n">
        <v>267.2844665325772</v>
      </c>
      <c r="P689" s="5" t="inlineStr">
        <is>
          <t>Normal</t>
        </is>
      </c>
      <c r="Q689" s="5" t="inlineStr">
        <is>
          <t>Build</t>
        </is>
      </c>
      <c r="R689" s="12" t="n">
        <v>0.87</v>
      </c>
      <c r="S689" s="5" t="inlineStr">
        <is>
          <t>ACCEPTED</t>
        </is>
      </c>
      <c r="T689" s="5" t="inlineStr">
        <is>
          <t>Normal operation</t>
        </is>
      </c>
    </row>
    <row r="690" s="17">
      <c r="A690" s="7" t="n">
        <v>6775</v>
      </c>
      <c r="B690" s="8" t="n">
        <v>52281.232303</v>
      </c>
      <c r="C690" s="9" t="n">
        <v>52.281232303</v>
      </c>
      <c r="D690" s="9" t="n">
        <v>125.33574544</v>
      </c>
      <c r="E690" s="9" t="n">
        <v>44.32834146</v>
      </c>
      <c r="F690" s="10" t="n">
        <v>0.06927816072561241</v>
      </c>
      <c r="G690" s="10" t="n">
        <v>0.1657475077155933</v>
      </c>
      <c r="H690" s="10" t="n">
        <v>0.9542973314447019</v>
      </c>
      <c r="I690" s="10" t="n">
        <v>0.333654</v>
      </c>
      <c r="J690" s="5" t="inlineStr">
        <is>
          <t>Cleaner sand</t>
        </is>
      </c>
      <c r="K690" s="11" t="n">
        <v>18.84236435021263</v>
      </c>
      <c r="L690" s="12" t="n">
        <v>1.558022739936455</v>
      </c>
      <c r="M690" s="12" t="n">
        <v>1.872540082836321</v>
      </c>
      <c r="N690" s="12" t="n">
        <v>9.185230973751528</v>
      </c>
      <c r="O690" s="12" t="n">
        <v>251.5601707725787</v>
      </c>
      <c r="P690" s="5" t="inlineStr">
        <is>
          <t>Normal</t>
        </is>
      </c>
      <c r="Q690" s="5" t="inlineStr">
        <is>
          <t>Hold</t>
        </is>
      </c>
      <c r="R690" s="12" t="n">
        <v>0.88</v>
      </c>
      <c r="S690" s="5" t="inlineStr">
        <is>
          <t>ACCEPTED</t>
        </is>
      </c>
      <c r="T690" s="5" t="inlineStr">
        <is>
          <t>Normal operation</t>
        </is>
      </c>
    </row>
    <row r="691" s="17">
      <c r="A691" s="7" t="n">
        <v>6780</v>
      </c>
      <c r="B691" s="8" t="n">
        <v>68545.157324</v>
      </c>
      <c r="C691" s="9" t="n">
        <v>68.545157324</v>
      </c>
      <c r="D691" s="9" t="n">
        <v>130.65499042</v>
      </c>
      <c r="E691" s="9" t="n">
        <v>49.7184327</v>
      </c>
      <c r="F691" s="10" t="n">
        <v>0.117339982684384</v>
      </c>
      <c r="G691" s="10" t="n">
        <v>0.2090955111273055</v>
      </c>
      <c r="H691" s="10" t="n">
        <v>0.930493560713592</v>
      </c>
      <c r="I691" s="10" t="n">
        <v>0.848261</v>
      </c>
      <c r="J691" s="5" t="inlineStr">
        <is>
          <t>Cleaner sand</t>
        </is>
      </c>
      <c r="K691" s="11" t="n">
        <v>21.566955243442</v>
      </c>
      <c r="L691" s="12" t="n">
        <v>1.597016619394924</v>
      </c>
      <c r="M691" s="12" t="n">
        <v>1.85</v>
      </c>
      <c r="N691" s="12" t="n">
        <v>7.689474122241807</v>
      </c>
      <c r="O691" s="12" t="n">
        <v>261.1393152013592</v>
      </c>
      <c r="P691" s="5" t="inlineStr">
        <is>
          <t>Normal</t>
        </is>
      </c>
      <c r="Q691" s="5" t="inlineStr">
        <is>
          <t>Build</t>
        </is>
      </c>
      <c r="R691" s="12" t="n">
        <v>0.72</v>
      </c>
      <c r="S691" s="5" t="inlineStr">
        <is>
          <t>ACCEPTED</t>
        </is>
      </c>
      <c r="T691" s="5" t="inlineStr">
        <is>
          <t>Normal operation</t>
        </is>
      </c>
    </row>
    <row r="692" s="17">
      <c r="A692" s="7" t="n">
        <v>6785</v>
      </c>
      <c r="B692" s="8" t="n">
        <v>71556.620704</v>
      </c>
      <c r="C692" s="9" t="n">
        <v>71.556620704</v>
      </c>
      <c r="D692" s="9" t="n">
        <v>120.45478156</v>
      </c>
      <c r="E692" s="9" t="n">
        <v>30</v>
      </c>
      <c r="F692" s="10" t="n">
        <v>0.07038802432201455</v>
      </c>
      <c r="G692" s="10" t="n">
        <v>0.2580044135744291</v>
      </c>
      <c r="H692" s="10" t="n">
        <v>0.9595709346814534</v>
      </c>
      <c r="I692" s="10" t="n">
        <v>0.306341</v>
      </c>
      <c r="J692" s="5" t="inlineStr">
        <is>
          <t>Transition</t>
        </is>
      </c>
      <c r="K692" s="11" t="n">
        <v>21.3155990103927</v>
      </c>
      <c r="L692" s="12" t="n">
        <v>1.1</v>
      </c>
      <c r="M692" s="12" t="n">
        <v>1.85</v>
      </c>
      <c r="N692" s="12" t="n">
        <v>7.737328643602061</v>
      </c>
      <c r="O692" s="12" t="n">
        <v>287.3328426274709</v>
      </c>
      <c r="P692" s="5" t="inlineStr">
        <is>
          <t>Normal</t>
        </is>
      </c>
      <c r="Q692" s="5" t="inlineStr">
        <is>
          <t>Build</t>
        </is>
      </c>
      <c r="R692" s="12" t="n">
        <v>0.6899999999999999</v>
      </c>
      <c r="S692" s="5" t="inlineStr">
        <is>
          <t>REDUCED</t>
        </is>
      </c>
      <c r="T692" s="5" t="inlineStr">
        <is>
          <t>WOB outside preferred band</t>
        </is>
      </c>
    </row>
    <row r="693" s="17">
      <c r="A693" s="7" t="n">
        <v>6790</v>
      </c>
      <c r="B693" s="8" t="n">
        <v>48298.001016</v>
      </c>
      <c r="C693" s="9" t="n">
        <v>48.298001016</v>
      </c>
      <c r="D693" s="9" t="n">
        <v>129.79682141</v>
      </c>
      <c r="E693" s="9" t="n">
        <v>50.03308802</v>
      </c>
      <c r="F693" s="10" t="n">
        <v>0.04363141372684497</v>
      </c>
      <c r="G693" s="10" t="n">
        <v>0.1338569888632124</v>
      </c>
      <c r="H693" s="10" t="n">
        <v>0.9614590675523355</v>
      </c>
      <c r="I693" s="10" t="n">
        <v>0.171302</v>
      </c>
      <c r="J693" s="5" t="inlineStr">
        <is>
          <t>Cleaner sand</t>
        </is>
      </c>
      <c r="K693" s="11" t="n">
        <v>18.5581318066747</v>
      </c>
      <c r="L693" s="12" t="n">
        <v>1.391124795206929</v>
      </c>
      <c r="M693" s="12" t="n">
        <v>1.85</v>
      </c>
      <c r="N693" s="12" t="n">
        <v>5.496004162677024</v>
      </c>
      <c r="O693" s="12" t="n">
        <v>276.1712393907317</v>
      </c>
      <c r="P693" s="5" t="inlineStr">
        <is>
          <t>Normal</t>
        </is>
      </c>
      <c r="Q693" s="5" t="inlineStr">
        <is>
          <t>Build</t>
        </is>
      </c>
      <c r="R693" s="12" t="n">
        <v>0.85</v>
      </c>
      <c r="S693" s="5" t="inlineStr">
        <is>
          <t>ACCEPTED</t>
        </is>
      </c>
      <c r="T693" s="5" t="inlineStr">
        <is>
          <t>Normal operation</t>
        </is>
      </c>
    </row>
    <row r="694" s="17">
      <c r="A694" s="7" t="n">
        <v>6795</v>
      </c>
      <c r="B694" s="8" t="n">
        <v>67886.051353</v>
      </c>
      <c r="C694" s="9" t="n">
        <v>67.886051353</v>
      </c>
      <c r="D694" s="9" t="n">
        <v>130.23424193</v>
      </c>
      <c r="E694" s="9" t="n">
        <v>30</v>
      </c>
      <c r="F694" s="10" t="n">
        <v>0.1592875558648435</v>
      </c>
      <c r="G694" s="10" t="n">
        <v>0.1284714966546393</v>
      </c>
      <c r="H694" s="10" t="n">
        <v>0.9355232727288678</v>
      </c>
      <c r="I694" s="10" t="n">
        <v>1.071355</v>
      </c>
      <c r="J694" s="5" t="inlineStr">
        <is>
          <t>Cleaner sand</t>
        </is>
      </c>
      <c r="K694" s="11" t="n">
        <v>19.92040476185788</v>
      </c>
      <c r="L694" s="12" t="n">
        <v>1.705494001559146</v>
      </c>
      <c r="M694" s="12" t="n">
        <v>1.85</v>
      </c>
      <c r="N694" s="12" t="n">
        <v>4.189047361914611</v>
      </c>
      <c r="O694" s="12" t="n">
        <v>282.3772805758732</v>
      </c>
      <c r="P694" s="5" t="inlineStr">
        <is>
          <t>Normal</t>
        </is>
      </c>
      <c r="Q694" s="5" t="inlineStr">
        <is>
          <t>Build</t>
        </is>
      </c>
      <c r="R694" s="12" t="n">
        <v>0.8100000000000001</v>
      </c>
      <c r="S694" s="5" t="inlineStr">
        <is>
          <t>ACCEPTED</t>
        </is>
      </c>
      <c r="T694" s="5" t="inlineStr">
        <is>
          <t>Normal operation</t>
        </is>
      </c>
    </row>
    <row r="695" s="17">
      <c r="A695" s="7" t="n">
        <v>6800</v>
      </c>
      <c r="B695" s="8" t="n">
        <v>55860.952695</v>
      </c>
      <c r="C695" s="9" t="n">
        <v>55.860952695</v>
      </c>
      <c r="D695" s="9" t="n">
        <v>148.08496601</v>
      </c>
      <c r="E695" s="9" t="n">
        <v>30</v>
      </c>
      <c r="F695" s="10" t="n">
        <v>0.1169818603729535</v>
      </c>
      <c r="G695" s="10" t="n">
        <v>0.3433264003552394</v>
      </c>
      <c r="H695" s="10" t="n">
        <v>0.8897847492428399</v>
      </c>
      <c r="I695" s="10" t="n">
        <v>1.302441</v>
      </c>
      <c r="J695" s="5" t="inlineStr">
        <is>
          <t>Transition</t>
        </is>
      </c>
      <c r="K695" s="11" t="n">
        <v>19.40572798736425</v>
      </c>
      <c r="L695" s="12" t="n">
        <v>1.738329632078726</v>
      </c>
      <c r="M695" s="12" t="n">
        <v>1.85</v>
      </c>
      <c r="N695" s="12" t="n">
        <v>8.252293292289876</v>
      </c>
      <c r="O695" s="12" t="n">
        <v>292.8398947539727</v>
      </c>
      <c r="P695" s="5" t="inlineStr">
        <is>
          <t>Normal</t>
        </is>
      </c>
      <c r="Q695" s="5" t="inlineStr">
        <is>
          <t>Build</t>
        </is>
      </c>
      <c r="R695" s="12" t="n">
        <v>0.62</v>
      </c>
      <c r="S695" s="5" t="inlineStr">
        <is>
          <t>REDUCED</t>
        </is>
      </c>
      <c r="T695" s="5" t="inlineStr">
        <is>
          <t>Normal operation</t>
        </is>
      </c>
    </row>
    <row r="696" s="17">
      <c r="A696" s="7" t="n">
        <v>6805</v>
      </c>
      <c r="B696" s="8" t="n">
        <v>43660.413333</v>
      </c>
      <c r="C696" s="9" t="n">
        <v>43.66041333299999</v>
      </c>
      <c r="D696" s="9" t="n">
        <v>141.51375471</v>
      </c>
      <c r="E696" s="9" t="n">
        <v>42.4801533</v>
      </c>
      <c r="F696" s="10" t="n">
        <v>0.04582695426582972</v>
      </c>
      <c r="G696" s="10" t="n">
        <v>0.2989248603201999</v>
      </c>
      <c r="H696" s="10" t="n">
        <v>0.9381334937555997</v>
      </c>
      <c r="I696" s="10" t="n">
        <v>0.284382</v>
      </c>
      <c r="J696" s="5" t="inlineStr">
        <is>
          <t>Transition</t>
        </is>
      </c>
      <c r="K696" s="11" t="n">
        <v>17.13895058964314</v>
      </c>
      <c r="L696" s="12" t="n">
        <v>1.15643918094628</v>
      </c>
      <c r="M696" s="12" t="n">
        <v>1.85</v>
      </c>
      <c r="N696" s="12" t="n">
        <v>7.762541648123785</v>
      </c>
      <c r="O696" s="12" t="n">
        <v>295.8251713050872</v>
      </c>
      <c r="P696" s="5" t="inlineStr">
        <is>
          <t>Normal</t>
        </is>
      </c>
      <c r="Q696" s="5" t="inlineStr">
        <is>
          <t>Build</t>
        </is>
      </c>
      <c r="R696" s="12" t="n">
        <v>0.45</v>
      </c>
      <c r="S696" s="5" t="inlineStr">
        <is>
          <t>REJECTED</t>
        </is>
      </c>
      <c r="T696" s="5" t="inlineStr">
        <is>
          <t>Normal operation</t>
        </is>
      </c>
    </row>
    <row r="697" s="17">
      <c r="A697" s="7" t="n">
        <v>6810</v>
      </c>
      <c r="B697" s="8" t="n">
        <v>49451.439658</v>
      </c>
      <c r="C697" s="9" t="n">
        <v>49.45143965800001</v>
      </c>
      <c r="D697" s="9" t="n">
        <v>135.00221029</v>
      </c>
      <c r="E697" s="9" t="n">
        <v>30</v>
      </c>
      <c r="F697" s="10" t="n">
        <v>0.1315984530556459</v>
      </c>
      <c r="G697" s="10" t="n">
        <v>0.2716885079367109</v>
      </c>
      <c r="H697" s="10" t="n">
        <v>0.9176036834407948</v>
      </c>
      <c r="I697" s="10" t="n">
        <v>1.065287</v>
      </c>
      <c r="J697" s="5" t="inlineStr">
        <is>
          <t>Transition</t>
        </is>
      </c>
      <c r="K697" s="11" t="n">
        <v>17.30139787558405</v>
      </c>
      <c r="L697" s="12" t="n">
        <v>2.280196842023703</v>
      </c>
      <c r="M697" s="12" t="n">
        <v>1.85</v>
      </c>
      <c r="N697" s="12" t="n">
        <v>7.355003975898036</v>
      </c>
      <c r="O697" s="12" t="n">
        <v>295.1897566241923</v>
      </c>
      <c r="P697" s="5" t="inlineStr">
        <is>
          <t>Normal</t>
        </is>
      </c>
      <c r="Q697" s="5" t="inlineStr">
        <is>
          <t>Build</t>
        </is>
      </c>
      <c r="R697" s="12" t="n">
        <v>0.82</v>
      </c>
      <c r="S697" s="5" t="inlineStr">
        <is>
          <t>ACCEPTED</t>
        </is>
      </c>
      <c r="T697" s="5" t="inlineStr">
        <is>
          <t>Normal operation</t>
        </is>
      </c>
    </row>
    <row r="698" s="17">
      <c r="A698" s="7" t="n">
        <v>6815</v>
      </c>
      <c r="B698" s="8" t="n">
        <v>69877.16456799999</v>
      </c>
      <c r="C698" s="9" t="n">
        <v>69.877164568</v>
      </c>
      <c r="D698" s="9" t="n">
        <v>116.60260692</v>
      </c>
      <c r="E698" s="9" t="n">
        <v>44.6590737</v>
      </c>
      <c r="F698" s="10" t="n">
        <v>0.08797066386575156</v>
      </c>
      <c r="G698" s="10" t="n">
        <v>0.2132661175779379</v>
      </c>
      <c r="H698" s="10" t="n">
        <v>0.9466099621673265</v>
      </c>
      <c r="I698" s="10" t="n">
        <v>0.5045770000000001</v>
      </c>
      <c r="J698" s="5" t="inlineStr">
        <is>
          <t>Cleaner sand</t>
        </is>
      </c>
      <c r="K698" s="11" t="n">
        <v>21.69380989358211</v>
      </c>
      <c r="L698" s="12" t="n">
        <v>1.235574324374894</v>
      </c>
      <c r="M698" s="12" t="n">
        <v>1.85</v>
      </c>
      <c r="N698" s="12" t="n">
        <v>8.479219023227712</v>
      </c>
      <c r="O698" s="12" t="n">
        <v>293.7739594780995</v>
      </c>
      <c r="P698" s="5" t="inlineStr">
        <is>
          <t>Normal</t>
        </is>
      </c>
      <c r="Q698" s="5" t="inlineStr">
        <is>
          <t>Build</t>
        </is>
      </c>
      <c r="R698" s="12" t="n">
        <v>0.49</v>
      </c>
      <c r="S698" s="5" t="inlineStr">
        <is>
          <t>REJECTED</t>
        </is>
      </c>
      <c r="T698" s="5" t="inlineStr">
        <is>
          <t>Normal operation</t>
        </is>
      </c>
    </row>
    <row r="699" s="17">
      <c r="A699" s="7" t="n">
        <v>6820</v>
      </c>
      <c r="B699" s="8" t="n">
        <v>43537.495567</v>
      </c>
      <c r="C699" s="9" t="n">
        <v>43.537495567</v>
      </c>
      <c r="D699" s="9" t="n">
        <v>122.90201837</v>
      </c>
      <c r="E699" s="9" t="n">
        <v>71.47807570000001</v>
      </c>
      <c r="F699" s="10" t="n">
        <v>0.05108948171406942</v>
      </c>
      <c r="G699" s="10" t="n">
        <v>0.1631134879508069</v>
      </c>
      <c r="H699" s="10" t="n">
        <v>0.9604653853760926</v>
      </c>
      <c r="I699" s="10" t="n">
        <v>0.236821</v>
      </c>
      <c r="J699" s="5" t="inlineStr">
        <is>
          <t>Cleaner sand</t>
        </is>
      </c>
      <c r="K699" s="11" t="n">
        <v>15.27212851978952</v>
      </c>
      <c r="L699" s="12" t="n">
        <v>2.135034028258101</v>
      </c>
      <c r="M699" s="12" t="n">
        <v>1.85</v>
      </c>
      <c r="N699" s="12" t="n">
        <v>8.222513214327764</v>
      </c>
      <c r="O699" s="12" t="n">
        <v>296.1016964768442</v>
      </c>
      <c r="P699" s="5" t="inlineStr">
        <is>
          <t>Normal</t>
        </is>
      </c>
      <c r="Q699" s="5" t="inlineStr">
        <is>
          <t>Build</t>
        </is>
      </c>
      <c r="R699" s="12" t="n">
        <v>0.41</v>
      </c>
      <c r="S699" s="5" t="inlineStr">
        <is>
          <t>REJECTED</t>
        </is>
      </c>
      <c r="T699" s="5" t="inlineStr">
        <is>
          <t>Normal operation</t>
        </is>
      </c>
    </row>
    <row r="700" s="17">
      <c r="A700" s="7" t="n">
        <v>6825</v>
      </c>
      <c r="B700" s="8" t="n">
        <v>42491.485013</v>
      </c>
      <c r="C700" s="9" t="n">
        <v>42.49148501299999</v>
      </c>
      <c r="D700" s="9" t="n">
        <v>122.31947401</v>
      </c>
      <c r="E700" s="9" t="n">
        <v>50.78334784</v>
      </c>
      <c r="F700" s="10" t="n">
        <v>0.133864321907875</v>
      </c>
      <c r="G700" s="10" t="n">
        <v>0.09916170342520333</v>
      </c>
      <c r="H700" s="10" t="n">
        <v>0.9135592642578175</v>
      </c>
      <c r="I700" s="10" t="n">
        <v>1.163964</v>
      </c>
      <c r="J700" s="5" t="inlineStr">
        <is>
          <t>Cleaner sand</t>
        </is>
      </c>
      <c r="K700" s="11" t="n">
        <v>17.25488515251586</v>
      </c>
      <c r="L700" s="12" t="n">
        <v>1.869325237317125</v>
      </c>
      <c r="M700" s="12" t="n">
        <v>1.85</v>
      </c>
      <c r="N700" s="12" t="n">
        <v>9.905560692606075</v>
      </c>
      <c r="O700" s="12" t="n">
        <v>311.0740133674387</v>
      </c>
      <c r="P700" s="5" t="inlineStr">
        <is>
          <t>Normal</t>
        </is>
      </c>
      <c r="Q700" s="5" t="inlineStr">
        <is>
          <t>Turn Left</t>
        </is>
      </c>
      <c r="R700" s="12" t="n">
        <v>0.86</v>
      </c>
      <c r="S700" s="5" t="inlineStr">
        <is>
          <t>ACCEPTED</t>
        </is>
      </c>
      <c r="T700" s="5" t="inlineStr">
        <is>
          <t>Normal operation</t>
        </is>
      </c>
    </row>
    <row r="701" s="17">
      <c r="A701" s="7" t="n">
        <v>6830</v>
      </c>
      <c r="B701" s="8" t="n">
        <v>74388.05317100001</v>
      </c>
      <c r="C701" s="9" t="n">
        <v>74.38805317100001</v>
      </c>
      <c r="D701" s="9" t="n">
        <v>122.26891152</v>
      </c>
      <c r="E701" s="9" t="n">
        <v>52.18259665999999</v>
      </c>
      <c r="F701" s="10" t="n">
        <v>0.09726703867113523</v>
      </c>
      <c r="G701" s="10" t="n">
        <v>0.2856748177752053</v>
      </c>
      <c r="H701" s="10" t="n">
        <v>0.8860969698896985</v>
      </c>
      <c r="I701" s="10" t="n">
        <v>1.10213</v>
      </c>
      <c r="J701" s="5" t="inlineStr">
        <is>
          <t>Transition</t>
        </is>
      </c>
      <c r="K701" s="11" t="n">
        <v>22.01242470560999</v>
      </c>
      <c r="L701" s="12" t="n">
        <v>1.343348618176536</v>
      </c>
      <c r="M701" s="12" t="n">
        <v>1.85</v>
      </c>
      <c r="N701" s="12" t="n">
        <v>8.689798800016941</v>
      </c>
      <c r="O701" s="12" t="n">
        <v>311.1866230046106</v>
      </c>
      <c r="P701" s="5" t="inlineStr">
        <is>
          <t>Normal</t>
        </is>
      </c>
      <c r="Q701" s="5" t="inlineStr">
        <is>
          <t>Hold</t>
        </is>
      </c>
      <c r="R701" s="12" t="n">
        <v>0.72</v>
      </c>
      <c r="S701" s="5" t="inlineStr">
        <is>
          <t>ACCEPTED</t>
        </is>
      </c>
      <c r="T701" s="5" t="inlineStr">
        <is>
          <t>WOB outside preferred band</t>
        </is>
      </c>
    </row>
    <row r="702" s="17">
      <c r="A702" s="7" t="n">
        <v>6835</v>
      </c>
      <c r="B702" s="8" t="n">
        <v>36672.758693</v>
      </c>
      <c r="C702" s="9" t="n">
        <v>36.67275869300001</v>
      </c>
      <c r="D702" s="9" t="n">
        <v>127.26375199</v>
      </c>
      <c r="E702" s="9" t="n">
        <v>65.09199524</v>
      </c>
      <c r="F702" s="10" t="n">
        <v>0.03940148856400609</v>
      </c>
      <c r="G702" s="10" t="n">
        <v>0.02631501640577405</v>
      </c>
      <c r="H702" s="10" t="n">
        <v>0.9487726521679382</v>
      </c>
      <c r="I702" s="10" t="n">
        <v>0.186228</v>
      </c>
      <c r="J702" s="5" t="inlineStr">
        <is>
          <t>Cleaner sand</t>
        </is>
      </c>
      <c r="K702" s="11" t="n">
        <v>14.7379455014206</v>
      </c>
      <c r="L702" s="12" t="n">
        <v>2.529902337378661</v>
      </c>
      <c r="M702" s="12" t="n">
        <v>1.85</v>
      </c>
      <c r="N702" s="12" t="n">
        <v>7.745262705187334</v>
      </c>
      <c r="O702" s="12" t="n">
        <v>306.1137677042174</v>
      </c>
      <c r="P702" s="5" t="inlineStr">
        <is>
          <t>Normal</t>
        </is>
      </c>
      <c r="Q702" s="5" t="inlineStr">
        <is>
          <t>Build</t>
        </is>
      </c>
      <c r="R702" s="12" t="n">
        <v>0.89</v>
      </c>
      <c r="S702" s="5" t="inlineStr">
        <is>
          <t>ACCEPTED</t>
        </is>
      </c>
      <c r="T702" s="5" t="inlineStr">
        <is>
          <t>High vibration detected</t>
        </is>
      </c>
    </row>
    <row r="703" s="17">
      <c r="A703" s="7" t="n">
        <v>6840</v>
      </c>
      <c r="B703" s="8" t="n">
        <v>38334.470755</v>
      </c>
      <c r="C703" s="9" t="n">
        <v>38.33447075500001</v>
      </c>
      <c r="D703" s="9" t="n">
        <v>114.2697931</v>
      </c>
      <c r="E703" s="9" t="n">
        <v>63.74272214</v>
      </c>
      <c r="F703" s="10" t="n">
        <v>0.1066711335071234</v>
      </c>
      <c r="G703" s="10" t="n">
        <v>0.2301886765570912</v>
      </c>
      <c r="H703" s="10" t="n">
        <v>0.9032847899986363</v>
      </c>
      <c r="I703" s="10" t="n">
        <v>1.043213</v>
      </c>
      <c r="J703" s="5" t="inlineStr">
        <is>
          <t>Cleaner sand</t>
        </is>
      </c>
      <c r="K703" s="11" t="n">
        <v>16.61530253369007</v>
      </c>
      <c r="L703" s="12" t="n">
        <v>1.1</v>
      </c>
      <c r="M703" s="12" t="n">
        <v>2.525860893582087</v>
      </c>
      <c r="N703" s="12" t="n">
        <v>10.14188739092389</v>
      </c>
      <c r="O703" s="12" t="n">
        <v>322.4147019367712</v>
      </c>
      <c r="P703" s="5" t="inlineStr">
        <is>
          <t>Normal</t>
        </is>
      </c>
      <c r="Q703" s="5" t="inlineStr">
        <is>
          <t>Turn Left</t>
        </is>
      </c>
      <c r="R703" s="12" t="n">
        <v>0.67</v>
      </c>
      <c r="S703" s="5" t="inlineStr">
        <is>
          <t>REDUCED</t>
        </is>
      </c>
      <c r="T703" s="5" t="inlineStr">
        <is>
          <t>Normal operation</t>
        </is>
      </c>
    </row>
    <row r="704" s="17">
      <c r="A704" s="7" t="n">
        <v>6845</v>
      </c>
      <c r="B704" s="8" t="n">
        <v>57944.041588</v>
      </c>
      <c r="C704" s="9" t="n">
        <v>57.944041588</v>
      </c>
      <c r="D704" s="9" t="n">
        <v>105.47721309</v>
      </c>
      <c r="E704" s="9" t="n">
        <v>40.55104262</v>
      </c>
      <c r="F704" s="10" t="n">
        <v>0.1165638830264271</v>
      </c>
      <c r="G704" s="10" t="n">
        <v>0.2628890565387511</v>
      </c>
      <c r="H704" s="10" t="n">
        <v>0.9499369247205023</v>
      </c>
      <c r="I704" s="10" t="n">
        <v>0.626584</v>
      </c>
      <c r="J704" s="5" t="inlineStr">
        <is>
          <t>Transition</t>
        </is>
      </c>
      <c r="K704" s="11" t="n">
        <v>18.46857378809416</v>
      </c>
      <c r="L704" s="12" t="n">
        <v>2.110385545068901</v>
      </c>
      <c r="M704" s="12" t="n">
        <v>1.85</v>
      </c>
      <c r="N704" s="12" t="n">
        <v>8.710809187345015</v>
      </c>
      <c r="O704" s="12" t="n">
        <v>313.0724345619622</v>
      </c>
      <c r="P704" s="5" t="inlineStr">
        <is>
          <t>Normal</t>
        </is>
      </c>
      <c r="Q704" s="5" t="inlineStr">
        <is>
          <t>Turn Left</t>
        </is>
      </c>
      <c r="R704" s="12" t="n">
        <v>0.91</v>
      </c>
      <c r="S704" s="5" t="inlineStr">
        <is>
          <t>ACCEPTED</t>
        </is>
      </c>
      <c r="T704" s="5" t="inlineStr">
        <is>
          <t>Normal operation</t>
        </is>
      </c>
    </row>
    <row r="705" s="17">
      <c r="A705" s="7" t="n">
        <v>6850</v>
      </c>
      <c r="B705" s="8" t="n">
        <v>40962.524298</v>
      </c>
      <c r="C705" s="9" t="n">
        <v>40.962524298</v>
      </c>
      <c r="D705" s="9" t="n">
        <v>146.20692774</v>
      </c>
      <c r="E705" s="9" t="n">
        <v>54.35611818</v>
      </c>
      <c r="F705" s="10" t="n">
        <v>0.06802111361137578</v>
      </c>
      <c r="G705" s="10" t="n">
        <v>0.2226775067195464</v>
      </c>
      <c r="H705" s="10" t="n">
        <v>0.9181356983782841</v>
      </c>
      <c r="I705" s="10" t="n">
        <v>0.59712</v>
      </c>
      <c r="J705" s="5" t="inlineStr">
        <is>
          <t>Cleaner sand</t>
        </is>
      </c>
      <c r="K705" s="11" t="n">
        <v>14.64118789474775</v>
      </c>
      <c r="L705" s="12" t="n">
        <v>2.150285335841059</v>
      </c>
      <c r="M705" s="12" t="n">
        <v>1.85</v>
      </c>
      <c r="N705" s="12" t="n">
        <v>9.815985578047359</v>
      </c>
      <c r="O705" s="12" t="n">
        <v>308.46955785998</v>
      </c>
      <c r="P705" s="5" t="inlineStr">
        <is>
          <t>Normal</t>
        </is>
      </c>
      <c r="Q705" s="5" t="inlineStr">
        <is>
          <t>Build</t>
        </is>
      </c>
      <c r="R705" s="12" t="n">
        <v>0.59</v>
      </c>
      <c r="S705" s="5" t="inlineStr">
        <is>
          <t>REDUCED</t>
        </is>
      </c>
      <c r="T705" s="5" t="inlineStr">
        <is>
          <t>Normal operation</t>
        </is>
      </c>
    </row>
    <row r="706" s="17">
      <c r="A706" s="7" t="n">
        <v>6855</v>
      </c>
      <c r="B706" s="8" t="n">
        <v>40701.305102</v>
      </c>
      <c r="C706" s="9" t="n">
        <v>40.701305102</v>
      </c>
      <c r="D706" s="9" t="n">
        <v>143.26399685</v>
      </c>
      <c r="E706" s="9" t="n">
        <v>51.43786364</v>
      </c>
      <c r="F706" s="10" t="n">
        <v>0.1209342570736088</v>
      </c>
      <c r="G706" s="10" t="n">
        <v>0.129942137772186</v>
      </c>
      <c r="H706" s="10" t="n">
        <v>0.9653622490298184</v>
      </c>
      <c r="I706" s="10" t="n">
        <v>0.404163</v>
      </c>
      <c r="J706" s="5" t="inlineStr">
        <is>
          <t>Cleaner sand</t>
        </is>
      </c>
      <c r="K706" s="11" t="n">
        <v>14.44497615807668</v>
      </c>
      <c r="L706" s="12" t="n">
        <v>1.331396097552444</v>
      </c>
      <c r="M706" s="12" t="n">
        <v>1.85</v>
      </c>
      <c r="N706" s="12" t="n">
        <v>8.649262275720982</v>
      </c>
      <c r="O706" s="12" t="n">
        <v>311.8663352615099</v>
      </c>
      <c r="P706" s="5" t="inlineStr">
        <is>
          <t>Normal</t>
        </is>
      </c>
      <c r="Q706" s="5" t="inlineStr">
        <is>
          <t>Build</t>
        </is>
      </c>
      <c r="R706" s="12" t="n">
        <v>0.8</v>
      </c>
      <c r="S706" s="5" t="inlineStr">
        <is>
          <t>ACCEPTED</t>
        </is>
      </c>
      <c r="T706" s="5" t="inlineStr">
        <is>
          <t>Normal operation</t>
        </is>
      </c>
    </row>
    <row r="707" s="17">
      <c r="A707" s="7" t="n">
        <v>6860</v>
      </c>
      <c r="B707" s="8" t="n">
        <v>74014.341264</v>
      </c>
      <c r="C707" s="9" t="n">
        <v>74.01434126400001</v>
      </c>
      <c r="D707" s="9" t="n">
        <v>166.07125876</v>
      </c>
      <c r="E707" s="9" t="n">
        <v>30.99527348</v>
      </c>
      <c r="F707" s="10" t="n">
        <v>0.1068890587356598</v>
      </c>
      <c r="G707" s="10" t="n">
        <v>0.2218173207864295</v>
      </c>
      <c r="H707" s="10" t="n">
        <v>0.9336429940880046</v>
      </c>
      <c r="I707" s="10" t="n">
        <v>0.731183</v>
      </c>
      <c r="J707" s="5" t="inlineStr">
        <is>
          <t>Cleaner sand</t>
        </is>
      </c>
      <c r="K707" s="11" t="n">
        <v>22.73460309146427</v>
      </c>
      <c r="L707" s="12" t="n">
        <v>2.342307997031521</v>
      </c>
      <c r="M707" s="12" t="n">
        <v>1.85</v>
      </c>
      <c r="N707" s="12" t="n">
        <v>8.563529547123235</v>
      </c>
      <c r="O707" s="12" t="n">
        <v>311.9776605495767</v>
      </c>
      <c r="P707" s="5" t="inlineStr">
        <is>
          <t>Normal</t>
        </is>
      </c>
      <c r="Q707" s="5" t="inlineStr">
        <is>
          <t>Build</t>
        </is>
      </c>
      <c r="R707" s="12" t="n">
        <v>0.57</v>
      </c>
      <c r="S707" s="5" t="inlineStr">
        <is>
          <t>REDUCED</t>
        </is>
      </c>
      <c r="T707" s="5" t="inlineStr">
        <is>
          <t>WOB outside preferred band</t>
        </is>
      </c>
    </row>
    <row r="708" s="17">
      <c r="A708" s="7" t="n">
        <v>6865</v>
      </c>
      <c r="B708" s="8" t="n">
        <v>46768.583241</v>
      </c>
      <c r="C708" s="9" t="n">
        <v>46.768583241</v>
      </c>
      <c r="D708" s="9" t="n">
        <v>118.50907165</v>
      </c>
      <c r="E708" s="9" t="n">
        <v>68.98270172000001</v>
      </c>
      <c r="F708" s="10" t="n">
        <v>0.06729768391005056</v>
      </c>
      <c r="G708" s="10" t="n">
        <v>0.2342326449259345</v>
      </c>
      <c r="H708" s="10" t="n">
        <v>0.9290775964653895</v>
      </c>
      <c r="I708" s="10" t="n">
        <v>0.524934</v>
      </c>
      <c r="J708" s="5" t="inlineStr">
        <is>
          <t>Cleaner sand</t>
        </is>
      </c>
      <c r="K708" s="11" t="n">
        <v>15.83707964539772</v>
      </c>
      <c r="L708" s="12" t="n">
        <v>1.537477207846513</v>
      </c>
      <c r="M708" s="12" t="n">
        <v>2.02505345557459</v>
      </c>
      <c r="N708" s="12" t="n">
        <v>9.65613150200957</v>
      </c>
      <c r="O708" s="12" t="n">
        <v>321.1823397107063</v>
      </c>
      <c r="P708" s="5" t="inlineStr">
        <is>
          <t>Normal</t>
        </is>
      </c>
      <c r="Q708" s="5" t="inlineStr">
        <is>
          <t>Turn Left</t>
        </is>
      </c>
      <c r="R708" s="12" t="n">
        <v>0.4</v>
      </c>
      <c r="S708" s="5" t="inlineStr">
        <is>
          <t>REJECTED</t>
        </is>
      </c>
      <c r="T708" s="5" t="inlineStr">
        <is>
          <t>Normal operation</t>
        </is>
      </c>
    </row>
    <row r="709" s="17">
      <c r="A709" s="7" t="n">
        <v>6870</v>
      </c>
      <c r="B709" s="8" t="n">
        <v>50141.472047</v>
      </c>
      <c r="C709" s="9" t="n">
        <v>50.141472047</v>
      </c>
      <c r="D709" s="9" t="n">
        <v>157.91098649</v>
      </c>
      <c r="E709" s="9" t="n">
        <v>47.620967</v>
      </c>
      <c r="F709" s="10" t="n">
        <v>0.08909719245050436</v>
      </c>
      <c r="G709" s="10" t="n">
        <v>0.1559955734913186</v>
      </c>
      <c r="H709" s="10" t="n">
        <v>0.9153778170780166</v>
      </c>
      <c r="I709" s="10" t="n">
        <v>0.791813</v>
      </c>
      <c r="J709" s="5" t="inlineStr">
        <is>
          <t>Cleaner sand</t>
        </is>
      </c>
      <c r="K709" s="11" t="n">
        <v>19.49265037649392</v>
      </c>
      <c r="L709" s="12" t="n">
        <v>1.80145987834713</v>
      </c>
      <c r="M709" s="12" t="n">
        <v>1.85</v>
      </c>
      <c r="N709" s="12" t="n">
        <v>9.70179834387322</v>
      </c>
      <c r="O709" s="12" t="n">
        <v>338.2110733844407</v>
      </c>
      <c r="P709" s="5" t="inlineStr">
        <is>
          <t>Normal</t>
        </is>
      </c>
      <c r="Q709" s="5" t="inlineStr">
        <is>
          <t>Turn Left</t>
        </is>
      </c>
      <c r="R709" s="12" t="n">
        <v>0.61</v>
      </c>
      <c r="S709" s="5" t="inlineStr">
        <is>
          <t>REDUCED</t>
        </is>
      </c>
      <c r="T709" s="5" t="inlineStr">
        <is>
          <t>Normal operation</t>
        </is>
      </c>
    </row>
    <row r="710" s="17">
      <c r="A710" s="7" t="n">
        <v>6875</v>
      </c>
      <c r="B710" s="8" t="n">
        <v>73826.592451</v>
      </c>
      <c r="C710" s="9" t="n">
        <v>73.82659245100001</v>
      </c>
      <c r="D710" s="9" t="n">
        <v>122.26115947</v>
      </c>
      <c r="E710" s="9" t="n">
        <v>30</v>
      </c>
      <c r="F710" s="10" t="n">
        <v>0.07093599058285387</v>
      </c>
      <c r="G710" s="10" t="n">
        <v>0.3125521179739641</v>
      </c>
      <c r="H710" s="10" t="n">
        <v>0.9276755739943172</v>
      </c>
      <c r="I710" s="10" t="n">
        <v>0.510283</v>
      </c>
      <c r="J710" s="5" t="inlineStr">
        <is>
          <t>Transition</t>
        </is>
      </c>
      <c r="K710" s="11" t="n">
        <v>20.01213266509588</v>
      </c>
      <c r="L710" s="12" t="n">
        <v>1.787557700997898</v>
      </c>
      <c r="M710" s="12" t="n">
        <v>1.85</v>
      </c>
      <c r="N710" s="12" t="n">
        <v>10.44730455774159</v>
      </c>
      <c r="O710" s="12" t="n">
        <v>319.6104785845493</v>
      </c>
      <c r="P710" s="5" t="inlineStr">
        <is>
          <t>Normal</t>
        </is>
      </c>
      <c r="Q710" s="5" t="inlineStr">
        <is>
          <t>Turn Left</t>
        </is>
      </c>
      <c r="R710" s="12" t="n">
        <v>0.8100000000000001</v>
      </c>
      <c r="S710" s="5" t="inlineStr">
        <is>
          <t>ACCEPTED</t>
        </is>
      </c>
      <c r="T710" s="5" t="inlineStr">
        <is>
          <t>WOB outside preferred band</t>
        </is>
      </c>
    </row>
    <row r="711" s="17">
      <c r="A711" s="7" t="n">
        <v>6880</v>
      </c>
      <c r="B711" s="8" t="n">
        <v>35344.392656</v>
      </c>
      <c r="C711" s="9" t="n">
        <v>35.344392656</v>
      </c>
      <c r="D711" s="9" t="n">
        <v>140.34914409</v>
      </c>
      <c r="E711" s="9" t="n">
        <v>52.96330636</v>
      </c>
      <c r="F711" s="10" t="n">
        <v>0.05273685603098027</v>
      </c>
      <c r="G711" s="10" t="n">
        <v>0.02067573261036838</v>
      </c>
      <c r="H711" s="10" t="n">
        <v>0.95735026898666</v>
      </c>
      <c r="I711" s="10" t="n">
        <v>0.239252</v>
      </c>
      <c r="J711" s="5" t="inlineStr">
        <is>
          <t>Cleaner sand</t>
        </is>
      </c>
      <c r="K711" s="11" t="n">
        <v>16.71280964756103</v>
      </c>
      <c r="L711" s="12" t="n">
        <v>1.594188716679432</v>
      </c>
      <c r="M711" s="12" t="n">
        <v>2.306935614138819</v>
      </c>
      <c r="N711" s="12" t="n">
        <v>9.612698236960307</v>
      </c>
      <c r="O711" s="12" t="n">
        <v>331.1487171901488</v>
      </c>
      <c r="P711" s="5" t="inlineStr">
        <is>
          <t>Normal</t>
        </is>
      </c>
      <c r="Q711" s="5" t="inlineStr">
        <is>
          <t>Turn Left</t>
        </is>
      </c>
      <c r="R711" s="12" t="n">
        <v>0.48</v>
      </c>
      <c r="S711" s="5" t="inlineStr">
        <is>
          <t>REJECTED</t>
        </is>
      </c>
      <c r="T711" s="5" t="inlineStr">
        <is>
          <t>Normal operation</t>
        </is>
      </c>
    </row>
    <row r="712" s="17">
      <c r="A712" s="7" t="n">
        <v>6885</v>
      </c>
      <c r="B712" s="8" t="n">
        <v>37773.126832</v>
      </c>
      <c r="C712" s="9" t="n">
        <v>37.773126832</v>
      </c>
      <c r="D712" s="9" t="n">
        <v>137.52322476</v>
      </c>
      <c r="E712" s="9" t="n">
        <v>53.26730824</v>
      </c>
      <c r="F712" s="10" t="n">
        <v>0.147603048275419</v>
      </c>
      <c r="G712" s="10" t="n">
        <v>0.1629511998949048</v>
      </c>
      <c r="H712" s="10" t="n">
        <v>0.892524460351222</v>
      </c>
      <c r="I712" s="10" t="n">
        <v>1.59795</v>
      </c>
      <c r="J712" s="5" t="inlineStr">
        <is>
          <t>Cleaner sand</t>
        </is>
      </c>
      <c r="K712" s="11" t="n">
        <v>15.67406748747669</v>
      </c>
      <c r="L712" s="12" t="n">
        <v>2.057296053848293</v>
      </c>
      <c r="M712" s="12" t="n">
        <v>1.85</v>
      </c>
      <c r="N712" s="12" t="n">
        <v>7.713078301859738</v>
      </c>
      <c r="O712" s="12" t="n">
        <v>324.1097916283043</v>
      </c>
      <c r="P712" s="5" t="inlineStr">
        <is>
          <t>Normal</t>
        </is>
      </c>
      <c r="Q712" s="5" t="inlineStr">
        <is>
          <t>Build</t>
        </is>
      </c>
      <c r="R712" s="12" t="n">
        <v>0.68</v>
      </c>
      <c r="S712" s="5" t="inlineStr">
        <is>
          <t>REDUCED</t>
        </is>
      </c>
      <c r="T712" s="5" t="inlineStr">
        <is>
          <t>Normal operation</t>
        </is>
      </c>
    </row>
    <row r="713" s="17">
      <c r="A713" s="7" t="n">
        <v>6890</v>
      </c>
      <c r="B713" s="8" t="n">
        <v>68528.914571</v>
      </c>
      <c r="C713" s="9" t="n">
        <v>68.528914571</v>
      </c>
      <c r="D713" s="9" t="n">
        <v>109.47637616</v>
      </c>
      <c r="E713" s="9" t="n">
        <v>41.34817446</v>
      </c>
      <c r="F713" s="10" t="n">
        <v>0.1192644259524927</v>
      </c>
      <c r="G713" s="10" t="n">
        <v>0.213528720574256</v>
      </c>
      <c r="H713" s="10" t="n">
        <v>0.8687334096699543</v>
      </c>
      <c r="I713" s="10" t="n">
        <v>1.554229</v>
      </c>
      <c r="J713" s="5" t="inlineStr">
        <is>
          <t>Cleaner sand</t>
        </is>
      </c>
      <c r="K713" s="11" t="n">
        <v>21.02299142652816</v>
      </c>
      <c r="L713" s="12" t="n">
        <v>2.048809473070584</v>
      </c>
      <c r="M713" s="12" t="n">
        <v>1.85</v>
      </c>
      <c r="N713" s="12" t="n">
        <v>9.676148276594612</v>
      </c>
      <c r="O713" s="12" t="n">
        <v>329.2923440095262</v>
      </c>
      <c r="P713" s="5" t="inlineStr">
        <is>
          <t>Normal</t>
        </is>
      </c>
      <c r="Q713" s="5" t="inlineStr">
        <is>
          <t>Turn Left</t>
        </is>
      </c>
      <c r="R713" s="12" t="n">
        <v>0.52</v>
      </c>
      <c r="S713" s="5" t="inlineStr">
        <is>
          <t>REDUCED</t>
        </is>
      </c>
      <c r="T713" s="5" t="inlineStr">
        <is>
          <t>Normal operation</t>
        </is>
      </c>
    </row>
    <row r="714" s="17">
      <c r="A714" s="7" t="n">
        <v>6895</v>
      </c>
      <c r="B714" s="8" t="n">
        <v>55092.181035</v>
      </c>
      <c r="C714" s="9" t="n">
        <v>55.092181035</v>
      </c>
      <c r="D714" s="9" t="n">
        <v>144.27750738</v>
      </c>
      <c r="E714" s="9" t="n">
        <v>52.92125348</v>
      </c>
      <c r="F714" s="10" t="n">
        <v>0.04524199304806537</v>
      </c>
      <c r="G714" s="10" t="n">
        <v>0.2215028555543732</v>
      </c>
      <c r="H714" s="10" t="n">
        <v>0.9051029155427607</v>
      </c>
      <c r="I714" s="10" t="n">
        <v>0.433205</v>
      </c>
      <c r="J714" s="5" t="inlineStr">
        <is>
          <t>Cleaner sand</t>
        </is>
      </c>
      <c r="K714" s="11" t="n">
        <v>18.10347955917482</v>
      </c>
      <c r="L714" s="12" t="n">
        <v>1.1</v>
      </c>
      <c r="M714" s="12" t="n">
        <v>1.85</v>
      </c>
      <c r="N714" s="12" t="n">
        <v>11.40912663704474</v>
      </c>
      <c r="O714" s="12" t="n">
        <v>317.8161958954936</v>
      </c>
      <c r="P714" s="5" t="inlineStr">
        <is>
          <t>Normal</t>
        </is>
      </c>
      <c r="Q714" s="5" t="inlineStr">
        <is>
          <t>Turn Left</t>
        </is>
      </c>
      <c r="R714" s="12" t="n">
        <v>0.44</v>
      </c>
      <c r="S714" s="5" t="inlineStr">
        <is>
          <t>REJECTED</t>
        </is>
      </c>
      <c r="T714" s="5" t="inlineStr">
        <is>
          <t>Normal operation</t>
        </is>
      </c>
    </row>
    <row r="715" s="17">
      <c r="A715" s="7" t="n">
        <v>6900</v>
      </c>
      <c r="B715" s="8" t="n">
        <v>54741.55234</v>
      </c>
      <c r="C715" s="9" t="n">
        <v>54.74155234000001</v>
      </c>
      <c r="D715" s="9" t="n">
        <v>143.33114941</v>
      </c>
      <c r="E715" s="9" t="n">
        <v>63.71378434</v>
      </c>
      <c r="F715" s="10" t="n">
        <v>0.04683185685956485</v>
      </c>
      <c r="G715" s="10" t="n">
        <v>0.04453870964043372</v>
      </c>
      <c r="H715" s="10" t="n">
        <v>0.88200396270764</v>
      </c>
      <c r="I715" s="10" t="n">
        <v>0.578143</v>
      </c>
      <c r="J715" s="5" t="inlineStr">
        <is>
          <t>Cleaner sand</t>
        </is>
      </c>
      <c r="K715" s="11" t="n">
        <v>18.98304656030704</v>
      </c>
      <c r="L715" s="12" t="n">
        <v>2.299126719010295</v>
      </c>
      <c r="M715" s="12" t="n">
        <v>2.195154376272356</v>
      </c>
      <c r="N715" s="12" t="n">
        <v>10.12898203124002</v>
      </c>
      <c r="O715" s="12" t="n">
        <v>331.5318075349168</v>
      </c>
      <c r="P715" s="5" t="inlineStr">
        <is>
          <t>Normal</t>
        </is>
      </c>
      <c r="Q715" s="5" t="inlineStr">
        <is>
          <t>Turn Left</t>
        </is>
      </c>
      <c r="R715" s="12" t="n">
        <v>0.74</v>
      </c>
      <c r="S715" s="5" t="inlineStr">
        <is>
          <t>ACCEPTED</t>
        </is>
      </c>
      <c r="T715" s="5" t="inlineStr">
        <is>
          <t>Normal operation</t>
        </is>
      </c>
    </row>
    <row r="716" s="17">
      <c r="A716" s="7" t="n">
        <v>6905</v>
      </c>
      <c r="B716" s="8" t="n">
        <v>58233.367038</v>
      </c>
      <c r="C716" s="9" t="n">
        <v>58.233367038</v>
      </c>
      <c r="D716" s="9" t="n">
        <v>160.99391189</v>
      </c>
      <c r="E716" s="9" t="n">
        <v>48.30931354000001</v>
      </c>
      <c r="F716" s="10" t="n">
        <v>0.1069349896112349</v>
      </c>
      <c r="G716" s="10" t="n">
        <v>0.3352183239893688</v>
      </c>
      <c r="H716" s="10" t="n">
        <v>0.9337344304446188</v>
      </c>
      <c r="I716" s="10" t="n">
        <v>0.697595</v>
      </c>
      <c r="J716" s="5" t="inlineStr">
        <is>
          <t>Transition</t>
        </is>
      </c>
      <c r="K716" s="11" t="n">
        <v>19.18849598368507</v>
      </c>
      <c r="L716" s="12" t="n">
        <v>1.1</v>
      </c>
      <c r="M716" s="12" t="n">
        <v>1.85</v>
      </c>
      <c r="N716" s="12" t="n">
        <v>10.33368081548541</v>
      </c>
      <c r="O716" s="12" t="n">
        <v>332.4177024682509</v>
      </c>
      <c r="P716" s="5" t="inlineStr">
        <is>
          <t>Normal</t>
        </is>
      </c>
      <c r="Q716" s="5" t="inlineStr">
        <is>
          <t>Turn Left</t>
        </is>
      </c>
      <c r="R716" s="12" t="n">
        <v>0.92</v>
      </c>
      <c r="S716" s="5" t="inlineStr">
        <is>
          <t>ACCEPTED</t>
        </is>
      </c>
      <c r="T716" s="5" t="inlineStr">
        <is>
          <t>Normal operation</t>
        </is>
      </c>
    </row>
    <row r="717" s="17">
      <c r="A717" s="7" t="n">
        <v>6910</v>
      </c>
      <c r="B717" s="8" t="n">
        <v>41224.953293</v>
      </c>
      <c r="C717" s="9" t="n">
        <v>41.224953293</v>
      </c>
      <c r="D717" s="9" t="n">
        <v>142.40724848</v>
      </c>
      <c r="E717" s="9" t="n">
        <v>44.04033122</v>
      </c>
      <c r="F717" s="10" t="n">
        <v>0.03864160850461874</v>
      </c>
      <c r="G717" s="10" t="n">
        <v>0.1762335741539535</v>
      </c>
      <c r="H717" s="10" t="n">
        <v>0.9104629307385477</v>
      </c>
      <c r="I717" s="10" t="n">
        <v>0.350295</v>
      </c>
      <c r="J717" s="5" t="inlineStr">
        <is>
          <t>Cleaner sand</t>
        </is>
      </c>
      <c r="K717" s="11" t="n">
        <v>17.20121744083889</v>
      </c>
      <c r="L717" s="12" t="n">
        <v>2.165947640127412</v>
      </c>
      <c r="M717" s="12" t="n">
        <v>1.85</v>
      </c>
      <c r="N717" s="12" t="n">
        <v>12.07467700093031</v>
      </c>
      <c r="O717" s="12" t="n">
        <v>340.1703627919489</v>
      </c>
      <c r="P717" s="5" t="inlineStr">
        <is>
          <t>Normal</t>
        </is>
      </c>
      <c r="Q717" s="5" t="inlineStr">
        <is>
          <t>Turn Left</t>
        </is>
      </c>
      <c r="R717" s="12" t="n">
        <v>0.57</v>
      </c>
      <c r="S717" s="5" t="inlineStr">
        <is>
          <t>REDUCED</t>
        </is>
      </c>
      <c r="T717" s="5" t="inlineStr">
        <is>
          <t>Normal operation</t>
        </is>
      </c>
    </row>
    <row r="718" s="17">
      <c r="A718" s="7" t="n">
        <v>6915</v>
      </c>
      <c r="B718" s="8" t="n">
        <v>57440.971111</v>
      </c>
      <c r="C718" s="9" t="n">
        <v>57.440971111</v>
      </c>
      <c r="D718" s="9" t="n">
        <v>118.40182016</v>
      </c>
      <c r="E718" s="9" t="n">
        <v>53.75188396</v>
      </c>
      <c r="F718" s="10" t="n">
        <v>0.1509422893582048</v>
      </c>
      <c r="G718" s="10" t="n">
        <v>0.09284696436475322</v>
      </c>
      <c r="H718" s="10" t="n">
        <v>0.953585640476293</v>
      </c>
      <c r="I718" s="10" t="n">
        <v>0.741969</v>
      </c>
      <c r="J718" s="5" t="inlineStr">
        <is>
          <t>Cleaner sand</t>
        </is>
      </c>
      <c r="K718" s="11" t="n">
        <v>19.19461958671433</v>
      </c>
      <c r="L718" s="12" t="n">
        <v>2.212085517045516</v>
      </c>
      <c r="M718" s="12" t="n">
        <v>1.85</v>
      </c>
      <c r="N718" s="12" t="n">
        <v>10.00523065231427</v>
      </c>
      <c r="O718" s="12" t="n">
        <v>337.2069612249765</v>
      </c>
      <c r="P718" s="5" t="inlineStr">
        <is>
          <t>Normal</t>
        </is>
      </c>
      <c r="Q718" s="5" t="inlineStr">
        <is>
          <t>Turn Left</t>
        </is>
      </c>
      <c r="R718" s="12" t="n">
        <v>0.72</v>
      </c>
      <c r="S718" s="5" t="inlineStr">
        <is>
          <t>ACCEPTED</t>
        </is>
      </c>
      <c r="T718" s="5" t="inlineStr">
        <is>
          <t>Normal operation</t>
        </is>
      </c>
    </row>
    <row r="719" s="17">
      <c r="A719" s="7" t="n">
        <v>6920</v>
      </c>
      <c r="B719" s="8" t="n">
        <v>55019.360024</v>
      </c>
      <c r="C719" s="9" t="n">
        <v>55.019360024</v>
      </c>
      <c r="D719" s="9" t="n">
        <v>121.15339494</v>
      </c>
      <c r="E719" s="9" t="n">
        <v>30</v>
      </c>
      <c r="F719" s="10" t="n">
        <v>0.11868341928306</v>
      </c>
      <c r="G719" s="10" t="n">
        <v>0.3399972387369086</v>
      </c>
      <c r="H719" s="10" t="n">
        <v>0.8823617244190539</v>
      </c>
      <c r="I719" s="10" t="n">
        <v>1.411312</v>
      </c>
      <c r="J719" s="5" t="inlineStr">
        <is>
          <t>Transition</t>
        </is>
      </c>
      <c r="K719" s="11" t="n">
        <v>18.78530704862866</v>
      </c>
      <c r="L719" s="12" t="n">
        <v>1.125426449194553</v>
      </c>
      <c r="M719" s="12" t="n">
        <v>1.925736222976157</v>
      </c>
      <c r="N719" s="12" t="n">
        <v>2.188127442581799</v>
      </c>
      <c r="O719" s="12" t="n">
        <v>322.9902308429023</v>
      </c>
      <c r="P719" s="5" t="inlineStr">
        <is>
          <t>Normal</t>
        </is>
      </c>
      <c r="Q719" s="5" t="inlineStr">
        <is>
          <t>Build</t>
        </is>
      </c>
      <c r="R719" s="12" t="n">
        <v>0.92</v>
      </c>
      <c r="S719" s="5" t="inlineStr">
        <is>
          <t>ACCEPTED</t>
        </is>
      </c>
      <c r="T719" s="5" t="inlineStr">
        <is>
          <t>Normal operation</t>
        </is>
      </c>
    </row>
    <row r="720" s="17">
      <c r="A720" s="7" t="n">
        <v>6925</v>
      </c>
      <c r="B720" s="8" t="n">
        <v>45121.231732</v>
      </c>
      <c r="C720" s="9" t="n">
        <v>45.121231732</v>
      </c>
      <c r="D720" s="9" t="n">
        <v>136.54956045</v>
      </c>
      <c r="E720" s="9" t="n">
        <v>70.3779596</v>
      </c>
      <c r="F720" s="10" t="n">
        <v>0.04278780484369814</v>
      </c>
      <c r="G720" s="10" t="n">
        <v>0.0899169878485826</v>
      </c>
      <c r="H720" s="10" t="n">
        <v>0.9489979362161773</v>
      </c>
      <c r="I720" s="10" t="n">
        <v>0.214442</v>
      </c>
      <c r="J720" s="5" t="inlineStr">
        <is>
          <t>Cleaner sand</t>
        </is>
      </c>
      <c r="K720" s="11" t="n">
        <v>16.45091321603782</v>
      </c>
      <c r="L720" s="12" t="n">
        <v>1.458700998902253</v>
      </c>
      <c r="M720" s="12" t="n">
        <v>2.474782916202941</v>
      </c>
      <c r="N720" s="12" t="n">
        <v>4.372494423509612</v>
      </c>
      <c r="O720" s="12" t="n">
        <v>344.5</v>
      </c>
      <c r="P720" s="5" t="inlineStr">
        <is>
          <t>Normal</t>
        </is>
      </c>
      <c r="Q720" s="5" t="inlineStr">
        <is>
          <t>Build</t>
        </is>
      </c>
      <c r="R720" s="12" t="n">
        <v>0.76</v>
      </c>
      <c r="S720" s="5" t="inlineStr">
        <is>
          <t>ACCEPTED</t>
        </is>
      </c>
      <c r="T720" s="5" t="inlineStr">
        <is>
          <t>Normal operation</t>
        </is>
      </c>
    </row>
    <row r="721" s="17">
      <c r="A721" s="7" t="n">
        <v>6930</v>
      </c>
      <c r="B721" s="8" t="n">
        <v>62748.160345</v>
      </c>
      <c r="C721" s="9" t="n">
        <v>62.748160345</v>
      </c>
      <c r="D721" s="9" t="n">
        <v>116.61557026</v>
      </c>
      <c r="E721" s="9" t="n">
        <v>62.70018562</v>
      </c>
      <c r="F721" s="10" t="n">
        <v>0.1040682738333851</v>
      </c>
      <c r="G721" s="10" t="n">
        <v>0.2456145527012042</v>
      </c>
      <c r="H721" s="10" t="n">
        <v>0.9576372212318132</v>
      </c>
      <c r="I721" s="10" t="n">
        <v>0.455629</v>
      </c>
      <c r="J721" s="5" t="inlineStr">
        <is>
          <t>Cleaner sand</t>
        </is>
      </c>
      <c r="K721" s="11" t="n">
        <v>19.99955319261415</v>
      </c>
      <c r="L721" s="12" t="n">
        <v>1.118204712441891</v>
      </c>
      <c r="M721" s="12" t="n">
        <v>1.85</v>
      </c>
      <c r="N721" s="12" t="n">
        <v>4.339431994864533</v>
      </c>
      <c r="O721" s="12" t="n">
        <v>336.4577866685205</v>
      </c>
      <c r="P721" s="5" t="inlineStr">
        <is>
          <t>Normal</t>
        </is>
      </c>
      <c r="Q721" s="5" t="inlineStr">
        <is>
          <t>Build</t>
        </is>
      </c>
      <c r="R721" s="12" t="n">
        <v>0.77</v>
      </c>
      <c r="S721" s="5" t="inlineStr">
        <is>
          <t>ACCEPTED</t>
        </is>
      </c>
      <c r="T721" s="5" t="inlineStr">
        <is>
          <t>Normal operation</t>
        </is>
      </c>
    </row>
    <row r="722" s="17">
      <c r="A722" s="7" t="n">
        <v>6935</v>
      </c>
      <c r="B722" s="8" t="n">
        <v>71374.183705</v>
      </c>
      <c r="C722" s="9" t="n">
        <v>71.37418370500001</v>
      </c>
      <c r="D722" s="9" t="n">
        <v>104.45465281</v>
      </c>
      <c r="E722" s="9" t="n">
        <v>30</v>
      </c>
      <c r="F722" s="10" t="n">
        <v>0.0602334536550698</v>
      </c>
      <c r="G722" s="10" t="n">
        <v>0.3783600299022463</v>
      </c>
      <c r="H722" s="10" t="n">
        <v>0.9378016514810318</v>
      </c>
      <c r="I722" s="10" t="n">
        <v>0.377381</v>
      </c>
      <c r="J722" s="5" t="inlineStr">
        <is>
          <t>Transition</t>
        </is>
      </c>
      <c r="K722" s="11" t="n">
        <v>21.95081283543758</v>
      </c>
      <c r="L722" s="12" t="n">
        <v>1.55468869515852</v>
      </c>
      <c r="M722" s="12" t="n">
        <v>1.85</v>
      </c>
      <c r="N722" s="12" t="n">
        <v>4.100281168403798</v>
      </c>
      <c r="O722" s="12" t="n">
        <v>335.7211249982571</v>
      </c>
      <c r="P722" s="5" t="inlineStr">
        <is>
          <t>Normal</t>
        </is>
      </c>
      <c r="Q722" s="5" t="inlineStr">
        <is>
          <t>Build</t>
        </is>
      </c>
      <c r="R722" s="12" t="n">
        <v>0.5</v>
      </c>
      <c r="S722" s="5" t="inlineStr">
        <is>
          <t>REDUCED</t>
        </is>
      </c>
      <c r="T722" s="5" t="inlineStr">
        <is>
          <t>WOB outside preferred band</t>
        </is>
      </c>
    </row>
    <row r="723" s="17">
      <c r="A723" s="7" t="n">
        <v>6940</v>
      </c>
      <c r="B723" s="8" t="n">
        <v>37049.847723</v>
      </c>
      <c r="C723" s="9" t="n">
        <v>37.049847723</v>
      </c>
      <c r="D723" s="9" t="n">
        <v>148.50309861</v>
      </c>
      <c r="E723" s="9" t="n">
        <v>65.66641262</v>
      </c>
      <c r="F723" s="10" t="n">
        <v>0.03284225316220303</v>
      </c>
      <c r="G723" s="10" t="n">
        <v>0.07001713177398529</v>
      </c>
      <c r="H723" s="10" t="n">
        <v>0.9878169855247526</v>
      </c>
      <c r="I723" s="10" t="n">
        <v>0.062695</v>
      </c>
      <c r="J723" s="5" t="inlineStr">
        <is>
          <t>Cleaner sand</t>
        </is>
      </c>
      <c r="K723" s="11" t="n">
        <v>13.61985495717382</v>
      </c>
      <c r="L723" s="12" t="n">
        <v>1.509063200748987</v>
      </c>
      <c r="M723" s="12" t="n">
        <v>2.528968249469215</v>
      </c>
      <c r="N723" s="12" t="n">
        <v>5.515952644009917</v>
      </c>
      <c r="O723" s="12" t="n">
        <v>332.8247844814948</v>
      </c>
      <c r="P723" s="5" t="inlineStr">
        <is>
          <t>Normal</t>
        </is>
      </c>
      <c r="Q723" s="5" t="inlineStr">
        <is>
          <t>Build</t>
        </is>
      </c>
      <c r="R723" s="12" t="n">
        <v>0.67</v>
      </c>
      <c r="S723" s="5" t="inlineStr">
        <is>
          <t>REDUCED</t>
        </is>
      </c>
      <c r="T723" s="5" t="inlineStr">
        <is>
          <t>Normal operation</t>
        </is>
      </c>
    </row>
    <row r="724" s="17">
      <c r="A724" s="7" t="n">
        <v>6945</v>
      </c>
      <c r="B724" s="8" t="n">
        <v>36808.156851</v>
      </c>
      <c r="C724" s="9" t="n">
        <v>36.808156851</v>
      </c>
      <c r="D724" s="9" t="n">
        <v>113.2136702</v>
      </c>
      <c r="E724" s="9" t="n">
        <v>35.29698118</v>
      </c>
      <c r="F724" s="10" t="n">
        <v>0.09851687298927043</v>
      </c>
      <c r="G724" s="10" t="n">
        <v>0.1333895368223883</v>
      </c>
      <c r="H724" s="10" t="n">
        <v>0.8733673652776236</v>
      </c>
      <c r="I724" s="10" t="n">
        <v>1.26495</v>
      </c>
      <c r="J724" s="5" t="inlineStr">
        <is>
          <t>Cleaner sand</t>
        </is>
      </c>
      <c r="K724" s="11" t="n">
        <v>13.93738574933508</v>
      </c>
      <c r="L724" s="12" t="n">
        <v>2.042033660811977</v>
      </c>
      <c r="M724" s="12" t="n">
        <v>1.85</v>
      </c>
      <c r="N724" s="12" t="n">
        <v>6.77044523069417</v>
      </c>
      <c r="O724" s="12" t="n">
        <v>326.7178599500184</v>
      </c>
      <c r="P724" s="5" t="inlineStr">
        <is>
          <t>Normal</t>
        </is>
      </c>
      <c r="Q724" s="5" t="inlineStr">
        <is>
          <t>Turn Left</t>
        </is>
      </c>
      <c r="R724" s="12" t="n">
        <v>0.6</v>
      </c>
      <c r="S724" s="5" t="inlineStr">
        <is>
          <t>REDUCED</t>
        </is>
      </c>
      <c r="T724" s="5" t="inlineStr">
        <is>
          <t>Normal operation</t>
        </is>
      </c>
    </row>
    <row r="725" s="17">
      <c r="A725" s="7" t="n">
        <v>6950</v>
      </c>
      <c r="B725" s="8" t="n">
        <v>74007.04616300001</v>
      </c>
      <c r="C725" s="9" t="n">
        <v>74.00704616300001</v>
      </c>
      <c r="D725" s="9" t="n">
        <v>150.66387156</v>
      </c>
      <c r="E725" s="9" t="n">
        <v>38.38297492</v>
      </c>
      <c r="F725" s="10" t="n">
        <v>0.09966036582171851</v>
      </c>
      <c r="G725" s="10" t="n">
        <v>0.3777159251146562</v>
      </c>
      <c r="H725" s="10" t="n">
        <v>0.8672652165032889</v>
      </c>
      <c r="I725" s="10" t="n">
        <v>1.316625</v>
      </c>
      <c r="J725" s="5" t="inlineStr">
        <is>
          <t>Transition</t>
        </is>
      </c>
      <c r="K725" s="11" t="n">
        <v>22.87051550729689</v>
      </c>
      <c r="L725" s="12" t="n">
        <v>2.302051285598608</v>
      </c>
      <c r="M725" s="12" t="n">
        <v>1.85</v>
      </c>
      <c r="N725" s="12" t="n">
        <v>6.506956011830328</v>
      </c>
      <c r="O725" s="12" t="n">
        <v>332.8547084820657</v>
      </c>
      <c r="P725" s="5" t="inlineStr">
        <is>
          <t>Normal</t>
        </is>
      </c>
      <c r="Q725" s="5" t="inlineStr">
        <is>
          <t>Turn Left</t>
        </is>
      </c>
      <c r="R725" s="12" t="n">
        <v>0.66</v>
      </c>
      <c r="S725" s="5" t="inlineStr">
        <is>
          <t>REDUCED</t>
        </is>
      </c>
      <c r="T725" s="5" t="inlineStr">
        <is>
          <t>WOB outside preferred band</t>
        </is>
      </c>
    </row>
    <row r="726" s="17">
      <c r="A726" s="7" t="n">
        <v>6955</v>
      </c>
      <c r="B726" s="8" t="n">
        <v>57487.360433</v>
      </c>
      <c r="C726" s="9" t="n">
        <v>57.487360433</v>
      </c>
      <c r="D726" s="9" t="n">
        <v>119.33501672</v>
      </c>
      <c r="E726" s="9" t="n">
        <v>61.07358114</v>
      </c>
      <c r="F726" s="10" t="n">
        <v>0.0615484144213296</v>
      </c>
      <c r="G726" s="10" t="n">
        <v>0.06542258039281283</v>
      </c>
      <c r="H726" s="10" t="n">
        <v>0.9555247290814299</v>
      </c>
      <c r="I726" s="10" t="n">
        <v>0.29003</v>
      </c>
      <c r="J726" s="5" t="inlineStr">
        <is>
          <t>Cleaner sand</t>
        </is>
      </c>
      <c r="K726" s="11" t="n">
        <v>19.25978937575413</v>
      </c>
      <c r="L726" s="12" t="n">
        <v>2.343885067287078</v>
      </c>
      <c r="M726" s="12" t="n">
        <v>1.850294903576523</v>
      </c>
      <c r="N726" s="12" t="n">
        <v>7.305649788955784</v>
      </c>
      <c r="O726" s="12" t="n">
        <v>334.0198439392535</v>
      </c>
      <c r="P726" s="5" t="inlineStr">
        <is>
          <t>Normal</t>
        </is>
      </c>
      <c r="Q726" s="5" t="inlineStr">
        <is>
          <t>Build</t>
        </is>
      </c>
      <c r="R726" s="12" t="n">
        <v>0.84</v>
      </c>
      <c r="S726" s="5" t="inlineStr">
        <is>
          <t>ACCEPTED</t>
        </is>
      </c>
      <c r="T726" s="5" t="inlineStr">
        <is>
          <t>Normal operation</t>
        </is>
      </c>
    </row>
    <row r="727" s="17">
      <c r="A727" s="7" t="n">
        <v>6960</v>
      </c>
      <c r="B727" s="8" t="n">
        <v>64163.554024</v>
      </c>
      <c r="C727" s="9" t="n">
        <v>64.16355402399999</v>
      </c>
      <c r="D727" s="9" t="n">
        <v>131.17977347</v>
      </c>
      <c r="E727" s="9" t="n">
        <v>32.94925394</v>
      </c>
      <c r="F727" s="10" t="n">
        <v>0.1222341803975926</v>
      </c>
      <c r="G727" s="10" t="n">
        <v>0.136063658972981</v>
      </c>
      <c r="H727" s="10" t="n">
        <v>0.9756742594907591</v>
      </c>
      <c r="I727" s="10" t="n">
        <v>0.314868</v>
      </c>
      <c r="J727" s="5" t="inlineStr">
        <is>
          <t>Cleaner sand</t>
        </is>
      </c>
      <c r="K727" s="11" t="n">
        <v>20.13283698815473</v>
      </c>
      <c r="L727" s="12" t="n">
        <v>1.384537666976632</v>
      </c>
      <c r="M727" s="12" t="n">
        <v>2.088209298700418</v>
      </c>
      <c r="N727" s="12" t="n">
        <v>9.651547655128862</v>
      </c>
      <c r="O727" s="12" t="n">
        <v>310.1924734813988</v>
      </c>
      <c r="P727" s="5" t="inlineStr">
        <is>
          <t>Normal</t>
        </is>
      </c>
      <c r="Q727" s="5" t="inlineStr">
        <is>
          <t>Turn Left</t>
        </is>
      </c>
      <c r="R727" s="12" t="n">
        <v>0.65</v>
      </c>
      <c r="S727" s="5" t="inlineStr">
        <is>
          <t>REDUCED</t>
        </is>
      </c>
      <c r="T727" s="5" t="inlineStr">
        <is>
          <t>Normal operation</t>
        </is>
      </c>
    </row>
    <row r="728" s="17">
      <c r="A728" s="7" t="n">
        <v>6965</v>
      </c>
      <c r="B728" s="8" t="n">
        <v>36453.759674</v>
      </c>
      <c r="C728" s="9" t="n">
        <v>36.453759674</v>
      </c>
      <c r="D728" s="9" t="n">
        <v>128.10701111</v>
      </c>
      <c r="E728" s="9" t="n">
        <v>52.49999652</v>
      </c>
      <c r="F728" s="10" t="n">
        <v>0.0526625367929653</v>
      </c>
      <c r="G728" s="10" t="n">
        <v>0.06128837417960074</v>
      </c>
      <c r="H728" s="10" t="n">
        <v>0.9646104987311889</v>
      </c>
      <c r="I728" s="10" t="n">
        <v>0.167958</v>
      </c>
      <c r="J728" s="5" t="inlineStr">
        <is>
          <t>Cleaner sand</t>
        </is>
      </c>
      <c r="K728" s="11" t="n">
        <v>15.23882379913694</v>
      </c>
      <c r="L728" s="12" t="n">
        <v>1.557481281865181</v>
      </c>
      <c r="M728" s="12" t="n">
        <v>1.85</v>
      </c>
      <c r="N728" s="12" t="n">
        <v>7.235918379629165</v>
      </c>
      <c r="O728" s="12" t="n">
        <v>320.4862222276178</v>
      </c>
      <c r="P728" s="5" t="inlineStr">
        <is>
          <t>Normal</t>
        </is>
      </c>
      <c r="Q728" s="5" t="inlineStr">
        <is>
          <t>Build</t>
        </is>
      </c>
      <c r="R728" s="12" t="n">
        <v>0.43</v>
      </c>
      <c r="S728" s="5" t="inlineStr">
        <is>
          <t>REJECTED</t>
        </is>
      </c>
      <c r="T728" s="5" t="inlineStr">
        <is>
          <t>Normal operation</t>
        </is>
      </c>
    </row>
    <row r="729" s="17">
      <c r="A729" s="7" t="n">
        <v>6970</v>
      </c>
      <c r="B729" s="8" t="n">
        <v>39123.282435</v>
      </c>
      <c r="C729" s="9" t="n">
        <v>39.123282435</v>
      </c>
      <c r="D729" s="9" t="n">
        <v>136.61276527</v>
      </c>
      <c r="E729" s="9" t="n">
        <v>49.67235116000001</v>
      </c>
      <c r="F729" s="10" t="n">
        <v>0.05284758282714511</v>
      </c>
      <c r="G729" s="10" t="n">
        <v>0.06090059929907581</v>
      </c>
      <c r="H729" s="10" t="n">
        <v>0.9548317786153506</v>
      </c>
      <c r="I729" s="10" t="n">
        <v>0.283488</v>
      </c>
      <c r="J729" s="5" t="inlineStr">
        <is>
          <t>Cleaner sand</t>
        </is>
      </c>
      <c r="K729" s="11" t="n">
        <v>16.05895454073296</v>
      </c>
      <c r="L729" s="12" t="n">
        <v>1.1</v>
      </c>
      <c r="M729" s="12" t="n">
        <v>1.85</v>
      </c>
      <c r="N729" s="12" t="n">
        <v>8.431057377287205</v>
      </c>
      <c r="O729" s="12" t="n">
        <v>321.3569701727072</v>
      </c>
      <c r="P729" s="5" t="inlineStr">
        <is>
          <t>Normal</t>
        </is>
      </c>
      <c r="Q729" s="5" t="inlineStr">
        <is>
          <t>Build</t>
        </is>
      </c>
      <c r="R729" s="12" t="n">
        <v>0.9</v>
      </c>
      <c r="S729" s="5" t="inlineStr">
        <is>
          <t>ACCEPTED</t>
        </is>
      </c>
      <c r="T729" s="5" t="inlineStr">
        <is>
          <t>Normal operation</t>
        </is>
      </c>
    </row>
    <row r="730" s="17">
      <c r="A730" s="7" t="n">
        <v>6975</v>
      </c>
      <c r="B730" s="8" t="n">
        <v>45275.343158</v>
      </c>
      <c r="C730" s="9" t="n">
        <v>45.27534315800001</v>
      </c>
      <c r="D730" s="9" t="n">
        <v>156.07829259</v>
      </c>
      <c r="E730" s="9" t="n">
        <v>52.65068464</v>
      </c>
      <c r="F730" s="10" t="n">
        <v>0.1450370162607723</v>
      </c>
      <c r="G730" s="10" t="n">
        <v>0.1839796088628571</v>
      </c>
      <c r="H730" s="10" t="n">
        <v>0.8468010948237039</v>
      </c>
      <c r="I730" s="10" t="n">
        <v>2.238697</v>
      </c>
      <c r="J730" s="5" t="inlineStr">
        <is>
          <t>Cleaner sand</t>
        </is>
      </c>
      <c r="K730" s="11" t="n">
        <v>16.303110172139</v>
      </c>
      <c r="L730" s="12" t="n">
        <v>1.265123667416868</v>
      </c>
      <c r="M730" s="12" t="n">
        <v>1.85</v>
      </c>
      <c r="N730" s="12" t="n">
        <v>7.794770033465397</v>
      </c>
      <c r="O730" s="12" t="n">
        <v>324.3267749696172</v>
      </c>
      <c r="P730" s="5" t="inlineStr">
        <is>
          <t>Normal</t>
        </is>
      </c>
      <c r="Q730" s="5" t="inlineStr">
        <is>
          <t>Build</t>
        </is>
      </c>
      <c r="R730" s="12" t="n">
        <v>0.7</v>
      </c>
      <c r="S730" s="5" t="inlineStr">
        <is>
          <t>ACCEPTED</t>
        </is>
      </c>
      <c r="T730" s="5" t="inlineStr">
        <is>
          <t>Normal operation</t>
        </is>
      </c>
    </row>
    <row r="731" s="17">
      <c r="A731" s="7" t="n">
        <v>6980</v>
      </c>
      <c r="B731" s="8" t="n">
        <v>59887.664909</v>
      </c>
      <c r="C731" s="9" t="n">
        <v>59.887664909</v>
      </c>
      <c r="D731" s="9" t="n">
        <v>150.11999183</v>
      </c>
      <c r="E731" s="9" t="n">
        <v>48.9311097</v>
      </c>
      <c r="F731" s="10" t="n">
        <v>0.1135154834861837</v>
      </c>
      <c r="G731" s="10" t="n">
        <v>0.2951382410497505</v>
      </c>
      <c r="H731" s="10" t="n">
        <v>0.925457778420186</v>
      </c>
      <c r="I731" s="10" t="n">
        <v>0.841106</v>
      </c>
      <c r="J731" s="5" t="inlineStr">
        <is>
          <t>Transition</t>
        </is>
      </c>
      <c r="K731" s="11" t="n">
        <v>18.75208711655014</v>
      </c>
      <c r="L731" s="12" t="n">
        <v>2.132777300217754</v>
      </c>
      <c r="M731" s="12" t="n">
        <v>1.85</v>
      </c>
      <c r="N731" s="12" t="n">
        <v>7.744023021586393</v>
      </c>
      <c r="O731" s="12" t="n">
        <v>331.3891523098146</v>
      </c>
      <c r="P731" s="5" t="inlineStr">
        <is>
          <t>Normal</t>
        </is>
      </c>
      <c r="Q731" s="5" t="inlineStr">
        <is>
          <t>Drop</t>
        </is>
      </c>
      <c r="R731" s="12" t="n">
        <v>0.91</v>
      </c>
      <c r="S731" s="5" t="inlineStr">
        <is>
          <t>ACCEPTED</t>
        </is>
      </c>
      <c r="T731" s="5" t="inlineStr">
        <is>
          <t>Normal operation</t>
        </is>
      </c>
    </row>
    <row r="732" s="17">
      <c r="A732" s="7" t="n">
        <v>6985</v>
      </c>
      <c r="B732" s="8" t="n">
        <v>51178.898633</v>
      </c>
      <c r="C732" s="9" t="n">
        <v>51.178898633</v>
      </c>
      <c r="D732" s="9" t="n">
        <v>134.11921423</v>
      </c>
      <c r="E732" s="9" t="n">
        <v>60.36820976000001</v>
      </c>
      <c r="F732" s="10" t="n">
        <v>0.04723240219798251</v>
      </c>
      <c r="G732" s="10" t="n">
        <v>0.1329124649811695</v>
      </c>
      <c r="H732" s="10" t="n">
        <v>0.9395017987311466</v>
      </c>
      <c r="I732" s="10" t="n">
        <v>0.305568</v>
      </c>
      <c r="J732" s="5" t="inlineStr">
        <is>
          <t>Cleaner sand</t>
        </is>
      </c>
      <c r="K732" s="11" t="n">
        <v>18.12450663511311</v>
      </c>
      <c r="L732" s="12" t="n">
        <v>2.451635583538633</v>
      </c>
      <c r="M732" s="12" t="n">
        <v>2.247260109792709</v>
      </c>
      <c r="N732" s="12" t="n">
        <v>8.471453960591495</v>
      </c>
      <c r="O732" s="12" t="n">
        <v>309.2687714573561</v>
      </c>
      <c r="P732" s="5" t="inlineStr">
        <is>
          <t>Normal</t>
        </is>
      </c>
      <c r="Q732" s="5" t="inlineStr">
        <is>
          <t>Build</t>
        </is>
      </c>
      <c r="R732" s="12" t="n">
        <v>0.71</v>
      </c>
      <c r="S732" s="5" t="inlineStr">
        <is>
          <t>ACCEPTED</t>
        </is>
      </c>
      <c r="T732" s="5" t="inlineStr">
        <is>
          <t>Normal operation</t>
        </is>
      </c>
    </row>
    <row r="733" s="17">
      <c r="A733" s="7" t="n">
        <v>6990</v>
      </c>
      <c r="B733" s="8" t="n">
        <v>51260.7885</v>
      </c>
      <c r="C733" s="9" t="n">
        <v>51.2607885</v>
      </c>
      <c r="D733" s="9" t="n">
        <v>135.44358538</v>
      </c>
      <c r="E733" s="9" t="n">
        <v>62.57379820000001</v>
      </c>
      <c r="F733" s="10" t="n">
        <v>0.1122366289481308</v>
      </c>
      <c r="G733" s="10" t="n">
        <v>0.1414001311242162</v>
      </c>
      <c r="H733" s="10" t="n">
        <v>0.9079199041723649</v>
      </c>
      <c r="I733" s="10" t="n">
        <v>1.020213</v>
      </c>
      <c r="J733" s="5" t="inlineStr">
        <is>
          <t>Cleaner sand</t>
        </is>
      </c>
      <c r="K733" s="11" t="n">
        <v>16.9653499199672</v>
      </c>
      <c r="L733" s="12" t="n">
        <v>1.1</v>
      </c>
      <c r="M733" s="12" t="n">
        <v>1.85</v>
      </c>
      <c r="N733" s="12" t="n">
        <v>8.996991019651587</v>
      </c>
      <c r="O733" s="12" t="n">
        <v>309.3831572450816</v>
      </c>
      <c r="P733" s="5" t="inlineStr">
        <is>
          <t>Normal</t>
        </is>
      </c>
      <c r="Q733" s="5" t="inlineStr">
        <is>
          <t>Build</t>
        </is>
      </c>
      <c r="R733" s="12" t="n">
        <v>0.44</v>
      </c>
      <c r="S733" s="5" t="inlineStr">
        <is>
          <t>REJECTED</t>
        </is>
      </c>
      <c r="T733" s="5" t="inlineStr">
        <is>
          <t>Normal operation</t>
        </is>
      </c>
    </row>
    <row r="734" s="17">
      <c r="A734" s="7" t="n">
        <v>6995</v>
      </c>
      <c r="B734" s="8" t="n">
        <v>66247.228434</v>
      </c>
      <c r="C734" s="9" t="n">
        <v>66.24722843400001</v>
      </c>
      <c r="D734" s="9" t="n">
        <v>121.78690476</v>
      </c>
      <c r="E734" s="9" t="n">
        <v>30</v>
      </c>
      <c r="F734" s="10" t="n">
        <v>0.05671072356430132</v>
      </c>
      <c r="G734" s="10" t="n">
        <v>0.2654762050624789</v>
      </c>
      <c r="H734" s="10" t="n">
        <v>0.9528748824538402</v>
      </c>
      <c r="I734" s="10" t="n">
        <v>0.250694</v>
      </c>
      <c r="J734" s="5" t="inlineStr">
        <is>
          <t>Transition</t>
        </is>
      </c>
      <c r="K734" s="11" t="n">
        <v>21.10830586767804</v>
      </c>
      <c r="L734" s="12" t="n">
        <v>1.369692513015082</v>
      </c>
      <c r="M734" s="12" t="n">
        <v>1.994421613989889</v>
      </c>
      <c r="N734" s="12" t="n">
        <v>10.47423895203618</v>
      </c>
      <c r="O734" s="12" t="n">
        <v>306.4682377003743</v>
      </c>
      <c r="P734" s="5" t="inlineStr">
        <is>
          <t>Normal</t>
        </is>
      </c>
      <c r="Q734" s="5" t="inlineStr">
        <is>
          <t>Turn Left</t>
        </is>
      </c>
      <c r="R734" s="12" t="n">
        <v>0.7</v>
      </c>
      <c r="S734" s="5" t="inlineStr">
        <is>
          <t>ACCEPTED</t>
        </is>
      </c>
      <c r="T734" s="5" t="inlineStr">
        <is>
          <t>Normal operation</t>
        </is>
      </c>
    </row>
    <row r="735" s="17">
      <c r="A735" s="7" t="n">
        <v>7000</v>
      </c>
      <c r="B735" s="8" t="n">
        <v>42203.862845</v>
      </c>
      <c r="C735" s="9" t="n">
        <v>42.203862845</v>
      </c>
      <c r="D735" s="9" t="n">
        <v>142.67243689</v>
      </c>
      <c r="E735" s="9" t="n">
        <v>45.97506874</v>
      </c>
      <c r="F735" s="10" t="n">
        <v>0.04816763405817587</v>
      </c>
      <c r="G735" s="10" t="n">
        <v>0.1922257680717799</v>
      </c>
      <c r="H735" s="10" t="n">
        <v>0.9361978247096351</v>
      </c>
      <c r="I735" s="10" t="n">
        <v>0.338996</v>
      </c>
      <c r="J735" s="5" t="inlineStr">
        <is>
          <t>Cleaner sand</t>
        </is>
      </c>
      <c r="K735" s="11" t="n">
        <v>14.57537459199466</v>
      </c>
      <c r="L735" s="12" t="n">
        <v>1.647061179090126</v>
      </c>
      <c r="M735" s="12" t="n">
        <v>2.336228795952167</v>
      </c>
      <c r="N735" s="12" t="n">
        <v>13.44826219053104</v>
      </c>
      <c r="O735" s="12" t="n">
        <v>300.6714918093499</v>
      </c>
      <c r="P735" s="5" t="inlineStr">
        <is>
          <t>Normal</t>
        </is>
      </c>
      <c r="Q735" s="5" t="inlineStr">
        <is>
          <t>Turn Left</t>
        </is>
      </c>
      <c r="R735" s="12" t="n">
        <v>0.72</v>
      </c>
      <c r="S735" s="5" t="inlineStr">
        <is>
          <t>ACCEPTED</t>
        </is>
      </c>
      <c r="T735" s="5" t="inlineStr">
        <is>
          <t>Normal operation</t>
        </is>
      </c>
    </row>
    <row r="736" s="17">
      <c r="A736" s="7" t="n">
        <v>7005</v>
      </c>
      <c r="B736" s="8" t="n">
        <v>57773.02502</v>
      </c>
      <c r="C736" s="9" t="n">
        <v>57.77302502</v>
      </c>
      <c r="D736" s="9" t="n">
        <v>120.37446759</v>
      </c>
      <c r="E736" s="9" t="n">
        <v>40.94478283999999</v>
      </c>
      <c r="F736" s="10" t="n">
        <v>0.1514262887567761</v>
      </c>
      <c r="G736" s="10" t="n">
        <v>0.2293617256296948</v>
      </c>
      <c r="H736" s="10" t="n">
        <v>0.9188810721692807</v>
      </c>
      <c r="I736" s="10" t="n">
        <v>1.235809</v>
      </c>
      <c r="J736" s="5" t="inlineStr">
        <is>
          <t>Cleaner sand</t>
        </is>
      </c>
      <c r="K736" s="11" t="n">
        <v>20.17061947054594</v>
      </c>
      <c r="L736" s="12" t="n">
        <v>1.797278967821607</v>
      </c>
      <c r="M736" s="12" t="n">
        <v>1.85</v>
      </c>
      <c r="N736" s="12" t="n">
        <v>9.851150453256649</v>
      </c>
      <c r="O736" s="12" t="n">
        <v>302.1790627428101</v>
      </c>
      <c r="P736" s="5" t="inlineStr">
        <is>
          <t>Normal</t>
        </is>
      </c>
      <c r="Q736" s="5" t="inlineStr">
        <is>
          <t>Build</t>
        </is>
      </c>
      <c r="R736" s="12" t="n">
        <v>0.52</v>
      </c>
      <c r="S736" s="5" t="inlineStr">
        <is>
          <t>REDUCED</t>
        </is>
      </c>
      <c r="T736" s="5" t="inlineStr">
        <is>
          <t>Normal operation</t>
        </is>
      </c>
    </row>
    <row r="737" s="17">
      <c r="A737" s="7" t="n">
        <v>7010</v>
      </c>
      <c r="B737" s="8" t="n">
        <v>70920.82891700001</v>
      </c>
      <c r="C737" s="9" t="n">
        <v>70.92082891700001</v>
      </c>
      <c r="D737" s="9" t="n">
        <v>115.28122731</v>
      </c>
      <c r="E737" s="9" t="n">
        <v>51.91428282</v>
      </c>
      <c r="F737" s="10" t="n">
        <v>0.06218824846149337</v>
      </c>
      <c r="G737" s="10" t="n">
        <v>0.2212649847373218</v>
      </c>
      <c r="H737" s="10" t="n">
        <v>0.9298923428862191</v>
      </c>
      <c r="I737" s="10" t="n">
        <v>0.446658</v>
      </c>
      <c r="J737" s="5" t="inlineStr">
        <is>
          <t>Cleaner sand</t>
        </is>
      </c>
      <c r="K737" s="11" t="n">
        <v>22.03222679877821</v>
      </c>
      <c r="L737" s="12" t="n">
        <v>1.263294275238393</v>
      </c>
      <c r="M737" s="12" t="n">
        <v>2.178296481799416</v>
      </c>
      <c r="N737" s="12" t="n">
        <v>10.62793727571028</v>
      </c>
      <c r="O737" s="12" t="n">
        <v>310.203047314405</v>
      </c>
      <c r="P737" s="5" t="inlineStr">
        <is>
          <t>Normal</t>
        </is>
      </c>
      <c r="Q737" s="5" t="inlineStr">
        <is>
          <t>Turn Left</t>
        </is>
      </c>
      <c r="R737" s="12" t="n">
        <v>0.66</v>
      </c>
      <c r="S737" s="5" t="inlineStr">
        <is>
          <t>REDUCED</t>
        </is>
      </c>
      <c r="T737" s="5" t="inlineStr">
        <is>
          <t>WOB outside preferred band</t>
        </is>
      </c>
    </row>
    <row r="738" s="17">
      <c r="A738" s="7" t="n">
        <v>7015</v>
      </c>
      <c r="B738" s="8" t="n">
        <v>53208.34267</v>
      </c>
      <c r="C738" s="9" t="n">
        <v>53.20834267</v>
      </c>
      <c r="D738" s="9" t="n">
        <v>139.27848012</v>
      </c>
      <c r="E738" s="9" t="n">
        <v>71.51800724</v>
      </c>
      <c r="F738" s="10" t="n">
        <v>0.06826230958496306</v>
      </c>
      <c r="G738" s="10" t="n">
        <v>0.04791058923235683</v>
      </c>
      <c r="H738" s="10" t="n">
        <v>0.9808239677875431</v>
      </c>
      <c r="I738" s="10" t="n">
        <v>0.162287</v>
      </c>
      <c r="J738" s="5" t="inlineStr">
        <is>
          <t>Cleaner sand</t>
        </is>
      </c>
      <c r="K738" s="11" t="n">
        <v>18.55794976335489</v>
      </c>
      <c r="L738" s="12" t="n">
        <v>1.867789911787404</v>
      </c>
      <c r="M738" s="12" t="n">
        <v>1.85</v>
      </c>
      <c r="N738" s="12" t="n">
        <v>11.47503350856089</v>
      </c>
      <c r="O738" s="12" t="n">
        <v>288.6900259805243</v>
      </c>
      <c r="P738" s="5" t="inlineStr">
        <is>
          <t>Normal</t>
        </is>
      </c>
      <c r="Q738" s="5" t="inlineStr">
        <is>
          <t>Build</t>
        </is>
      </c>
      <c r="R738" s="12" t="n">
        <v>0.65</v>
      </c>
      <c r="S738" s="5" t="inlineStr">
        <is>
          <t>REDUCED</t>
        </is>
      </c>
      <c r="T738" s="5" t="inlineStr">
        <is>
          <t>Normal operation</t>
        </is>
      </c>
    </row>
    <row r="739" s="17">
      <c r="A739" s="7" t="n">
        <v>7020</v>
      </c>
      <c r="B739" s="8" t="n">
        <v>55164.274986</v>
      </c>
      <c r="C739" s="9" t="n">
        <v>55.164274986</v>
      </c>
      <c r="D739" s="9" t="n">
        <v>148.40067593</v>
      </c>
      <c r="E739" s="9" t="n">
        <v>32.68197494</v>
      </c>
      <c r="F739" s="10" t="n">
        <v>0.1245318542232809</v>
      </c>
      <c r="G739" s="10" t="n">
        <v>0.09190184202641664</v>
      </c>
      <c r="H739" s="10" t="n">
        <v>0.970285062484247</v>
      </c>
      <c r="I739" s="10" t="n">
        <v>0.377319</v>
      </c>
      <c r="J739" s="5" t="inlineStr">
        <is>
          <t>Cleaner sand</t>
        </is>
      </c>
      <c r="K739" s="11" t="n">
        <v>19.6443492666882</v>
      </c>
      <c r="L739" s="12" t="n">
        <v>1.427818719935251</v>
      </c>
      <c r="M739" s="12" t="n">
        <v>1.940085838683349</v>
      </c>
      <c r="N739" s="12" t="n">
        <v>12.45917518152337</v>
      </c>
      <c r="O739" s="12" t="n">
        <v>300.1387871418332</v>
      </c>
      <c r="P739" s="5" t="inlineStr">
        <is>
          <t>Normal</t>
        </is>
      </c>
      <c r="Q739" s="5" t="inlineStr">
        <is>
          <t>Turn Left</t>
        </is>
      </c>
      <c r="R739" s="12" t="n">
        <v>0.74</v>
      </c>
      <c r="S739" s="5" t="inlineStr">
        <is>
          <t>ACCEPTED</t>
        </is>
      </c>
      <c r="T739" s="5" t="inlineStr">
        <is>
          <t>Normal operation</t>
        </is>
      </c>
    </row>
    <row r="740" s="17">
      <c r="A740" s="7" t="n">
        <v>7025</v>
      </c>
      <c r="B740" s="8" t="n">
        <v>62425.226041</v>
      </c>
      <c r="C740" s="9" t="n">
        <v>62.425226041</v>
      </c>
      <c r="D740" s="9" t="n">
        <v>107.07093895</v>
      </c>
      <c r="E740" s="9" t="n">
        <v>36.67968486</v>
      </c>
      <c r="F740" s="10" t="n">
        <v>0.1197547263956745</v>
      </c>
      <c r="G740" s="10" t="n">
        <v>0.2104886893413605</v>
      </c>
      <c r="H740" s="10" t="n">
        <v>0.8816513113281124</v>
      </c>
      <c r="I740" s="10" t="n">
        <v>1.444134</v>
      </c>
      <c r="J740" s="5" t="inlineStr">
        <is>
          <t>Cleaner sand</t>
        </is>
      </c>
      <c r="K740" s="11" t="n">
        <v>21.66257865821824</v>
      </c>
      <c r="L740" s="12" t="n">
        <v>1.652918387269643</v>
      </c>
      <c r="M740" s="12" t="n">
        <v>2.62536275051226</v>
      </c>
      <c r="N740" s="12" t="n">
        <v>12.67479598633706</v>
      </c>
      <c r="O740" s="12" t="n">
        <v>275.3827362001543</v>
      </c>
      <c r="P740" s="5" t="inlineStr">
        <is>
          <t>Normal</t>
        </is>
      </c>
      <c r="Q740" s="5" t="inlineStr">
        <is>
          <t>Hold</t>
        </is>
      </c>
      <c r="R740" s="12" t="n">
        <v>0.54</v>
      </c>
      <c r="S740" s="5" t="inlineStr">
        <is>
          <t>REDUCED</t>
        </is>
      </c>
      <c r="T740" s="5" t="inlineStr">
        <is>
          <t>Normal operation</t>
        </is>
      </c>
    </row>
    <row r="741" s="17">
      <c r="A741" s="7" t="n">
        <v>7030</v>
      </c>
      <c r="B741" s="8" t="n">
        <v>51315.379985</v>
      </c>
      <c r="C741" s="9" t="n">
        <v>51.315379985</v>
      </c>
      <c r="D741" s="9" t="n">
        <v>132.39072564</v>
      </c>
      <c r="E741" s="9" t="n">
        <v>68.19715402</v>
      </c>
      <c r="F741" s="10" t="n">
        <v>0.048013442881706</v>
      </c>
      <c r="G741" s="10" t="n">
        <v>0.05172089351921294</v>
      </c>
      <c r="H741" s="10" t="n">
        <v>0.9319923667404755</v>
      </c>
      <c r="I741" s="10" t="n">
        <v>0.308389</v>
      </c>
      <c r="J741" s="5" t="inlineStr">
        <is>
          <t>Cleaner sand</t>
        </is>
      </c>
      <c r="K741" s="11" t="n">
        <v>18.96813331733747</v>
      </c>
      <c r="L741" s="12" t="n">
        <v>1.927679281521813</v>
      </c>
      <c r="M741" s="12" t="n">
        <v>2.294640486811556</v>
      </c>
      <c r="N741" s="12" t="n">
        <v>14.38904771552358</v>
      </c>
      <c r="O741" s="12" t="n">
        <v>283.2485627198619</v>
      </c>
      <c r="P741" s="5" t="inlineStr">
        <is>
          <t>Normal</t>
        </is>
      </c>
      <c r="Q741" s="5" t="inlineStr">
        <is>
          <t>Drop</t>
        </is>
      </c>
      <c r="R741" s="12" t="n">
        <v>0.72</v>
      </c>
      <c r="S741" s="5" t="inlineStr">
        <is>
          <t>ACCEPTED</t>
        </is>
      </c>
      <c r="T741" s="5" t="inlineStr">
        <is>
          <t>Normal operation</t>
        </is>
      </c>
    </row>
    <row r="742" s="17">
      <c r="A742" s="7" t="n">
        <v>7035</v>
      </c>
      <c r="B742" s="8" t="n">
        <v>47600.174537</v>
      </c>
      <c r="C742" s="9" t="n">
        <v>47.600174537</v>
      </c>
      <c r="D742" s="9" t="n">
        <v>143.74799797</v>
      </c>
      <c r="E742" s="9" t="n">
        <v>63.7404737</v>
      </c>
      <c r="F742" s="10" t="n">
        <v>0.09856724597410815</v>
      </c>
      <c r="G742" s="10" t="n">
        <v>0.115894867556596</v>
      </c>
      <c r="H742" s="10" t="n">
        <v>0.9546753833542639</v>
      </c>
      <c r="I742" s="10" t="n">
        <v>0.42708</v>
      </c>
      <c r="J742" s="5" t="inlineStr">
        <is>
          <t>Cleaner sand</t>
        </is>
      </c>
      <c r="K742" s="11" t="n">
        <v>15.42958239065415</v>
      </c>
      <c r="L742" s="12" t="n">
        <v>1.663146912207359</v>
      </c>
      <c r="M742" s="12" t="n">
        <v>1.85</v>
      </c>
      <c r="N742" s="12" t="n">
        <v>9.952956744290391</v>
      </c>
      <c r="O742" s="12" t="n">
        <v>281.9567575901568</v>
      </c>
      <c r="P742" s="5" t="inlineStr">
        <is>
          <t>Normal</t>
        </is>
      </c>
      <c r="Q742" s="5" t="inlineStr">
        <is>
          <t>Build</t>
        </is>
      </c>
      <c r="R742" s="12" t="n">
        <v>0.53</v>
      </c>
      <c r="S742" s="5" t="inlineStr">
        <is>
          <t>REDUCED</t>
        </is>
      </c>
      <c r="T742" s="5" t="inlineStr">
        <is>
          <t>Normal operation</t>
        </is>
      </c>
    </row>
    <row r="743" s="17">
      <c r="A743" s="7" t="n">
        <v>7040</v>
      </c>
      <c r="B743" s="8" t="n">
        <v>60357.511461</v>
      </c>
      <c r="C743" s="9" t="n">
        <v>60.357511461</v>
      </c>
      <c r="D743" s="9" t="n">
        <v>152.6459922</v>
      </c>
      <c r="E743" s="9" t="n">
        <v>47.64455102</v>
      </c>
      <c r="F743" s="10" t="n">
        <v>0.1048988164677991</v>
      </c>
      <c r="G743" s="10" t="n">
        <v>0.3393995673328745</v>
      </c>
      <c r="H743" s="10" t="n">
        <v>0.9768596564070087</v>
      </c>
      <c r="I743" s="10" t="n">
        <v>0.250288</v>
      </c>
      <c r="J743" s="5" t="inlineStr">
        <is>
          <t>Transition</t>
        </is>
      </c>
      <c r="K743" s="11" t="n">
        <v>18.33722981746276</v>
      </c>
      <c r="L743" s="12" t="n">
        <v>1.446170913641981</v>
      </c>
      <c r="M743" s="12" t="n">
        <v>2.412343422396923</v>
      </c>
      <c r="N743" s="12" t="n">
        <v>10.39180085732692</v>
      </c>
      <c r="O743" s="12" t="n">
        <v>298.3301419555922</v>
      </c>
      <c r="P743" s="5" t="inlineStr">
        <is>
          <t>Normal</t>
        </is>
      </c>
      <c r="Q743" s="5" t="inlineStr">
        <is>
          <t>Turn Left</t>
        </is>
      </c>
      <c r="R743" s="12" t="n">
        <v>0.65</v>
      </c>
      <c r="S743" s="5" t="inlineStr">
        <is>
          <t>REDUCED</t>
        </is>
      </c>
      <c r="T743" s="5" t="inlineStr">
        <is>
          <t>Normal operation</t>
        </is>
      </c>
    </row>
    <row r="744" s="17">
      <c r="A744" s="7" t="n">
        <v>7045</v>
      </c>
      <c r="B744" s="8" t="n">
        <v>45960.327211</v>
      </c>
      <c r="C744" s="9" t="n">
        <v>45.96032721100001</v>
      </c>
      <c r="D744" s="9" t="n">
        <v>146.559506</v>
      </c>
      <c r="E744" s="9" t="n">
        <v>53.82935838</v>
      </c>
      <c r="F744" s="10" t="n">
        <v>0.04346527374694086</v>
      </c>
      <c r="G744" s="10" t="n">
        <v>0.2894991361880017</v>
      </c>
      <c r="H744" s="10" t="n">
        <v>0.9145714424809634</v>
      </c>
      <c r="I744" s="10" t="n">
        <v>0.412302</v>
      </c>
      <c r="J744" s="5" t="inlineStr">
        <is>
          <t>Transition</t>
        </is>
      </c>
      <c r="K744" s="11" t="n">
        <v>16.34403465619384</v>
      </c>
      <c r="L744" s="12" t="n">
        <v>1.606291196076343</v>
      </c>
      <c r="M744" s="12" t="n">
        <v>2.836689761243014</v>
      </c>
      <c r="N744" s="12" t="n">
        <v>13.23771131756329</v>
      </c>
      <c r="O744" s="12" t="n">
        <v>275.114443199633</v>
      </c>
      <c r="P744" s="5" t="inlineStr">
        <is>
          <t>Normal</t>
        </is>
      </c>
      <c r="Q744" s="5" t="inlineStr">
        <is>
          <t>Drop</t>
        </is>
      </c>
      <c r="R744" s="12" t="n">
        <v>0.47</v>
      </c>
      <c r="S744" s="5" t="inlineStr">
        <is>
          <t>REJECTED</t>
        </is>
      </c>
      <c r="T744" s="5" t="inlineStr">
        <is>
          <t>Normal operation</t>
        </is>
      </c>
    </row>
    <row r="745" s="17">
      <c r="A745" s="7" t="n">
        <v>7050</v>
      </c>
      <c r="B745" s="8" t="n">
        <v>40665.118473</v>
      </c>
      <c r="C745" s="9" t="n">
        <v>40.665118473</v>
      </c>
      <c r="D745" s="9" t="n">
        <v>149.98970275</v>
      </c>
      <c r="E745" s="9" t="n">
        <v>51.0151479</v>
      </c>
      <c r="F745" s="10" t="n">
        <v>0.1245778096057505</v>
      </c>
      <c r="G745" s="10" t="n">
        <v>0.2756057319717218</v>
      </c>
      <c r="H745" s="10" t="n">
        <v>0.8777032661329989</v>
      </c>
      <c r="I745" s="10" t="n">
        <v>1.54302</v>
      </c>
      <c r="J745" s="5" t="inlineStr">
        <is>
          <t>Transition</t>
        </is>
      </c>
      <c r="K745" s="11" t="n">
        <v>16.02104087813303</v>
      </c>
      <c r="L745" s="12" t="n">
        <v>1.616702149989386</v>
      </c>
      <c r="M745" s="12" t="n">
        <v>1.85</v>
      </c>
      <c r="N745" s="12" t="n">
        <v>15.69638643757844</v>
      </c>
      <c r="O745" s="12" t="n">
        <v>252.0929632241104</v>
      </c>
      <c r="P745" s="5" t="inlineStr">
        <is>
          <t>Normal</t>
        </is>
      </c>
      <c r="Q745" s="5" t="inlineStr">
        <is>
          <t>Drop</t>
        </is>
      </c>
      <c r="R745" s="12" t="n">
        <v>0.42</v>
      </c>
      <c r="S745" s="5" t="inlineStr">
        <is>
          <t>REJECTED</t>
        </is>
      </c>
      <c r="T745" s="5" t="inlineStr">
        <is>
          <t>Normal operation</t>
        </is>
      </c>
    </row>
    <row r="746" s="17">
      <c r="A746" s="7" t="n">
        <v>7055</v>
      </c>
      <c r="B746" s="8" t="n">
        <v>68001.240309</v>
      </c>
      <c r="C746" s="9" t="n">
        <v>68.001240309</v>
      </c>
      <c r="D746" s="9" t="n">
        <v>119.89486499</v>
      </c>
      <c r="E746" s="9" t="n">
        <v>48.52922032</v>
      </c>
      <c r="F746" s="10" t="n">
        <v>0.1032420230680192</v>
      </c>
      <c r="G746" s="10" t="n">
        <v>0.284535584613915</v>
      </c>
      <c r="H746" s="10" t="n">
        <v>0.9481873170827451</v>
      </c>
      <c r="I746" s="10" t="n">
        <v>0.546423</v>
      </c>
      <c r="J746" s="5" t="inlineStr">
        <is>
          <t>Transition</t>
        </is>
      </c>
      <c r="K746" s="11" t="n">
        <v>21.54031285011749</v>
      </c>
      <c r="L746" s="12" t="n">
        <v>1.478694595357757</v>
      </c>
      <c r="M746" s="12" t="n">
        <v>3.256468873314737</v>
      </c>
      <c r="N746" s="12" t="n">
        <v>12.62209700527948</v>
      </c>
      <c r="O746" s="12" t="n">
        <v>250.3325477978446</v>
      </c>
      <c r="P746" s="5" t="inlineStr">
        <is>
          <t>Normal</t>
        </is>
      </c>
      <c r="Q746" s="5" t="inlineStr">
        <is>
          <t>Hold</t>
        </is>
      </c>
      <c r="R746" s="12" t="n">
        <v>0.58</v>
      </c>
      <c r="S746" s="5" t="inlineStr">
        <is>
          <t>REDUCED</t>
        </is>
      </c>
      <c r="T746" s="5" t="inlineStr">
        <is>
          <t>Normal operation</t>
        </is>
      </c>
    </row>
    <row r="747" s="17">
      <c r="A747" s="7" t="n">
        <v>7060</v>
      </c>
      <c r="B747" s="8" t="n">
        <v>48359.31109</v>
      </c>
      <c r="C747" s="9" t="n">
        <v>48.35931109000001</v>
      </c>
      <c r="D747" s="9" t="n">
        <v>137.51763099</v>
      </c>
      <c r="E747" s="9" t="n">
        <v>58.96056249999999</v>
      </c>
      <c r="F747" s="10" t="n">
        <v>0.0558404271264778</v>
      </c>
      <c r="G747" s="10" t="n">
        <v>0.05344995769512442</v>
      </c>
      <c r="H747" s="10" t="n">
        <v>0.9144937377091363</v>
      </c>
      <c r="I747" s="10" t="n">
        <v>0.509177</v>
      </c>
      <c r="J747" s="5" t="inlineStr">
        <is>
          <t>Cleaner sand</t>
        </is>
      </c>
      <c r="K747" s="11" t="n">
        <v>16.68433443871358</v>
      </c>
      <c r="L747" s="12" t="n">
        <v>1.53318992929312</v>
      </c>
      <c r="M747" s="12" t="n">
        <v>2.092377625381431</v>
      </c>
      <c r="N747" s="12" t="n">
        <v>11.13506065736006</v>
      </c>
      <c r="O747" s="12" t="n">
        <v>266.862054767692</v>
      </c>
      <c r="P747" s="5" t="inlineStr">
        <is>
          <t>Normal</t>
        </is>
      </c>
      <c r="Q747" s="5" t="inlineStr">
        <is>
          <t>Build</t>
        </is>
      </c>
      <c r="R747" s="12" t="n">
        <v>0.55</v>
      </c>
      <c r="S747" s="5" t="inlineStr">
        <is>
          <t>REDUCED</t>
        </is>
      </c>
      <c r="T747" s="5" t="inlineStr">
        <is>
          <t>Normal operation</t>
        </is>
      </c>
    </row>
    <row r="748" s="17">
      <c r="A748" s="7" t="n">
        <v>7065</v>
      </c>
      <c r="B748" s="8" t="n">
        <v>49139.607057</v>
      </c>
      <c r="C748" s="9" t="n">
        <v>49.139607057</v>
      </c>
      <c r="D748" s="9" t="n">
        <v>150.3776809</v>
      </c>
      <c r="E748" s="9" t="n">
        <v>44.45586786</v>
      </c>
      <c r="F748" s="10" t="n">
        <v>0.1583578114513438</v>
      </c>
      <c r="G748" s="10" t="n">
        <v>0.1546559498865915</v>
      </c>
      <c r="H748" s="10" t="n">
        <v>0.8932634511797681</v>
      </c>
      <c r="I748" s="10" t="n">
        <v>1.691491</v>
      </c>
      <c r="J748" s="5" t="inlineStr">
        <is>
          <t>Cleaner sand</t>
        </is>
      </c>
      <c r="K748" s="11" t="n">
        <v>17.74035832007289</v>
      </c>
      <c r="L748" s="12" t="n">
        <v>2.443337113547311</v>
      </c>
      <c r="M748" s="12" t="n">
        <v>2.733987606725602</v>
      </c>
      <c r="N748" s="12" t="n">
        <v>16.17505917964206</v>
      </c>
      <c r="O748" s="12" t="n">
        <v>268.8552949831723</v>
      </c>
      <c r="P748" s="5" t="inlineStr">
        <is>
          <t>Normal</t>
        </is>
      </c>
      <c r="Q748" s="5" t="inlineStr">
        <is>
          <t>Drop</t>
        </is>
      </c>
      <c r="R748" s="12" t="n">
        <v>0.62</v>
      </c>
      <c r="S748" s="5" t="inlineStr">
        <is>
          <t>REDUCED</t>
        </is>
      </c>
      <c r="T748" s="5" t="inlineStr">
        <is>
          <t>Normal operation</t>
        </is>
      </c>
    </row>
    <row r="749" s="17">
      <c r="A749" s="7" t="n">
        <v>7070</v>
      </c>
      <c r="B749" s="8" t="n">
        <v>72683.49713800001</v>
      </c>
      <c r="C749" s="9" t="n">
        <v>72.68349713800001</v>
      </c>
      <c r="D749" s="9" t="n">
        <v>145.54830401</v>
      </c>
      <c r="E749" s="9" t="n">
        <v>35.86764706</v>
      </c>
      <c r="F749" s="10" t="n">
        <v>0.09380904558096001</v>
      </c>
      <c r="G749" s="10" t="n">
        <v>0.3284251906115999</v>
      </c>
      <c r="H749" s="10" t="n">
        <v>0.8958244798372101</v>
      </c>
      <c r="I749" s="10" t="n">
        <v>1.022667</v>
      </c>
      <c r="J749" s="5" t="inlineStr">
        <is>
          <t>Transition</t>
        </is>
      </c>
      <c r="K749" s="11" t="n">
        <v>21.12843919093613</v>
      </c>
      <c r="L749" s="12" t="n">
        <v>1.934850529491207</v>
      </c>
      <c r="M749" s="12" t="n">
        <v>3.383647750414198</v>
      </c>
      <c r="N749" s="12" t="n">
        <v>16.1368235949658</v>
      </c>
      <c r="O749" s="12" t="n">
        <v>262.6747136337818</v>
      </c>
      <c r="P749" s="5" t="inlineStr">
        <is>
          <t>Normal</t>
        </is>
      </c>
      <c r="Q749" s="5" t="inlineStr">
        <is>
          <t>Drop</t>
        </is>
      </c>
      <c r="R749" s="12" t="n">
        <v>0.93</v>
      </c>
      <c r="S749" s="5" t="inlineStr">
        <is>
          <t>ACCEPTED</t>
        </is>
      </c>
      <c r="T749" s="5" t="inlineStr">
        <is>
          <t>WOB outside preferred band</t>
        </is>
      </c>
    </row>
    <row r="750" s="17">
      <c r="A750" s="7" t="n">
        <v>7075</v>
      </c>
      <c r="B750" s="8" t="n">
        <v>55280.329933</v>
      </c>
      <c r="C750" s="9" t="n">
        <v>55.280329933</v>
      </c>
      <c r="D750" s="9" t="n">
        <v>149.74841251</v>
      </c>
      <c r="E750" s="9" t="n">
        <v>70.91834616000001</v>
      </c>
      <c r="F750" s="10" t="n">
        <v>0.03822111472525399</v>
      </c>
      <c r="G750" s="10" t="n">
        <v>0.07447696044179035</v>
      </c>
      <c r="H750" s="10" t="n">
        <v>0.9958588824064099</v>
      </c>
      <c r="I750" s="10" t="n">
        <v>0.005089</v>
      </c>
      <c r="J750" s="5" t="inlineStr">
        <is>
          <t>Cleaner sand</t>
        </is>
      </c>
      <c r="K750" s="11" t="n">
        <v>18.07148549441495</v>
      </c>
      <c r="L750" s="12" t="n">
        <v>1.515214644165711</v>
      </c>
      <c r="M750" s="12" t="n">
        <v>1.85</v>
      </c>
      <c r="N750" s="12" t="n">
        <v>14.79034152790815</v>
      </c>
      <c r="O750" s="12" t="n">
        <v>256.8163815769719</v>
      </c>
      <c r="P750" s="5" t="inlineStr">
        <is>
          <t>Normal</t>
        </is>
      </c>
      <c r="Q750" s="5" t="inlineStr">
        <is>
          <t>Drop</t>
        </is>
      </c>
      <c r="R750" s="12" t="n">
        <v>0.6899999999999999</v>
      </c>
      <c r="S750" s="5" t="inlineStr">
        <is>
          <t>REDUCED</t>
        </is>
      </c>
      <c r="T750" s="5" t="inlineStr">
        <is>
          <t>Normal operation</t>
        </is>
      </c>
    </row>
    <row r="751" s="17">
      <c r="A751" s="7" t="n">
        <v>7080</v>
      </c>
      <c r="B751" s="8" t="n">
        <v>42834.775254</v>
      </c>
      <c r="C751" s="9" t="n">
        <v>42.834775254</v>
      </c>
      <c r="D751" s="9" t="n">
        <v>152.54746945</v>
      </c>
      <c r="E751" s="9" t="n">
        <v>54.086462</v>
      </c>
      <c r="F751" s="10" t="n">
        <v>0.1348396180235966</v>
      </c>
      <c r="G751" s="10" t="n">
        <v>0.2206535631084798</v>
      </c>
      <c r="H751" s="10" t="n">
        <v>0.9356297596747178</v>
      </c>
      <c r="I751" s="10" t="n">
        <v>0.888388</v>
      </c>
      <c r="J751" s="5" t="inlineStr">
        <is>
          <t>Cleaner sand</t>
        </is>
      </c>
      <c r="K751" s="11" t="n">
        <v>14.98733553609079</v>
      </c>
      <c r="L751" s="12" t="n">
        <v>2.00150765821026</v>
      </c>
      <c r="M751" s="12" t="n">
        <v>1.922918856610282</v>
      </c>
      <c r="N751" s="12" t="n">
        <v>15.31395422840533</v>
      </c>
      <c r="O751" s="12" t="n">
        <v>263.0129214672011</v>
      </c>
      <c r="P751" s="5" t="inlineStr">
        <is>
          <t>Normal</t>
        </is>
      </c>
      <c r="Q751" s="5" t="inlineStr">
        <is>
          <t>Drop</t>
        </is>
      </c>
      <c r="R751" s="12" t="n">
        <v>0.7</v>
      </c>
      <c r="S751" s="5" t="inlineStr">
        <is>
          <t>ACCEPTED</t>
        </is>
      </c>
      <c r="T751" s="5" t="inlineStr">
        <is>
          <t>Normal operation</t>
        </is>
      </c>
    </row>
    <row r="752" s="17">
      <c r="A752" s="7" t="n">
        <v>7085</v>
      </c>
      <c r="B752" s="8" t="n">
        <v>63158.914554</v>
      </c>
      <c r="C752" s="9" t="n">
        <v>63.15891455400001</v>
      </c>
      <c r="D752" s="9" t="n">
        <v>166.81063358</v>
      </c>
      <c r="E752" s="9" t="n">
        <v>38.29822382</v>
      </c>
      <c r="F752" s="10" t="n">
        <v>0.0908690456244908</v>
      </c>
      <c r="G752" s="10" t="n">
        <v>0.3222482701468412</v>
      </c>
      <c r="H752" s="10" t="n">
        <v>0.9087732665022116</v>
      </c>
      <c r="I752" s="10" t="n">
        <v>0.8281579999999999</v>
      </c>
      <c r="J752" s="5" t="inlineStr">
        <is>
          <t>Transition</t>
        </is>
      </c>
      <c r="K752" s="11" t="n">
        <v>19.20881215260732</v>
      </c>
      <c r="L752" s="12" t="n">
        <v>1.496428450019555</v>
      </c>
      <c r="M752" s="12" t="n">
        <v>2.2919953021687</v>
      </c>
      <c r="N752" s="12" t="n">
        <v>15.72203212641265</v>
      </c>
      <c r="O752" s="12" t="n">
        <v>242.284254447684</v>
      </c>
      <c r="P752" s="5" t="inlineStr">
        <is>
          <t>Normal</t>
        </is>
      </c>
      <c r="Q752" s="5" t="inlineStr">
        <is>
          <t>Drop</t>
        </is>
      </c>
      <c r="R752" s="12" t="n">
        <v>0.92</v>
      </c>
      <c r="S752" s="5" t="inlineStr">
        <is>
          <t>ACCEPTED</t>
        </is>
      </c>
      <c r="T752" s="5" t="inlineStr">
        <is>
          <t>Normal operation</t>
        </is>
      </c>
    </row>
    <row r="753" s="17">
      <c r="A753" s="7" t="n">
        <v>7090</v>
      </c>
      <c r="B753" s="8" t="n">
        <v>46873.036696</v>
      </c>
      <c r="C753" s="9" t="n">
        <v>46.873036696</v>
      </c>
      <c r="D753" s="9" t="n">
        <v>142.11521134</v>
      </c>
      <c r="E753" s="9" t="n">
        <v>55.7562977</v>
      </c>
      <c r="F753" s="10" t="n">
        <v>0.0708498674204833</v>
      </c>
      <c r="G753" s="10" t="n">
        <v>0.2758281101204914</v>
      </c>
      <c r="H753" s="10" t="n">
        <v>0.9630590167856439</v>
      </c>
      <c r="I753" s="10" t="n">
        <v>0.291312</v>
      </c>
      <c r="J753" s="5" t="inlineStr">
        <is>
          <t>Transition</t>
        </is>
      </c>
      <c r="K753" s="11" t="n">
        <v>15.78503564165855</v>
      </c>
      <c r="L753" s="12" t="n">
        <v>2.234831072417454</v>
      </c>
      <c r="M753" s="12" t="n">
        <v>1.928225759384085</v>
      </c>
      <c r="N753" s="12" t="n">
        <v>17.51393812724899</v>
      </c>
      <c r="O753" s="12" t="n">
        <v>252.9702675264709</v>
      </c>
      <c r="P753" s="5" t="inlineStr">
        <is>
          <t>Normal</t>
        </is>
      </c>
      <c r="Q753" s="5" t="inlineStr">
        <is>
          <t>Turn Left</t>
        </is>
      </c>
      <c r="R753" s="12" t="n">
        <v>0.91</v>
      </c>
      <c r="S753" s="5" t="inlineStr">
        <is>
          <t>ACCEPTED</t>
        </is>
      </c>
      <c r="T753" s="5" t="inlineStr">
        <is>
          <t>Normal operation</t>
        </is>
      </c>
    </row>
    <row r="754" s="17">
      <c r="A754" s="7" t="n">
        <v>7095</v>
      </c>
      <c r="B754" s="8" t="n">
        <v>47581.947844</v>
      </c>
      <c r="C754" s="9" t="n">
        <v>47.58194784400001</v>
      </c>
      <c r="D754" s="9" t="n">
        <v>131.04441653</v>
      </c>
      <c r="E754" s="9" t="n">
        <v>51.07584348</v>
      </c>
      <c r="F754" s="10" t="n">
        <v>0.05716597357669914</v>
      </c>
      <c r="G754" s="10" t="n">
        <v>0.0924028285106749</v>
      </c>
      <c r="H754" s="10" t="n">
        <v>0.9180630363721484</v>
      </c>
      <c r="I754" s="10" t="n">
        <v>0.495908</v>
      </c>
      <c r="J754" s="5" t="inlineStr">
        <is>
          <t>Cleaner sand</t>
        </is>
      </c>
      <c r="K754" s="11" t="n">
        <v>16.29123108597855</v>
      </c>
      <c r="L754" s="12" t="n">
        <v>1.841124674177066</v>
      </c>
      <c r="M754" s="12" t="n">
        <v>3.975601718222027</v>
      </c>
      <c r="N754" s="12" t="n">
        <v>16.94357560809014</v>
      </c>
      <c r="O754" s="12" t="n">
        <v>224.1039694499897</v>
      </c>
      <c r="P754" s="5" t="inlineStr">
        <is>
          <t>Normal</t>
        </is>
      </c>
      <c r="Q754" s="5" t="inlineStr">
        <is>
          <t>Drop</t>
        </is>
      </c>
      <c r="R754" s="12" t="n">
        <v>0.89</v>
      </c>
      <c r="S754" s="5" t="inlineStr">
        <is>
          <t>ACCEPTED</t>
        </is>
      </c>
      <c r="T754" s="5" t="inlineStr">
        <is>
          <t>Normal operation</t>
        </is>
      </c>
    </row>
    <row r="755" s="17">
      <c r="A755" s="7" t="n">
        <v>7100</v>
      </c>
      <c r="B755" s="8" t="n">
        <v>73710.16898</v>
      </c>
      <c r="C755" s="9" t="n">
        <v>73.71016898000001</v>
      </c>
      <c r="D755" s="9" t="n">
        <v>149.21401282</v>
      </c>
      <c r="E755" s="9" t="n">
        <v>39.86775794</v>
      </c>
      <c r="F755" s="10" t="n">
        <v>0.08947669572627397</v>
      </c>
      <c r="G755" s="10" t="n">
        <v>0.2335100243104496</v>
      </c>
      <c r="H755" s="10" t="n">
        <v>0.9165227461245585</v>
      </c>
      <c r="I755" s="10" t="n">
        <v>0.78547</v>
      </c>
      <c r="J755" s="5" t="inlineStr">
        <is>
          <t>Cleaner sand</t>
        </is>
      </c>
      <c r="K755" s="11" t="n">
        <v>23.1262910753896</v>
      </c>
      <c r="L755" s="12" t="n">
        <v>1.607421949437928</v>
      </c>
      <c r="M755" s="12" t="n">
        <v>1.934686072406713</v>
      </c>
      <c r="N755" s="12" t="n">
        <v>18.60076060331869</v>
      </c>
      <c r="O755" s="12" t="n">
        <v>227.8501812005444</v>
      </c>
      <c r="P755" s="5" t="inlineStr">
        <is>
          <t>Normal</t>
        </is>
      </c>
      <c r="Q755" s="5" t="inlineStr">
        <is>
          <t>Drop</t>
        </is>
      </c>
      <c r="R755" s="12" t="n">
        <v>0.45</v>
      </c>
      <c r="S755" s="5" t="inlineStr">
        <is>
          <t>REJECTED</t>
        </is>
      </c>
      <c r="T755" s="5" t="inlineStr">
        <is>
          <t>WOB outside preferred band</t>
        </is>
      </c>
    </row>
    <row r="756" s="17">
      <c r="A756" s="7" t="n">
        <v>7105</v>
      </c>
      <c r="B756" s="8" t="n">
        <v>49286.284451</v>
      </c>
      <c r="C756" s="9" t="n">
        <v>49.286284451</v>
      </c>
      <c r="D756" s="9" t="n">
        <v>140.16957656</v>
      </c>
      <c r="E756" s="9" t="n">
        <v>42.45790752</v>
      </c>
      <c r="F756" s="10" t="n">
        <v>0.04925933600807642</v>
      </c>
      <c r="G756" s="10" t="n">
        <v>0.02941103923865876</v>
      </c>
      <c r="H756" s="10" t="n">
        <v>0.9361715641568135</v>
      </c>
      <c r="I756" s="10" t="n">
        <v>0.337126</v>
      </c>
      <c r="J756" s="5" t="inlineStr">
        <is>
          <t>Cleaner sand</t>
        </is>
      </c>
      <c r="K756" s="11" t="n">
        <v>16.63116981170056</v>
      </c>
      <c r="L756" s="12" t="n">
        <v>1.879381293647036</v>
      </c>
      <c r="M756" s="12" t="n">
        <v>2.208142865411041</v>
      </c>
      <c r="N756" s="12" t="n">
        <v>14.1367362032762</v>
      </c>
      <c r="O756" s="12" t="n">
        <v>215.3877811990377</v>
      </c>
      <c r="P756" s="5" t="inlineStr">
        <is>
          <t>Normal</t>
        </is>
      </c>
      <c r="Q756" s="5" t="inlineStr">
        <is>
          <t>Drop</t>
        </is>
      </c>
      <c r="R756" s="12" t="n">
        <v>0.75</v>
      </c>
      <c r="S756" s="5" t="inlineStr">
        <is>
          <t>ACCEPTED</t>
        </is>
      </c>
      <c r="T756" s="5" t="inlineStr">
        <is>
          <t>Normal operation</t>
        </is>
      </c>
    </row>
    <row r="757" s="17">
      <c r="A757" s="7" t="n">
        <v>7110</v>
      </c>
      <c r="B757" s="8" t="n">
        <v>69076.576955</v>
      </c>
      <c r="C757" s="9" t="n">
        <v>69.07657695499999</v>
      </c>
      <c r="D757" s="9" t="n">
        <v>126.54319382</v>
      </c>
      <c r="E757" s="9" t="n">
        <v>63.56068214</v>
      </c>
      <c r="F757" s="10" t="n">
        <v>0.1094333026621264</v>
      </c>
      <c r="G757" s="10" t="n">
        <v>0.1320878250885926</v>
      </c>
      <c r="H757" s="10" t="n">
        <v>0.9107096927959223</v>
      </c>
      <c r="I757" s="10" t="n">
        <v>0.990826</v>
      </c>
      <c r="J757" s="5" t="inlineStr">
        <is>
          <t>Cleaner sand</t>
        </is>
      </c>
      <c r="K757" s="11" t="n">
        <v>23.85281355990342</v>
      </c>
      <c r="L757" s="12" t="n">
        <v>1.1</v>
      </c>
      <c r="M757" s="12" t="n">
        <v>2.848591148723859</v>
      </c>
      <c r="N757" s="12" t="n">
        <v>16.62311679678714</v>
      </c>
      <c r="O757" s="12" t="n">
        <v>227.3614365179622</v>
      </c>
      <c r="P757" s="5" t="inlineStr">
        <is>
          <t>Normal</t>
        </is>
      </c>
      <c r="Q757" s="5" t="inlineStr">
        <is>
          <t>Drop</t>
        </is>
      </c>
      <c r="R757" s="12" t="n">
        <v>0.84</v>
      </c>
      <c r="S757" s="5" t="inlineStr">
        <is>
          <t>ACCEPTED</t>
        </is>
      </c>
      <c r="T757" s="5" t="inlineStr">
        <is>
          <t>Normal operation</t>
        </is>
      </c>
    </row>
    <row r="758" s="17">
      <c r="A758" s="7" t="n">
        <v>7115</v>
      </c>
      <c r="B758" s="8" t="n">
        <v>67042.646626</v>
      </c>
      <c r="C758" s="9" t="n">
        <v>67.04264662600001</v>
      </c>
      <c r="D758" s="9" t="n">
        <v>120.92271852</v>
      </c>
      <c r="E758" s="9" t="n">
        <v>36.00185728</v>
      </c>
      <c r="F758" s="10" t="n">
        <v>0.08308971626932826</v>
      </c>
      <c r="G758" s="10" t="n">
        <v>0.3642219439985215</v>
      </c>
      <c r="H758" s="10" t="n">
        <v>0.9148393866323954</v>
      </c>
      <c r="I758" s="10" t="n">
        <v>0.71698</v>
      </c>
      <c r="J758" s="5" t="inlineStr">
        <is>
          <t>Transition</t>
        </is>
      </c>
      <c r="K758" s="11" t="n">
        <v>21.33966562079787</v>
      </c>
      <c r="L758" s="12" t="n">
        <v>1.107883940234195</v>
      </c>
      <c r="M758" s="12" t="n">
        <v>1.85</v>
      </c>
      <c r="N758" s="12" t="n">
        <v>16.16242742867031</v>
      </c>
      <c r="O758" s="12" t="n">
        <v>226.4020197107885</v>
      </c>
      <c r="P758" s="5" t="inlineStr">
        <is>
          <t>Normal</t>
        </is>
      </c>
      <c r="Q758" s="5" t="inlineStr">
        <is>
          <t>Drop</t>
        </is>
      </c>
      <c r="R758" s="12" t="n">
        <v>0.86</v>
      </c>
      <c r="S758" s="5" t="inlineStr">
        <is>
          <t>ACCEPTED</t>
        </is>
      </c>
      <c r="T758" s="5" t="inlineStr">
        <is>
          <t>Normal operation</t>
        </is>
      </c>
    </row>
    <row r="759" s="17">
      <c r="A759" s="7" t="n">
        <v>7120</v>
      </c>
      <c r="B759" s="8" t="n">
        <v>54541.964734</v>
      </c>
      <c r="C759" s="9" t="n">
        <v>54.541964734</v>
      </c>
      <c r="D759" s="9" t="n">
        <v>143.93673136</v>
      </c>
      <c r="E759" s="9" t="n">
        <v>59.85581062</v>
      </c>
      <c r="F759" s="10" t="n">
        <v>0.05671573810796229</v>
      </c>
      <c r="G759" s="10" t="n">
        <v>0.1071841258823066</v>
      </c>
      <c r="H759" s="10" t="n">
        <v>0.9208638839219302</v>
      </c>
      <c r="I759" s="10" t="n">
        <v>0.454945</v>
      </c>
      <c r="J759" s="5" t="inlineStr">
        <is>
          <t>Cleaner sand</t>
        </is>
      </c>
      <c r="K759" s="11" t="n">
        <v>18.73203809244151</v>
      </c>
      <c r="L759" s="12" t="n">
        <v>1.1</v>
      </c>
      <c r="M759" s="12" t="n">
        <v>2.433595259279594</v>
      </c>
      <c r="N759" s="12" t="n">
        <v>17.18232805237182</v>
      </c>
      <c r="O759" s="12" t="n">
        <v>224.873022019272</v>
      </c>
      <c r="P759" s="5" t="inlineStr">
        <is>
          <t>Normal</t>
        </is>
      </c>
      <c r="Q759" s="5" t="inlineStr">
        <is>
          <t>Drop</t>
        </is>
      </c>
      <c r="R759" s="12" t="n">
        <v>0.72</v>
      </c>
      <c r="S759" s="5" t="inlineStr">
        <is>
          <t>ACCEPTED</t>
        </is>
      </c>
      <c r="T759" s="5" t="inlineStr">
        <is>
          <t>Normal operation</t>
        </is>
      </c>
    </row>
    <row r="760" s="17">
      <c r="A760" s="7" t="n">
        <v>7125</v>
      </c>
      <c r="B760" s="8" t="n">
        <v>51364.00683</v>
      </c>
      <c r="C760" s="9" t="n">
        <v>51.36400683</v>
      </c>
      <c r="D760" s="9" t="n">
        <v>130.8922373</v>
      </c>
      <c r="E760" s="9" t="n">
        <v>31.59098298</v>
      </c>
      <c r="F760" s="10" t="n">
        <v>0.1095379211518473</v>
      </c>
      <c r="G760" s="10" t="n">
        <v>0.1952199614569149</v>
      </c>
      <c r="H760" s="10" t="n">
        <v>0.8589808545128451</v>
      </c>
      <c r="I760" s="10" t="n">
        <v>1.584118</v>
      </c>
      <c r="J760" s="5" t="inlineStr">
        <is>
          <t>Cleaner sand</t>
        </is>
      </c>
      <c r="K760" s="11" t="n">
        <v>17.10434900058246</v>
      </c>
      <c r="L760" s="12" t="n">
        <v>1.730042116434216</v>
      </c>
      <c r="M760" s="12" t="n">
        <v>3.036658383969952</v>
      </c>
      <c r="N760" s="12" t="n">
        <v>16.70538220462026</v>
      </c>
      <c r="O760" s="12" t="n">
        <v>221.3401009052008</v>
      </c>
      <c r="P760" s="5" t="inlineStr">
        <is>
          <t>Normal</t>
        </is>
      </c>
      <c r="Q760" s="5" t="inlineStr">
        <is>
          <t>Drop</t>
        </is>
      </c>
      <c r="R760" s="12" t="n">
        <v>0.41</v>
      </c>
      <c r="S760" s="5" t="inlineStr">
        <is>
          <t>REJECTED</t>
        </is>
      </c>
      <c r="T760" s="5" t="inlineStr">
        <is>
          <t>Normal operation</t>
        </is>
      </c>
    </row>
    <row r="761" s="17">
      <c r="A761" s="7" t="n">
        <v>7130</v>
      </c>
      <c r="B761" s="8" t="n">
        <v>73791.76414499999</v>
      </c>
      <c r="C761" s="9" t="n">
        <v>73.79176414499999</v>
      </c>
      <c r="D761" s="9" t="n">
        <v>152.04926193</v>
      </c>
      <c r="E761" s="9" t="n">
        <v>30</v>
      </c>
      <c r="F761" s="10" t="n">
        <v>0.05429749531156162</v>
      </c>
      <c r="G761" s="10" t="n">
        <v>0.3602177453863416</v>
      </c>
      <c r="H761" s="10" t="n">
        <v>0.9426889784233728</v>
      </c>
      <c r="I761" s="10" t="n">
        <v>0.303978</v>
      </c>
      <c r="J761" s="5" t="inlineStr">
        <is>
          <t>Transition</t>
        </is>
      </c>
      <c r="K761" s="11" t="n">
        <v>22.78796627368625</v>
      </c>
      <c r="L761" s="12" t="n">
        <v>2.508932349747695</v>
      </c>
      <c r="M761" s="12" t="n">
        <v>2.54897784191103</v>
      </c>
      <c r="N761" s="12" t="n">
        <v>18.33131456092332</v>
      </c>
      <c r="O761" s="12" t="n">
        <v>208.5657716366239</v>
      </c>
      <c r="P761" s="5" t="inlineStr">
        <is>
          <t>Normal</t>
        </is>
      </c>
      <c r="Q761" s="5" t="inlineStr">
        <is>
          <t>Drop</t>
        </is>
      </c>
      <c r="R761" s="12" t="n">
        <v>0.9399999999999999</v>
      </c>
      <c r="S761" s="5" t="inlineStr">
        <is>
          <t>ACCEPTED</t>
        </is>
      </c>
      <c r="T761" s="5" t="inlineStr">
        <is>
          <t>High vibration detected</t>
        </is>
      </c>
    </row>
    <row r="762" s="17">
      <c r="A762" s="7" t="n">
        <v>7135</v>
      </c>
      <c r="B762" s="8" t="n">
        <v>53082.813427</v>
      </c>
      <c r="C762" s="9" t="n">
        <v>53.082813427</v>
      </c>
      <c r="D762" s="9" t="n">
        <v>150.02517094</v>
      </c>
      <c r="E762" s="9" t="n">
        <v>41.45624308</v>
      </c>
      <c r="F762" s="10" t="n">
        <v>0.0428624432871448</v>
      </c>
      <c r="G762" s="10" t="n">
        <v>0.2515770022031465</v>
      </c>
      <c r="H762" s="10" t="n">
        <v>0.9635351829430544</v>
      </c>
      <c r="I762" s="10" t="n">
        <v>0.173392</v>
      </c>
      <c r="J762" s="5" t="inlineStr">
        <is>
          <t>Transition</t>
        </is>
      </c>
      <c r="K762" s="11" t="n">
        <v>17.7031946602048</v>
      </c>
      <c r="L762" s="12" t="n">
        <v>2.75333707163439</v>
      </c>
      <c r="M762" s="12" t="n">
        <v>2.773139347959952</v>
      </c>
      <c r="N762" s="12" t="n">
        <v>14.76625320030213</v>
      </c>
      <c r="O762" s="12" t="n">
        <v>213.198217330551</v>
      </c>
      <c r="P762" s="5" t="inlineStr">
        <is>
          <t>Normal</t>
        </is>
      </c>
      <c r="Q762" s="5" t="inlineStr">
        <is>
          <t>Turn Right</t>
        </is>
      </c>
      <c r="R762" s="12" t="n">
        <v>0.66</v>
      </c>
      <c r="S762" s="5" t="inlineStr">
        <is>
          <t>REDUCED</t>
        </is>
      </c>
      <c r="T762" s="5" t="inlineStr">
        <is>
          <t>High vibration detected</t>
        </is>
      </c>
    </row>
    <row r="763" s="17">
      <c r="A763" s="7" t="n">
        <v>7140</v>
      </c>
      <c r="B763" s="8" t="n">
        <v>41515.017304</v>
      </c>
      <c r="C763" s="9" t="n">
        <v>41.515017304</v>
      </c>
      <c r="D763" s="9" t="n">
        <v>147.66280371</v>
      </c>
      <c r="E763" s="9" t="n">
        <v>61.79054486</v>
      </c>
      <c r="F763" s="10" t="n">
        <v>0.1593402396975501</v>
      </c>
      <c r="G763" s="10" t="n">
        <v>0.2901916885051323</v>
      </c>
      <c r="H763" s="10" t="n">
        <v>0.9840573597460424</v>
      </c>
      <c r="I763" s="10" t="n">
        <v>0.300205</v>
      </c>
      <c r="J763" s="5" t="inlineStr">
        <is>
          <t>Transition</t>
        </is>
      </c>
      <c r="K763" s="11" t="n">
        <v>16.27327441828142</v>
      </c>
      <c r="L763" s="12" t="n">
        <v>1.972645039705971</v>
      </c>
      <c r="M763" s="12" t="n">
        <v>2.45697592823713</v>
      </c>
      <c r="N763" s="12" t="n">
        <v>17.13180327909157</v>
      </c>
      <c r="O763" s="12" t="n">
        <v>197.5328577792642</v>
      </c>
      <c r="P763" s="5" t="inlineStr">
        <is>
          <t>Normal</t>
        </is>
      </c>
      <c r="Q763" s="5" t="inlineStr">
        <is>
          <t>Turn Right</t>
        </is>
      </c>
      <c r="R763" s="12" t="n">
        <v>0.62</v>
      </c>
      <c r="S763" s="5" t="inlineStr">
        <is>
          <t>REDUCED</t>
        </is>
      </c>
      <c r="T763" s="5" t="inlineStr">
        <is>
          <t>Normal operation</t>
        </is>
      </c>
    </row>
    <row r="764" s="17">
      <c r="A764" s="7" t="n">
        <v>7145</v>
      </c>
      <c r="B764" s="8" t="n">
        <v>71751.941802</v>
      </c>
      <c r="C764" s="9" t="n">
        <v>71.751941802</v>
      </c>
      <c r="D764" s="9" t="n">
        <v>121.00204214</v>
      </c>
      <c r="E764" s="9" t="n">
        <v>38.27622896</v>
      </c>
      <c r="F764" s="10" t="n">
        <v>0.0974157342381648</v>
      </c>
      <c r="G764" s="10" t="n">
        <v>0.3116983968702728</v>
      </c>
      <c r="H764" s="10" t="n">
        <v>0.8935284566061577</v>
      </c>
      <c r="I764" s="10" t="n">
        <v>1.0521</v>
      </c>
      <c r="J764" s="5" t="inlineStr">
        <is>
          <t>Transition</t>
        </is>
      </c>
      <c r="K764" s="11" t="n">
        <v>24.27257348859629</v>
      </c>
      <c r="L764" s="12" t="n">
        <v>1.905413792722784</v>
      </c>
      <c r="M764" s="12" t="n">
        <v>1.85</v>
      </c>
      <c r="N764" s="12" t="n">
        <v>17.6877750664382</v>
      </c>
      <c r="O764" s="12" t="n">
        <v>223.7013500864577</v>
      </c>
      <c r="P764" s="5" t="inlineStr">
        <is>
          <t>Normal</t>
        </is>
      </c>
      <c r="Q764" s="5" t="inlineStr">
        <is>
          <t>Drop</t>
        </is>
      </c>
      <c r="R764" s="12" t="n">
        <v>0.62</v>
      </c>
      <c r="S764" s="5" t="inlineStr">
        <is>
          <t>REDUCED</t>
        </is>
      </c>
      <c r="T764" s="5" t="inlineStr">
        <is>
          <t>WOB outside preferred band</t>
        </is>
      </c>
    </row>
    <row r="765" s="17">
      <c r="A765" s="7" t="n">
        <v>7150</v>
      </c>
      <c r="B765" s="8" t="n">
        <v>49159.044924</v>
      </c>
      <c r="C765" s="9" t="n">
        <v>49.159044924</v>
      </c>
      <c r="D765" s="9" t="n">
        <v>138.59901123</v>
      </c>
      <c r="E765" s="9" t="n">
        <v>64.15075086</v>
      </c>
      <c r="F765" s="10" t="n">
        <v>0.06365463590749608</v>
      </c>
      <c r="G765" s="10" t="n">
        <v>0.04535910957037553</v>
      </c>
      <c r="H765" s="10" t="n">
        <v>1</v>
      </c>
      <c r="I765" s="10" t="n">
        <v>0.001</v>
      </c>
      <c r="J765" s="5" t="inlineStr">
        <is>
          <t>Cleaner sand</t>
        </is>
      </c>
      <c r="K765" s="11" t="n">
        <v>17.46110669999364</v>
      </c>
      <c r="L765" s="12" t="n">
        <v>1.1</v>
      </c>
      <c r="M765" s="12" t="n">
        <v>3.202923427590697</v>
      </c>
      <c r="N765" s="12" t="n">
        <v>19.2648527401949</v>
      </c>
      <c r="O765" s="12" t="n">
        <v>204.7567740711313</v>
      </c>
      <c r="P765" s="5" t="inlineStr">
        <is>
          <t>Normal</t>
        </is>
      </c>
      <c r="Q765" s="5" t="inlineStr">
        <is>
          <t>Drop</t>
        </is>
      </c>
      <c r="R765" s="12" t="n">
        <v>0.63</v>
      </c>
      <c r="S765" s="5" t="inlineStr">
        <is>
          <t>REDUCED</t>
        </is>
      </c>
      <c r="T765" s="5" t="inlineStr">
        <is>
          <t>Normal operation</t>
        </is>
      </c>
    </row>
    <row r="766" s="17">
      <c r="A766" s="7" t="n">
        <v>7155</v>
      </c>
      <c r="B766" s="8" t="n">
        <v>58589.830304</v>
      </c>
      <c r="C766" s="9" t="n">
        <v>58.589830304</v>
      </c>
      <c r="D766" s="9" t="n">
        <v>135.56598581</v>
      </c>
      <c r="E766" s="9" t="n">
        <v>46.64948512</v>
      </c>
      <c r="F766" s="10" t="n">
        <v>0.154381336138984</v>
      </c>
      <c r="G766" s="10" t="n">
        <v>0.2988958976121789</v>
      </c>
      <c r="H766" s="10" t="n">
        <v>0.9120988899981914</v>
      </c>
      <c r="I766" s="10" t="n">
        <v>1.359796</v>
      </c>
      <c r="J766" s="5" t="inlineStr">
        <is>
          <t>Transition</t>
        </is>
      </c>
      <c r="K766" s="11" t="n">
        <v>20.44096531621508</v>
      </c>
      <c r="L766" s="12" t="n">
        <v>1.394089838130329</v>
      </c>
      <c r="M766" s="12" t="n">
        <v>4.382205438734338</v>
      </c>
      <c r="N766" s="12" t="n">
        <v>16.11418866664423</v>
      </c>
      <c r="O766" s="12" t="n">
        <v>200.7971089139191</v>
      </c>
      <c r="P766" s="5" t="inlineStr">
        <is>
          <t>Normal</t>
        </is>
      </c>
      <c r="Q766" s="5" t="inlineStr">
        <is>
          <t>Turn Right</t>
        </is>
      </c>
      <c r="R766" s="12" t="n">
        <v>0.53</v>
      </c>
      <c r="S766" s="5" t="inlineStr">
        <is>
          <t>REDUCED</t>
        </is>
      </c>
      <c r="T766" s="5" t="inlineStr">
        <is>
          <t>Normal operation</t>
        </is>
      </c>
    </row>
    <row r="767" s="17">
      <c r="A767" s="7" t="n">
        <v>7160</v>
      </c>
      <c r="B767" s="8" t="n">
        <v>42267.66194</v>
      </c>
      <c r="C767" s="9" t="n">
        <v>42.26766194</v>
      </c>
      <c r="D767" s="9" t="n">
        <v>143.06267577</v>
      </c>
      <c r="E767" s="9" t="n">
        <v>64.69747273999999</v>
      </c>
      <c r="F767" s="10" t="n">
        <v>0.04213860161045271</v>
      </c>
      <c r="G767" s="10" t="n">
        <v>0.1565390461243143</v>
      </c>
      <c r="H767" s="10" t="n">
        <v>0.9140972539788935</v>
      </c>
      <c r="I767" s="10" t="n">
        <v>0.400475</v>
      </c>
      <c r="J767" s="5" t="inlineStr">
        <is>
          <t>Cleaner sand</t>
        </is>
      </c>
      <c r="K767" s="11" t="n">
        <v>15.58651580445496</v>
      </c>
      <c r="L767" s="12" t="n">
        <v>1.273985961564963</v>
      </c>
      <c r="M767" s="12" t="n">
        <v>3.025591854061054</v>
      </c>
      <c r="N767" s="12" t="n">
        <v>17.05155397112541</v>
      </c>
      <c r="O767" s="12" t="n">
        <v>219.6434927503763</v>
      </c>
      <c r="P767" s="5" t="inlineStr">
        <is>
          <t>Normal</t>
        </is>
      </c>
      <c r="Q767" s="5" t="inlineStr">
        <is>
          <t>Drop</t>
        </is>
      </c>
      <c r="R767" s="12" t="n">
        <v>0.58</v>
      </c>
      <c r="S767" s="5" t="inlineStr">
        <is>
          <t>REDUCED</t>
        </is>
      </c>
      <c r="T767" s="5" t="inlineStr">
        <is>
          <t>Normal operation</t>
        </is>
      </c>
    </row>
    <row r="768" s="17">
      <c r="A768" s="7" t="n">
        <v>7165</v>
      </c>
      <c r="B768" s="8" t="n">
        <v>34784.319752</v>
      </c>
      <c r="C768" s="9" t="n">
        <v>34.784319752</v>
      </c>
      <c r="D768" s="9" t="n">
        <v>149.82514073</v>
      </c>
      <c r="E768" s="9" t="n">
        <v>64.72889022000001</v>
      </c>
      <c r="F768" s="10" t="n">
        <v>0.0622659323564785</v>
      </c>
      <c r="G768" s="10" t="n">
        <v>0.2342724709428692</v>
      </c>
      <c r="H768" s="10" t="n">
        <v>0.9009644448579581</v>
      </c>
      <c r="I768" s="10" t="n">
        <v>0.6317120000000001</v>
      </c>
      <c r="J768" s="5" t="inlineStr">
        <is>
          <t>Cleaner sand</t>
        </is>
      </c>
      <c r="K768" s="11" t="n">
        <v>14.87835526907724</v>
      </c>
      <c r="L768" s="12" t="n">
        <v>1.355784676856953</v>
      </c>
      <c r="M768" s="12" t="n">
        <v>3.223692688687177</v>
      </c>
      <c r="N768" s="12" t="n">
        <v>14.17400951153743</v>
      </c>
      <c r="O768" s="12" t="n">
        <v>189.5806333611044</v>
      </c>
      <c r="P768" s="5" t="inlineStr">
        <is>
          <t>Normal</t>
        </is>
      </c>
      <c r="Q768" s="5" t="inlineStr">
        <is>
          <t>Turn Right</t>
        </is>
      </c>
      <c r="R768" s="12" t="n">
        <v>0.9399999999999999</v>
      </c>
      <c r="S768" s="5" t="inlineStr">
        <is>
          <t>ACCEPTED</t>
        </is>
      </c>
      <c r="T768" s="5" t="inlineStr">
        <is>
          <t>Normal operation</t>
        </is>
      </c>
    </row>
    <row r="769" s="17">
      <c r="A769" s="7" t="n">
        <v>7170</v>
      </c>
      <c r="B769" s="8" t="n">
        <v>63296.60666</v>
      </c>
      <c r="C769" s="9" t="n">
        <v>63.29660665999999</v>
      </c>
      <c r="D769" s="9" t="n">
        <v>115.64477455</v>
      </c>
      <c r="E769" s="9" t="n">
        <v>30</v>
      </c>
      <c r="F769" s="10" t="n">
        <v>0.1152506163199276</v>
      </c>
      <c r="G769" s="10" t="n">
        <v>0.1243896611100804</v>
      </c>
      <c r="H769" s="10" t="n">
        <v>0.9695909245184151</v>
      </c>
      <c r="I769" s="10" t="n">
        <v>0.361174</v>
      </c>
      <c r="J769" s="5" t="inlineStr">
        <is>
          <t>Cleaner sand</t>
        </is>
      </c>
      <c r="K769" s="11" t="n">
        <v>21.92817059050312</v>
      </c>
      <c r="L769" s="12" t="n">
        <v>1.577609528893453</v>
      </c>
      <c r="M769" s="12" t="n">
        <v>3.630267554239109</v>
      </c>
      <c r="N769" s="12" t="n">
        <v>13.29876143266297</v>
      </c>
      <c r="O769" s="12" t="n">
        <v>189.1822982093251</v>
      </c>
      <c r="P769" s="5" t="inlineStr">
        <is>
          <t>Normal</t>
        </is>
      </c>
      <c r="Q769" s="5" t="inlineStr">
        <is>
          <t>Turn Right</t>
        </is>
      </c>
      <c r="R769" s="12" t="n">
        <v>0.6</v>
      </c>
      <c r="S769" s="5" t="inlineStr">
        <is>
          <t>REDUCED</t>
        </is>
      </c>
      <c r="T769" s="5" t="inlineStr">
        <is>
          <t>Normal operation</t>
        </is>
      </c>
    </row>
    <row r="770" s="17">
      <c r="A770" s="7" t="n">
        <v>7175</v>
      </c>
      <c r="B770" s="8" t="n">
        <v>62406.349306</v>
      </c>
      <c r="C770" s="9" t="n">
        <v>62.406349306</v>
      </c>
      <c r="D770" s="9" t="n">
        <v>165.92861421</v>
      </c>
      <c r="E770" s="9" t="n">
        <v>30</v>
      </c>
      <c r="F770" s="10" t="n">
        <v>0.1016220931243179</v>
      </c>
      <c r="G770" s="10" t="n">
        <v>0.1885130693832359</v>
      </c>
      <c r="H770" s="10" t="n">
        <v>0.9339109416076697</v>
      </c>
      <c r="I770" s="10" t="n">
        <v>0.713017</v>
      </c>
      <c r="J770" s="5" t="inlineStr">
        <is>
          <t>Cleaner sand</t>
        </is>
      </c>
      <c r="K770" s="11" t="n">
        <v>19.36666531615579</v>
      </c>
      <c r="L770" s="12" t="n">
        <v>1.428675616928408</v>
      </c>
      <c r="M770" s="12" t="n">
        <v>2.093227850523083</v>
      </c>
      <c r="N770" s="12" t="n">
        <v>17.39578454318749</v>
      </c>
      <c r="O770" s="12" t="n">
        <v>188.1017201970676</v>
      </c>
      <c r="P770" s="5" t="inlineStr">
        <is>
          <t>Normal</t>
        </is>
      </c>
      <c r="Q770" s="5" t="inlineStr">
        <is>
          <t>Turn Left</t>
        </is>
      </c>
      <c r="R770" s="12" t="n">
        <v>0.6899999999999999</v>
      </c>
      <c r="S770" s="5" t="inlineStr">
        <is>
          <t>REDUCED</t>
        </is>
      </c>
      <c r="T770" s="5" t="inlineStr">
        <is>
          <t>Normal operation</t>
        </is>
      </c>
    </row>
    <row r="771" s="17">
      <c r="A771" s="7" t="n">
        <v>7180</v>
      </c>
      <c r="B771" s="8" t="n">
        <v>34551.252696</v>
      </c>
      <c r="C771" s="9" t="n">
        <v>34.55125269600001</v>
      </c>
      <c r="D771" s="9" t="n">
        <v>130.28644362</v>
      </c>
      <c r="E771" s="9" t="n">
        <v>67.3508271</v>
      </c>
      <c r="F771" s="10" t="n">
        <v>0.05665852894974736</v>
      </c>
      <c r="G771" s="10" t="n">
        <v>0.2442691649705526</v>
      </c>
      <c r="H771" s="10" t="n">
        <v>0.9003506913187534</v>
      </c>
      <c r="I771" s="10" t="n">
        <v>0.593603</v>
      </c>
      <c r="J771" s="5" t="inlineStr">
        <is>
          <t>Cleaner sand</t>
        </is>
      </c>
      <c r="K771" s="11" t="n">
        <v>16.68292624545045</v>
      </c>
      <c r="L771" s="12" t="n">
        <v>1.1</v>
      </c>
      <c r="M771" s="12" t="n">
        <v>4.503299647130156</v>
      </c>
      <c r="N771" s="12" t="n">
        <v>16.17962282933017</v>
      </c>
      <c r="O771" s="12" t="n">
        <v>197.2057060048279</v>
      </c>
      <c r="P771" s="5" t="inlineStr">
        <is>
          <t>Normal</t>
        </is>
      </c>
      <c r="Q771" s="5" t="inlineStr">
        <is>
          <t>Turn Right</t>
        </is>
      </c>
      <c r="R771" s="12" t="n">
        <v>0.87</v>
      </c>
      <c r="S771" s="5" t="inlineStr">
        <is>
          <t>ACCEPTED</t>
        </is>
      </c>
      <c r="T771" s="5" t="inlineStr">
        <is>
          <t>Normal operation</t>
        </is>
      </c>
    </row>
    <row r="772" s="17">
      <c r="A772" s="7" t="n">
        <v>7185</v>
      </c>
      <c r="B772" s="8" t="n">
        <v>64783.588489</v>
      </c>
      <c r="C772" s="9" t="n">
        <v>64.783588489</v>
      </c>
      <c r="D772" s="9" t="n">
        <v>137.15950677</v>
      </c>
      <c r="E772" s="9" t="n">
        <v>48.35857832</v>
      </c>
      <c r="F772" s="10" t="n">
        <v>0.157534346496012</v>
      </c>
      <c r="G772" s="10" t="n">
        <v>0.2371090143690063</v>
      </c>
      <c r="H772" s="10" t="n">
        <v>0.9079547129105461</v>
      </c>
      <c r="I772" s="10" t="n">
        <v>1.475778</v>
      </c>
      <c r="J772" s="5" t="inlineStr">
        <is>
          <t>Cleaner sand</t>
        </is>
      </c>
      <c r="K772" s="11" t="n">
        <v>21.13861000751138</v>
      </c>
      <c r="L772" s="12" t="n">
        <v>2.026476025497591</v>
      </c>
      <c r="M772" s="12" t="n">
        <v>3.335737239255045</v>
      </c>
      <c r="N772" s="12" t="n">
        <v>17.608191064212</v>
      </c>
      <c r="O772" s="12" t="n">
        <v>201.2194584395745</v>
      </c>
      <c r="P772" s="5" t="inlineStr">
        <is>
          <t>Normal</t>
        </is>
      </c>
      <c r="Q772" s="5" t="inlineStr">
        <is>
          <t>Turn Right</t>
        </is>
      </c>
      <c r="R772" s="12" t="n">
        <v>0.6899999999999999</v>
      </c>
      <c r="S772" s="5" t="inlineStr">
        <is>
          <t>REDUCED</t>
        </is>
      </c>
      <c r="T772" s="5" t="inlineStr">
        <is>
          <t>Normal operation</t>
        </is>
      </c>
    </row>
    <row r="773" s="17">
      <c r="A773" s="7" t="n">
        <v>7190</v>
      </c>
      <c r="B773" s="8" t="n">
        <v>69036.785923</v>
      </c>
      <c r="C773" s="9" t="n">
        <v>69.036785923</v>
      </c>
      <c r="D773" s="9" t="n">
        <v>101.23960789</v>
      </c>
      <c r="E773" s="9" t="n">
        <v>52.7624326</v>
      </c>
      <c r="F773" s="10" t="n">
        <v>0.0815377857678365</v>
      </c>
      <c r="G773" s="10" t="n">
        <v>0.2246010076276646</v>
      </c>
      <c r="H773" s="10" t="n">
        <v>0.9040111547699217</v>
      </c>
      <c r="I773" s="10" t="n">
        <v>0.820441</v>
      </c>
      <c r="J773" s="5" t="inlineStr">
        <is>
          <t>Cleaner sand</t>
        </is>
      </c>
      <c r="K773" s="11" t="n">
        <v>20.65064628782955</v>
      </c>
      <c r="L773" s="12" t="n">
        <v>1.134355917387495</v>
      </c>
      <c r="M773" s="12" t="n">
        <v>4.511934445500067</v>
      </c>
      <c r="N773" s="12" t="n">
        <v>14.17997416821476</v>
      </c>
      <c r="O773" s="12" t="n">
        <v>203.5197432958419</v>
      </c>
      <c r="P773" s="5" t="inlineStr">
        <is>
          <t>Normal</t>
        </is>
      </c>
      <c r="Q773" s="5" t="inlineStr">
        <is>
          <t>Turn Right</t>
        </is>
      </c>
      <c r="R773" s="12" t="n">
        <v>0.58</v>
      </c>
      <c r="S773" s="5" t="inlineStr">
        <is>
          <t>REDUCED</t>
        </is>
      </c>
      <c r="T773" s="5" t="inlineStr">
        <is>
          <t>Normal operation</t>
        </is>
      </c>
    </row>
    <row r="774" s="17">
      <c r="A774" s="7" t="n">
        <v>7195</v>
      </c>
      <c r="B774" s="8" t="n">
        <v>36322.848789</v>
      </c>
      <c r="C774" s="9" t="n">
        <v>36.32284878900001</v>
      </c>
      <c r="D774" s="9" t="n">
        <v>143.27701483</v>
      </c>
      <c r="E774" s="9" t="n">
        <v>56.04331738</v>
      </c>
      <c r="F774" s="10" t="n">
        <v>0.04094487757334173</v>
      </c>
      <c r="G774" s="10" t="n">
        <v>0.1596182241831957</v>
      </c>
      <c r="H774" s="10" t="n">
        <v>0.9755301699011798</v>
      </c>
      <c r="I774" s="10" t="n">
        <v>0.131526</v>
      </c>
      <c r="J774" s="5" t="inlineStr">
        <is>
          <t>Cleaner sand</t>
        </is>
      </c>
      <c r="K774" s="11" t="n">
        <v>15.82872026217649</v>
      </c>
      <c r="L774" s="12" t="n">
        <v>1.777230963414463</v>
      </c>
      <c r="M774" s="12" t="n">
        <v>2.652583531308759</v>
      </c>
      <c r="N774" s="12" t="n">
        <v>16.5305440616642</v>
      </c>
      <c r="O774" s="12" t="n">
        <v>221.2662165955351</v>
      </c>
      <c r="P774" s="5" t="inlineStr">
        <is>
          <t>Normal</t>
        </is>
      </c>
      <c r="Q774" s="5" t="inlineStr">
        <is>
          <t>Drop</t>
        </is>
      </c>
      <c r="R774" s="12" t="n">
        <v>0.6899999999999999</v>
      </c>
      <c r="S774" s="5" t="inlineStr">
        <is>
          <t>REDUCED</t>
        </is>
      </c>
      <c r="T774" s="5" t="inlineStr">
        <is>
          <t>Normal operation</t>
        </is>
      </c>
    </row>
    <row r="775" s="17">
      <c r="A775" s="7" t="n">
        <v>7200</v>
      </c>
      <c r="B775" s="8" t="n">
        <v>65931.056661</v>
      </c>
      <c r="C775" s="9" t="n">
        <v>65.931056661</v>
      </c>
      <c r="D775" s="9" t="n">
        <v>136.35235103</v>
      </c>
      <c r="E775" s="9" t="n">
        <v>32.33042782</v>
      </c>
      <c r="F775" s="10" t="n">
        <v>0.1332892646642503</v>
      </c>
      <c r="G775" s="10" t="n">
        <v>0.3346037746068548</v>
      </c>
      <c r="H775" s="10" t="n">
        <v>0.9353492236171274</v>
      </c>
      <c r="I775" s="10" t="n">
        <v>0.909236</v>
      </c>
      <c r="J775" s="5" t="inlineStr">
        <is>
          <t>Transition</t>
        </is>
      </c>
      <c r="K775" s="11" t="n">
        <v>21.61445673471436</v>
      </c>
      <c r="L775" s="12" t="n">
        <v>2.676300508177487</v>
      </c>
      <c r="M775" s="12" t="n">
        <v>4.726004580338282</v>
      </c>
      <c r="N775" s="12" t="n">
        <v>18.1734078293852</v>
      </c>
      <c r="O775" s="12" t="n">
        <v>180</v>
      </c>
      <c r="P775" s="5" t="inlineStr">
        <is>
          <t>Normal</t>
        </is>
      </c>
      <c r="Q775" s="5" t="inlineStr">
        <is>
          <t>Drop</t>
        </is>
      </c>
      <c r="R775" s="12" t="n">
        <v>0.46</v>
      </c>
      <c r="S775" s="5" t="inlineStr">
        <is>
          <t>REJECTED</t>
        </is>
      </c>
      <c r="T775" s="5" t="inlineStr">
        <is>
          <t>High vibration detected</t>
        </is>
      </c>
    </row>
    <row r="776" s="17">
      <c r="A776" s="7" t="n">
        <v>7205</v>
      </c>
      <c r="B776" s="8" t="n">
        <v>70649.171781</v>
      </c>
      <c r="C776" s="9" t="n">
        <v>70.64917178099999</v>
      </c>
      <c r="D776" s="9" t="n">
        <v>156.82154002</v>
      </c>
      <c r="E776" s="9" t="n">
        <v>30</v>
      </c>
      <c r="F776" s="10" t="n">
        <v>0.06951145000586904</v>
      </c>
      <c r="G776" s="10" t="n">
        <v>0.2455860272972974</v>
      </c>
      <c r="H776" s="10" t="n">
        <v>0.9559611052155425</v>
      </c>
      <c r="I776" s="10" t="n">
        <v>0.312745</v>
      </c>
      <c r="J776" s="5" t="inlineStr">
        <is>
          <t>Cleaner sand</t>
        </is>
      </c>
      <c r="K776" s="11" t="n">
        <v>22.13147565616515</v>
      </c>
      <c r="L776" s="12" t="n">
        <v>1.209501550122652</v>
      </c>
      <c r="M776" s="12" t="n">
        <v>3.924206501882499</v>
      </c>
      <c r="N776" s="12" t="n">
        <v>16.17883528394403</v>
      </c>
      <c r="O776" s="12" t="n">
        <v>201.0966615045132</v>
      </c>
      <c r="P776" s="5" t="inlineStr">
        <is>
          <t>Normal</t>
        </is>
      </c>
      <c r="Q776" s="5" t="inlineStr">
        <is>
          <t>Turn Right</t>
        </is>
      </c>
      <c r="R776" s="12" t="n">
        <v>0.47</v>
      </c>
      <c r="S776" s="5" t="inlineStr">
        <is>
          <t>REJECTED</t>
        </is>
      </c>
      <c r="T776" s="5" t="inlineStr">
        <is>
          <t>WOB outside preferred band</t>
        </is>
      </c>
    </row>
    <row r="777" s="17">
      <c r="A777" s="7" t="n">
        <v>7210</v>
      </c>
      <c r="B777" s="8" t="n">
        <v>41395.584723</v>
      </c>
      <c r="C777" s="9" t="n">
        <v>41.395584723</v>
      </c>
      <c r="D777" s="9" t="n">
        <v>136.92116026</v>
      </c>
      <c r="E777" s="9" t="n">
        <v>52.3319654</v>
      </c>
      <c r="F777" s="10" t="n">
        <v>0.05272099926535741</v>
      </c>
      <c r="G777" s="10" t="n">
        <v>0.2979479072784231</v>
      </c>
      <c r="H777" s="10" t="n">
        <v>0.8654537639142822</v>
      </c>
      <c r="I777" s="10" t="n">
        <v>0.709188</v>
      </c>
      <c r="J777" s="5" t="inlineStr">
        <is>
          <t>Transition</t>
        </is>
      </c>
      <c r="K777" s="11" t="n">
        <v>14.55907364914098</v>
      </c>
      <c r="L777" s="12" t="n">
        <v>1.1</v>
      </c>
      <c r="M777" s="12" t="n">
        <v>3.779021027431293</v>
      </c>
      <c r="N777" s="12" t="n">
        <v>15.88204730674934</v>
      </c>
      <c r="O777" s="12" t="n">
        <v>189.4793531798265</v>
      </c>
      <c r="P777" s="5" t="inlineStr">
        <is>
          <t>Normal</t>
        </is>
      </c>
      <c r="Q777" s="5" t="inlineStr">
        <is>
          <t>Turn Right</t>
        </is>
      </c>
      <c r="R777" s="12" t="n">
        <v>0.78</v>
      </c>
      <c r="S777" s="5" t="inlineStr">
        <is>
          <t>ACCEPTED</t>
        </is>
      </c>
      <c r="T777" s="5" t="inlineStr">
        <is>
          <t>Normal operation</t>
        </is>
      </c>
    </row>
    <row r="778" s="17">
      <c r="A778" s="7" t="n">
        <v>7215</v>
      </c>
      <c r="B778" s="8" t="n">
        <v>43018.323011</v>
      </c>
      <c r="C778" s="9" t="n">
        <v>43.018323011</v>
      </c>
      <c r="D778" s="9" t="n">
        <v>131.27692339</v>
      </c>
      <c r="E778" s="9" t="n">
        <v>30</v>
      </c>
      <c r="F778" s="10" t="n">
        <v>0.1077998751978684</v>
      </c>
      <c r="G778" s="10" t="n">
        <v>0.3009383105483842</v>
      </c>
      <c r="H778" s="10" t="n">
        <v>0.9137126977053018</v>
      </c>
      <c r="I778" s="10" t="n">
        <v>0.933093</v>
      </c>
      <c r="J778" s="5" t="inlineStr">
        <is>
          <t>Transition</t>
        </is>
      </c>
      <c r="K778" s="11" t="n">
        <v>15.70061785919887</v>
      </c>
      <c r="L778" s="12" t="n">
        <v>1.519857931278746</v>
      </c>
      <c r="M778" s="12" t="n">
        <v>3.556293001335728</v>
      </c>
      <c r="N778" s="12" t="n">
        <v>15.422887610954</v>
      </c>
      <c r="O778" s="12" t="n">
        <v>189.4344561704599</v>
      </c>
      <c r="P778" s="5" t="inlineStr">
        <is>
          <t>Normal</t>
        </is>
      </c>
      <c r="Q778" s="5" t="inlineStr">
        <is>
          <t>Turn Right</t>
        </is>
      </c>
      <c r="R778" s="12" t="n">
        <v>0.9</v>
      </c>
      <c r="S778" s="5" t="inlineStr">
        <is>
          <t>ACCEPTED</t>
        </is>
      </c>
      <c r="T778" s="5" t="inlineStr">
        <is>
          <t>Normal operation</t>
        </is>
      </c>
    </row>
    <row r="779" s="17">
      <c r="A779" s="7" t="n">
        <v>7220</v>
      </c>
      <c r="B779" s="8" t="n">
        <v>73753.607841</v>
      </c>
      <c r="C779" s="9" t="n">
        <v>73.753607841</v>
      </c>
      <c r="D779" s="9" t="n">
        <v>146.7128395</v>
      </c>
      <c r="E779" s="9" t="n">
        <v>48.82621694</v>
      </c>
      <c r="F779" s="10" t="n">
        <v>0.1012396688382732</v>
      </c>
      <c r="G779" s="10" t="n">
        <v>0.2730931315942597</v>
      </c>
      <c r="H779" s="10" t="n">
        <v>0.9041862136473565</v>
      </c>
      <c r="I779" s="10" t="n">
        <v>0.971665</v>
      </c>
      <c r="J779" s="5" t="inlineStr">
        <is>
          <t>Transition</t>
        </is>
      </c>
      <c r="K779" s="11" t="n">
        <v>21.83311998921687</v>
      </c>
      <c r="L779" s="12" t="n">
        <v>2.1994702211493</v>
      </c>
      <c r="M779" s="12" t="n">
        <v>3.20271049027064</v>
      </c>
      <c r="N779" s="12" t="n">
        <v>13.25889216802005</v>
      </c>
      <c r="O779" s="12" t="n">
        <v>189.5546982751894</v>
      </c>
      <c r="P779" s="5" t="inlineStr">
        <is>
          <t>Normal</t>
        </is>
      </c>
      <c r="Q779" s="5" t="inlineStr">
        <is>
          <t>Turn Right</t>
        </is>
      </c>
      <c r="R779" s="12" t="n">
        <v>0.8</v>
      </c>
      <c r="S779" s="5" t="inlineStr">
        <is>
          <t>ACCEPTED</t>
        </is>
      </c>
      <c r="T779" s="5" t="inlineStr">
        <is>
          <t>WOB outside preferred band</t>
        </is>
      </c>
    </row>
    <row r="780" s="17">
      <c r="A780" s="7" t="n">
        <v>7225</v>
      </c>
      <c r="B780" s="8" t="n">
        <v>50942.116636</v>
      </c>
      <c r="C780" s="9" t="n">
        <v>50.942116636</v>
      </c>
      <c r="D780" s="9" t="n">
        <v>127.52256801</v>
      </c>
      <c r="E780" s="9" t="n">
        <v>57.17848356</v>
      </c>
      <c r="F780" s="10" t="n">
        <v>0.04938437263120192</v>
      </c>
      <c r="G780" s="10" t="n">
        <v>0.04803708940474748</v>
      </c>
      <c r="H780" s="10" t="n">
        <v>0.8863630984810762</v>
      </c>
      <c r="I780" s="10" t="n">
        <v>0.563575</v>
      </c>
      <c r="J780" s="5" t="inlineStr">
        <is>
          <t>Cleaner sand</t>
        </is>
      </c>
      <c r="K780" s="11" t="n">
        <v>17.81067862080207</v>
      </c>
      <c r="L780" s="12" t="n">
        <v>2.619590252568091</v>
      </c>
      <c r="M780" s="12" t="n">
        <v>4.394391968554251</v>
      </c>
      <c r="N780" s="12" t="n">
        <v>16.95255623510858</v>
      </c>
      <c r="O780" s="12" t="n">
        <v>187.323057558633</v>
      </c>
      <c r="P780" s="5" t="inlineStr">
        <is>
          <t>Normal</t>
        </is>
      </c>
      <c r="Q780" s="5" t="inlineStr">
        <is>
          <t>Turn Right</t>
        </is>
      </c>
      <c r="R780" s="12" t="n">
        <v>0.44</v>
      </c>
      <c r="S780" s="5" t="inlineStr">
        <is>
          <t>REJECTED</t>
        </is>
      </c>
      <c r="T780" s="5" t="inlineStr">
        <is>
          <t>High vibration detected</t>
        </is>
      </c>
    </row>
    <row r="781" s="17">
      <c r="A781" s="7" t="n">
        <v>7230</v>
      </c>
      <c r="B781" s="8" t="n">
        <v>48413.115583</v>
      </c>
      <c r="C781" s="9" t="n">
        <v>48.413115583</v>
      </c>
      <c r="D781" s="9" t="n">
        <v>115.03305926</v>
      </c>
      <c r="E781" s="9" t="n">
        <v>32.12061278</v>
      </c>
      <c r="F781" s="10" t="n">
        <v>0.1163323336568196</v>
      </c>
      <c r="G781" s="10" t="n">
        <v>0.1121089186040202</v>
      </c>
      <c r="H781" s="10" t="n">
        <v>0.9557746585448645</v>
      </c>
      <c r="I781" s="10" t="n">
        <v>0.560994</v>
      </c>
      <c r="J781" s="5" t="inlineStr">
        <is>
          <t>Cleaner sand</t>
        </is>
      </c>
      <c r="K781" s="11" t="n">
        <v>18.04064615930582</v>
      </c>
      <c r="L781" s="12" t="n">
        <v>1.1</v>
      </c>
      <c r="M781" s="12" t="n">
        <v>3.578658949035348</v>
      </c>
      <c r="N781" s="12" t="n">
        <v>14.28546984333992</v>
      </c>
      <c r="O781" s="12" t="n">
        <v>214.1169157399957</v>
      </c>
      <c r="P781" s="5" t="inlineStr">
        <is>
          <t>Normal</t>
        </is>
      </c>
      <c r="Q781" s="5" t="inlineStr">
        <is>
          <t>Turn Right</t>
        </is>
      </c>
      <c r="R781" s="12" t="n">
        <v>0.62</v>
      </c>
      <c r="S781" s="5" t="inlineStr">
        <is>
          <t>REDUCED</t>
        </is>
      </c>
      <c r="T781" s="5" t="inlineStr">
        <is>
          <t>Normal operation</t>
        </is>
      </c>
    </row>
    <row r="782" s="17">
      <c r="A782" s="7" t="n">
        <v>7235</v>
      </c>
      <c r="B782" s="8" t="n">
        <v>69162.095782</v>
      </c>
      <c r="C782" s="9" t="n">
        <v>69.16209578200001</v>
      </c>
      <c r="D782" s="9" t="n">
        <v>146.73553559</v>
      </c>
      <c r="E782" s="9" t="n">
        <v>40.48472594</v>
      </c>
      <c r="F782" s="10" t="n">
        <v>0.04874288836903425</v>
      </c>
      <c r="G782" s="10" t="n">
        <v>0.2546902354044505</v>
      </c>
      <c r="H782" s="10" t="n">
        <v>0.9755877339963916</v>
      </c>
      <c r="I782" s="10" t="n">
        <v>0.152752</v>
      </c>
      <c r="J782" s="5" t="inlineStr">
        <is>
          <t>Transition</t>
        </is>
      </c>
      <c r="K782" s="11" t="n">
        <v>21.41386125779331</v>
      </c>
      <c r="L782" s="12" t="n">
        <v>1.903382619385896</v>
      </c>
      <c r="M782" s="12" t="n">
        <v>1.925088702091951</v>
      </c>
      <c r="N782" s="12" t="n">
        <v>15.62468636478581</v>
      </c>
      <c r="O782" s="12" t="n">
        <v>206.7555895016745</v>
      </c>
      <c r="P782" s="5" t="inlineStr">
        <is>
          <t>Normal</t>
        </is>
      </c>
      <c r="Q782" s="5" t="inlineStr">
        <is>
          <t>Turn Right</t>
        </is>
      </c>
      <c r="R782" s="12" t="n">
        <v>0.4</v>
      </c>
      <c r="S782" s="5" t="inlineStr">
        <is>
          <t>REJECTED</t>
        </is>
      </c>
      <c r="T782" s="5" t="inlineStr">
        <is>
          <t>Normal operation</t>
        </is>
      </c>
    </row>
    <row r="783" s="17">
      <c r="A783" s="7" t="n">
        <v>7240</v>
      </c>
      <c r="B783" s="8" t="n">
        <v>53163.030121</v>
      </c>
      <c r="C783" s="9" t="n">
        <v>53.16303012100001</v>
      </c>
      <c r="D783" s="9" t="n">
        <v>137.48518849</v>
      </c>
      <c r="E783" s="9" t="n">
        <v>56.90882164</v>
      </c>
      <c r="F783" s="10" t="n">
        <v>0.06887377615052642</v>
      </c>
      <c r="G783" s="10" t="n">
        <v>0.0743933490507893</v>
      </c>
      <c r="H783" s="10" t="n">
        <v>0.9570268232597924</v>
      </c>
      <c r="I783" s="10" t="n">
        <v>0.288583</v>
      </c>
      <c r="J783" s="5" t="inlineStr">
        <is>
          <t>Cleaner sand</t>
        </is>
      </c>
      <c r="K783" s="11" t="n">
        <v>16.958241712599</v>
      </c>
      <c r="L783" s="12" t="n">
        <v>1.431997876177774</v>
      </c>
      <c r="M783" s="12" t="n">
        <v>2.637335555970577</v>
      </c>
      <c r="N783" s="12" t="n">
        <v>12.82618688934664</v>
      </c>
      <c r="O783" s="12" t="n">
        <v>199.8224270513647</v>
      </c>
      <c r="P783" s="5" t="inlineStr">
        <is>
          <t>Normal</t>
        </is>
      </c>
      <c r="Q783" s="5" t="inlineStr">
        <is>
          <t>Turn Right</t>
        </is>
      </c>
      <c r="R783" s="12" t="n">
        <v>0.68</v>
      </c>
      <c r="S783" s="5" t="inlineStr">
        <is>
          <t>REDUCED</t>
        </is>
      </c>
      <c r="T783" s="5" t="inlineStr">
        <is>
          <t>Normal operation</t>
        </is>
      </c>
    </row>
    <row r="784" s="17">
      <c r="A784" s="7" t="n">
        <v>7245</v>
      </c>
      <c r="B784" s="8" t="n">
        <v>35098.973602</v>
      </c>
      <c r="C784" s="9" t="n">
        <v>35.098973602</v>
      </c>
      <c r="D784" s="9" t="n">
        <v>128.8380465</v>
      </c>
      <c r="E784" s="9" t="n">
        <v>44.09704242</v>
      </c>
      <c r="F784" s="10" t="n">
        <v>0.1347048404247569</v>
      </c>
      <c r="G784" s="10" t="n">
        <v>0.1481897199124937</v>
      </c>
      <c r="H784" s="10" t="n">
        <v>0.9414959509488655</v>
      </c>
      <c r="I784" s="10" t="n">
        <v>0.800366</v>
      </c>
      <c r="J784" s="5" t="inlineStr">
        <is>
          <t>Cleaner sand</t>
        </is>
      </c>
      <c r="K784" s="11" t="n">
        <v>15.35141325858841</v>
      </c>
      <c r="L784" s="12" t="n">
        <v>1.608085306390973</v>
      </c>
      <c r="M784" s="12" t="n">
        <v>3.414713082876534</v>
      </c>
      <c r="N784" s="12" t="n">
        <v>13.21410728043054</v>
      </c>
      <c r="O784" s="12" t="n">
        <v>214.551662957083</v>
      </c>
      <c r="P784" s="5" t="inlineStr">
        <is>
          <t>Normal</t>
        </is>
      </c>
      <c r="Q784" s="5" t="inlineStr">
        <is>
          <t>Turn Right</t>
        </is>
      </c>
      <c r="R784" s="12" t="n">
        <v>0.51</v>
      </c>
      <c r="S784" s="5" t="inlineStr">
        <is>
          <t>REDUCED</t>
        </is>
      </c>
      <c r="T784" s="5" t="inlineStr">
        <is>
          <t>Normal operation</t>
        </is>
      </c>
    </row>
    <row r="785" s="17">
      <c r="A785" s="7" t="n">
        <v>7250</v>
      </c>
      <c r="B785" s="8" t="n">
        <v>57686.055944</v>
      </c>
      <c r="C785" s="9" t="n">
        <v>57.686055944</v>
      </c>
      <c r="D785" s="9" t="n">
        <v>124.93348576</v>
      </c>
      <c r="E785" s="9" t="n">
        <v>40.19433606</v>
      </c>
      <c r="F785" s="10" t="n">
        <v>0.04997971049608367</v>
      </c>
      <c r="G785" s="10" t="n">
        <v>0.3571863040949433</v>
      </c>
      <c r="H785" s="10" t="n">
        <v>0.9138110869701547</v>
      </c>
      <c r="I785" s="10" t="n">
        <v>0.446985</v>
      </c>
      <c r="J785" s="5" t="inlineStr">
        <is>
          <t>Transition</t>
        </is>
      </c>
      <c r="K785" s="11" t="n">
        <v>19.73605408455458</v>
      </c>
      <c r="L785" s="12" t="n">
        <v>2.955728240038347</v>
      </c>
      <c r="M785" s="12" t="n">
        <v>3.84365638207454</v>
      </c>
      <c r="N785" s="12" t="n">
        <v>16.50229181968095</v>
      </c>
      <c r="O785" s="12" t="n">
        <v>187.5561554348745</v>
      </c>
      <c r="P785" s="5" t="inlineStr">
        <is>
          <t>Normal</t>
        </is>
      </c>
      <c r="Q785" s="5" t="inlineStr">
        <is>
          <t>Turn Right</t>
        </is>
      </c>
      <c r="R785" s="12" t="n">
        <v>0.88</v>
      </c>
      <c r="S785" s="5" t="inlineStr">
        <is>
          <t>ACCEPTED</t>
        </is>
      </c>
      <c r="T785" s="5" t="inlineStr">
        <is>
          <t>High vibration detected</t>
        </is>
      </c>
    </row>
    <row r="786" s="17">
      <c r="A786" s="7" t="n">
        <v>7255</v>
      </c>
      <c r="B786" s="8" t="n">
        <v>36076.816954</v>
      </c>
      <c r="C786" s="9" t="n">
        <v>36.076816954</v>
      </c>
      <c r="D786" s="9" t="n">
        <v>135.70457334</v>
      </c>
      <c r="E786" s="9" t="n">
        <v>70.61436642</v>
      </c>
      <c r="F786" s="10" t="n">
        <v>0.05459850332606703</v>
      </c>
      <c r="G786" s="10" t="n">
        <v>0.0515695721205842</v>
      </c>
      <c r="H786" s="10" t="n">
        <v>0.9642991352361532</v>
      </c>
      <c r="I786" s="10" t="n">
        <v>0.228054</v>
      </c>
      <c r="J786" s="5" t="inlineStr">
        <is>
          <t>Cleaner sand</t>
        </is>
      </c>
      <c r="K786" s="11" t="n">
        <v>15.71085239568501</v>
      </c>
      <c r="L786" s="12" t="n">
        <v>1.1</v>
      </c>
      <c r="M786" s="12" t="n">
        <v>3.582614322136304</v>
      </c>
      <c r="N786" s="12" t="n">
        <v>14.07445858144822</v>
      </c>
      <c r="O786" s="12" t="n">
        <v>191.1983913557233</v>
      </c>
      <c r="P786" s="5" t="inlineStr">
        <is>
          <t>Normal</t>
        </is>
      </c>
      <c r="Q786" s="5" t="inlineStr">
        <is>
          <t>Turn Right</t>
        </is>
      </c>
      <c r="R786" s="12" t="n">
        <v>0.46</v>
      </c>
      <c r="S786" s="5" t="inlineStr">
        <is>
          <t>REJECTED</t>
        </is>
      </c>
      <c r="T786" s="5" t="inlineStr">
        <is>
          <t>Normal operation</t>
        </is>
      </c>
    </row>
    <row r="787" s="17">
      <c r="A787" s="7" t="n">
        <v>7260</v>
      </c>
      <c r="B787" s="8" t="n">
        <v>41995.788705</v>
      </c>
      <c r="C787" s="9" t="n">
        <v>41.995788705</v>
      </c>
      <c r="D787" s="9" t="n">
        <v>143.93878036</v>
      </c>
      <c r="E787" s="9" t="n">
        <v>40.08284968</v>
      </c>
      <c r="F787" s="10" t="n">
        <v>0.1058495935885927</v>
      </c>
      <c r="G787" s="10" t="n">
        <v>0.3298639253301335</v>
      </c>
      <c r="H787" s="10" t="n">
        <v>0.8756048829957123</v>
      </c>
      <c r="I787" s="10" t="n">
        <v>1.336736</v>
      </c>
      <c r="J787" s="5" t="inlineStr">
        <is>
          <t>Transition</t>
        </is>
      </c>
      <c r="K787" s="11" t="n">
        <v>17.32046958743861</v>
      </c>
      <c r="L787" s="12" t="n">
        <v>1.784332434132341</v>
      </c>
      <c r="M787" s="12" t="n">
        <v>4.635247927425731</v>
      </c>
      <c r="N787" s="12" t="n">
        <v>16.30448303235012</v>
      </c>
      <c r="O787" s="12" t="n">
        <v>184.7284336747644</v>
      </c>
      <c r="P787" s="5" t="inlineStr">
        <is>
          <t>Normal</t>
        </is>
      </c>
      <c r="Q787" s="5" t="inlineStr">
        <is>
          <t>Turn Right</t>
        </is>
      </c>
      <c r="R787" s="12" t="n">
        <v>0.4</v>
      </c>
      <c r="S787" s="5" t="inlineStr">
        <is>
          <t>REJECTED</t>
        </is>
      </c>
      <c r="T787" s="5" t="inlineStr">
        <is>
          <t>Normal operation</t>
        </is>
      </c>
    </row>
    <row r="788" s="17">
      <c r="A788" s="7" t="n">
        <v>7265</v>
      </c>
      <c r="B788" s="8" t="n">
        <v>74476.847169</v>
      </c>
      <c r="C788" s="9" t="n">
        <v>74.476847169</v>
      </c>
      <c r="D788" s="9" t="n">
        <v>100.51413212</v>
      </c>
      <c r="E788" s="9" t="n">
        <v>51.36037118</v>
      </c>
      <c r="F788" s="10" t="n">
        <v>0.1128729548829726</v>
      </c>
      <c r="G788" s="10" t="n">
        <v>0.273045144941847</v>
      </c>
      <c r="H788" s="10" t="n">
        <v>0.9253695727303485</v>
      </c>
      <c r="I788" s="10" t="n">
        <v>0.868366</v>
      </c>
      <c r="J788" s="5" t="inlineStr">
        <is>
          <t>Transition</t>
        </is>
      </c>
      <c r="K788" s="11" t="n">
        <v>23.04758013317466</v>
      </c>
      <c r="L788" s="12" t="n">
        <v>1.889169654165062</v>
      </c>
      <c r="M788" s="12" t="n">
        <v>2.131332111906766</v>
      </c>
      <c r="N788" s="12" t="n">
        <v>14.20279841312013</v>
      </c>
      <c r="O788" s="12" t="n">
        <v>201.6893897863955</v>
      </c>
      <c r="P788" s="5" t="inlineStr">
        <is>
          <t>Normal</t>
        </is>
      </c>
      <c r="Q788" s="5" t="inlineStr">
        <is>
          <t>Turn Right</t>
        </is>
      </c>
      <c r="R788" s="12" t="n">
        <v>0.65</v>
      </c>
      <c r="S788" s="5" t="inlineStr">
        <is>
          <t>REDUCED</t>
        </is>
      </c>
      <c r="T788" s="5" t="inlineStr">
        <is>
          <t>WOB outside preferred band</t>
        </is>
      </c>
    </row>
    <row r="789" s="17">
      <c r="A789" s="7" t="n">
        <v>7270</v>
      </c>
      <c r="B789" s="8" t="n">
        <v>50257.491862</v>
      </c>
      <c r="C789" s="9" t="n">
        <v>50.257491862</v>
      </c>
      <c r="D789" s="9" t="n">
        <v>142.94573934</v>
      </c>
      <c r="E789" s="9" t="n">
        <v>48.58637842</v>
      </c>
      <c r="F789" s="10" t="n">
        <v>0.03249001752677157</v>
      </c>
      <c r="G789" s="10" t="n">
        <v>0.2512789083798983</v>
      </c>
      <c r="H789" s="10" t="n">
        <v>0.9367260274717971</v>
      </c>
      <c r="I789" s="10" t="n">
        <v>0.246136</v>
      </c>
      <c r="J789" s="5" t="inlineStr">
        <is>
          <t>Transition</t>
        </is>
      </c>
      <c r="K789" s="11" t="n">
        <v>18.2183748268676</v>
      </c>
      <c r="L789" s="12" t="n">
        <v>2.19203529922028</v>
      </c>
      <c r="M789" s="12" t="n">
        <v>3.83918024860915</v>
      </c>
      <c r="N789" s="12" t="n">
        <v>11.79930452145236</v>
      </c>
      <c r="O789" s="12" t="n">
        <v>212.6422753909155</v>
      </c>
      <c r="P789" s="5" t="inlineStr">
        <is>
          <t>Normal</t>
        </is>
      </c>
      <c r="Q789" s="5" t="inlineStr">
        <is>
          <t>Turn Right</t>
        </is>
      </c>
      <c r="R789" s="12" t="n">
        <v>0.49</v>
      </c>
      <c r="S789" s="5" t="inlineStr">
        <is>
          <t>REJECTED</t>
        </is>
      </c>
      <c r="T789" s="5" t="inlineStr">
        <is>
          <t>Normal operation</t>
        </is>
      </c>
    </row>
    <row r="790" s="17">
      <c r="A790" s="7" t="n">
        <v>7275</v>
      </c>
      <c r="B790" s="8" t="n">
        <v>48889.582965</v>
      </c>
      <c r="C790" s="9" t="n">
        <v>48.889582965</v>
      </c>
      <c r="D790" s="9" t="n">
        <v>136.65427801</v>
      </c>
      <c r="E790" s="9" t="n">
        <v>42.37747536</v>
      </c>
      <c r="F790" s="10" t="n">
        <v>0.1121690608935094</v>
      </c>
      <c r="G790" s="10" t="n">
        <v>0.3478731838175652</v>
      </c>
      <c r="H790" s="10" t="n">
        <v>0.9107354947103019</v>
      </c>
      <c r="I790" s="10" t="n">
        <v>1.018389</v>
      </c>
      <c r="J790" s="5" t="inlineStr">
        <is>
          <t>Transition</t>
        </is>
      </c>
      <c r="K790" s="11" t="n">
        <v>17.43744100636765</v>
      </c>
      <c r="L790" s="12" t="n">
        <v>1.708011745200739</v>
      </c>
      <c r="M790" s="12" t="n">
        <v>2.301974670649677</v>
      </c>
      <c r="N790" s="12" t="n">
        <v>15.2427328623502</v>
      </c>
      <c r="O790" s="12" t="n">
        <v>214.5550452087832</v>
      </c>
      <c r="P790" s="5" t="inlineStr">
        <is>
          <t>Normal</t>
        </is>
      </c>
      <c r="Q790" s="5" t="inlineStr">
        <is>
          <t>Drop</t>
        </is>
      </c>
      <c r="R790" s="12" t="n">
        <v>0.8100000000000001</v>
      </c>
      <c r="S790" s="5" t="inlineStr">
        <is>
          <t>ACCEPTED</t>
        </is>
      </c>
      <c r="T790" s="5" t="inlineStr">
        <is>
          <t>Normal operation</t>
        </is>
      </c>
    </row>
    <row r="791" s="17">
      <c r="A791" s="7" t="n">
        <v>7280</v>
      </c>
      <c r="B791" s="8" t="n">
        <v>66954.88710000001</v>
      </c>
      <c r="C791" s="9" t="n">
        <v>66.95488710000001</v>
      </c>
      <c r="D791" s="9" t="n">
        <v>108.38491484</v>
      </c>
      <c r="E791" s="9" t="n">
        <v>30</v>
      </c>
      <c r="F791" s="10" t="n">
        <v>0.1059975548410417</v>
      </c>
      <c r="G791" s="10" t="n">
        <v>0.2880322827752313</v>
      </c>
      <c r="H791" s="10" t="n">
        <v>0.843913816557453</v>
      </c>
      <c r="I791" s="10" t="n">
        <v>1.638963</v>
      </c>
      <c r="J791" s="5" t="inlineStr">
        <is>
          <t>Transition</t>
        </is>
      </c>
      <c r="K791" s="11" t="n">
        <v>19.16924591160145</v>
      </c>
      <c r="L791" s="12" t="n">
        <v>1.81094476435701</v>
      </c>
      <c r="M791" s="12" t="n">
        <v>4.39612576395484</v>
      </c>
      <c r="N791" s="12" t="n">
        <v>13.17777666511839</v>
      </c>
      <c r="O791" s="12" t="n">
        <v>217.6730750085063</v>
      </c>
      <c r="P791" s="5" t="inlineStr">
        <is>
          <t>Normal</t>
        </is>
      </c>
      <c r="Q791" s="5" t="inlineStr">
        <is>
          <t>Turn Right</t>
        </is>
      </c>
      <c r="R791" s="12" t="n">
        <v>0.91</v>
      </c>
      <c r="S791" s="5" t="inlineStr">
        <is>
          <t>ACCEPTED</t>
        </is>
      </c>
      <c r="T791" s="5" t="inlineStr">
        <is>
          <t>Normal operation</t>
        </is>
      </c>
    </row>
    <row r="792" s="17">
      <c r="A792" s="7" t="n">
        <v>7285</v>
      </c>
      <c r="B792" s="8" t="n">
        <v>48568.684443</v>
      </c>
      <c r="C792" s="9" t="n">
        <v>48.568684443</v>
      </c>
      <c r="D792" s="9" t="n">
        <v>135.21809976</v>
      </c>
      <c r="E792" s="9" t="n">
        <v>42.79825754</v>
      </c>
      <c r="F792" s="10" t="n">
        <v>0.04037517249524329</v>
      </c>
      <c r="G792" s="10" t="n">
        <v>0.08855360389227854</v>
      </c>
      <c r="H792" s="10" t="n">
        <v>0.9230298154906085</v>
      </c>
      <c r="I792" s="10" t="n">
        <v>0.351553</v>
      </c>
      <c r="J792" s="5" t="inlineStr">
        <is>
          <t>Cleaner sand</t>
        </is>
      </c>
      <c r="K792" s="11" t="n">
        <v>17.87820475871682</v>
      </c>
      <c r="L792" s="12" t="n">
        <v>1.468092201963322</v>
      </c>
      <c r="M792" s="12" t="n">
        <v>3.744734430784231</v>
      </c>
      <c r="N792" s="12" t="n">
        <v>14.63147884857562</v>
      </c>
      <c r="O792" s="12" t="n">
        <v>204.8664749996468</v>
      </c>
      <c r="P792" s="5" t="inlineStr">
        <is>
          <t>Normal</t>
        </is>
      </c>
      <c r="Q792" s="5" t="inlineStr">
        <is>
          <t>Turn Right</t>
        </is>
      </c>
      <c r="R792" s="12" t="n">
        <v>0.42</v>
      </c>
      <c r="S792" s="5" t="inlineStr">
        <is>
          <t>REJECTED</t>
        </is>
      </c>
      <c r="T792" s="5" t="inlineStr">
        <is>
          <t>Normal operation</t>
        </is>
      </c>
    </row>
    <row r="793" s="17">
      <c r="A793" s="7" t="n">
        <v>7290</v>
      </c>
      <c r="B793" s="8" t="n">
        <v>47436.295713</v>
      </c>
      <c r="C793" s="9" t="n">
        <v>47.436295713</v>
      </c>
      <c r="D793" s="9" t="n">
        <v>136.83187167</v>
      </c>
      <c r="E793" s="9" t="n">
        <v>49.06115186</v>
      </c>
      <c r="F793" s="10" t="n">
        <v>0.0715210777877085</v>
      </c>
      <c r="G793" s="10" t="n">
        <v>0.1740656883909461</v>
      </c>
      <c r="H793" s="10" t="n">
        <v>0.9436580320714949</v>
      </c>
      <c r="I793" s="10" t="n">
        <v>0.40278</v>
      </c>
      <c r="J793" s="5" t="inlineStr">
        <is>
          <t>Cleaner sand</t>
        </is>
      </c>
      <c r="K793" s="11" t="n">
        <v>17.44800344922129</v>
      </c>
      <c r="L793" s="12" t="n">
        <v>1.791872201210102</v>
      </c>
      <c r="M793" s="12" t="n">
        <v>4.187880329481278</v>
      </c>
      <c r="N793" s="12" t="n">
        <v>13.53450423160835</v>
      </c>
      <c r="O793" s="12" t="n">
        <v>229.9419070057749</v>
      </c>
      <c r="P793" s="5" t="inlineStr">
        <is>
          <t>Normal</t>
        </is>
      </c>
      <c r="Q793" s="5" t="inlineStr">
        <is>
          <t>Drop</t>
        </is>
      </c>
      <c r="R793" s="12" t="n">
        <v>0.62</v>
      </c>
      <c r="S793" s="5" t="inlineStr">
        <is>
          <t>REDUCED</t>
        </is>
      </c>
      <c r="T793" s="5" t="inlineStr">
        <is>
          <t>Normal operation</t>
        </is>
      </c>
    </row>
    <row r="794" s="17">
      <c r="A794" s="7" t="n">
        <v>7295</v>
      </c>
      <c r="B794" s="8" t="n">
        <v>57758.158319</v>
      </c>
      <c r="C794" s="9" t="n">
        <v>57.758158319</v>
      </c>
      <c r="D794" s="9" t="n">
        <v>149.68031058</v>
      </c>
      <c r="E794" s="9" t="n">
        <v>30.89485054</v>
      </c>
      <c r="F794" s="10" t="n">
        <v>0.06133575066330579</v>
      </c>
      <c r="G794" s="10" t="n">
        <v>0.3243511038706224</v>
      </c>
      <c r="H794" s="10" t="n">
        <v>0.855075767547758</v>
      </c>
      <c r="I794" s="10" t="n">
        <v>0.877161</v>
      </c>
      <c r="J794" s="5" t="inlineStr">
        <is>
          <t>Transition</t>
        </is>
      </c>
      <c r="K794" s="11" t="n">
        <v>19.41030836258084</v>
      </c>
      <c r="L794" s="12" t="n">
        <v>1.491835785006269</v>
      </c>
      <c r="M794" s="12" t="n">
        <v>3.192920287884047</v>
      </c>
      <c r="N794" s="12" t="n">
        <v>11.27422312028326</v>
      </c>
      <c r="O794" s="12" t="n">
        <v>227.3672163352143</v>
      </c>
      <c r="P794" s="5" t="inlineStr">
        <is>
          <t>Normal</t>
        </is>
      </c>
      <c r="Q794" s="5" t="inlineStr">
        <is>
          <t>Turn Right</t>
        </is>
      </c>
      <c r="R794" s="12" t="n">
        <v>0.95</v>
      </c>
      <c r="S794" s="5" t="inlineStr">
        <is>
          <t>ACCEPTED</t>
        </is>
      </c>
      <c r="T794" s="5" t="inlineStr">
        <is>
          <t>Normal operation</t>
        </is>
      </c>
    </row>
    <row r="795" s="17">
      <c r="A795" s="7" t="n">
        <v>7300</v>
      </c>
      <c r="B795" s="8" t="n">
        <v>46397.117953</v>
      </c>
      <c r="C795" s="9" t="n">
        <v>46.397117953</v>
      </c>
      <c r="D795" s="9" t="n">
        <v>134.31162216</v>
      </c>
      <c r="E795" s="9" t="n">
        <v>70.55557816</v>
      </c>
      <c r="F795" s="10" t="n">
        <v>0.04536028332663892</v>
      </c>
      <c r="G795" s="10" t="n">
        <v>0.09684446157097713</v>
      </c>
      <c r="H795" s="10" t="n">
        <v>0.9788514992178541</v>
      </c>
      <c r="I795" s="10" t="n">
        <v>0.13376</v>
      </c>
      <c r="J795" s="5" t="inlineStr">
        <is>
          <t>Cleaner sand</t>
        </is>
      </c>
      <c r="K795" s="11" t="n">
        <v>15.77243992196089</v>
      </c>
      <c r="L795" s="12" t="n">
        <v>1.964570226029465</v>
      </c>
      <c r="M795" s="12" t="n">
        <v>4.939374145126739</v>
      </c>
      <c r="N795" s="12" t="n">
        <v>13.27240672439351</v>
      </c>
      <c r="O795" s="12" t="n">
        <v>235.4802914132452</v>
      </c>
      <c r="P795" s="5" t="inlineStr">
        <is>
          <t>Normal</t>
        </is>
      </c>
      <c r="Q795" s="5" t="inlineStr">
        <is>
          <t>Drop</t>
        </is>
      </c>
      <c r="R795" s="12" t="n">
        <v>0.8</v>
      </c>
      <c r="S795" s="5" t="inlineStr">
        <is>
          <t>ACCEPTED</t>
        </is>
      </c>
      <c r="T795" s="5" t="inlineStr">
        <is>
          <t>Normal operation</t>
        </is>
      </c>
    </row>
    <row r="796" s="17">
      <c r="A796" s="7" t="n">
        <v>7305</v>
      </c>
      <c r="B796" s="8" t="n">
        <v>48993.668826</v>
      </c>
      <c r="C796" s="9" t="n">
        <v>48.993668826</v>
      </c>
      <c r="D796" s="9" t="n">
        <v>137.98013127</v>
      </c>
      <c r="E796" s="9" t="n">
        <v>63.08373734</v>
      </c>
      <c r="F796" s="10" t="n">
        <v>0.111254620335144</v>
      </c>
      <c r="G796" s="10" t="n">
        <v>0.2288553381691957</v>
      </c>
      <c r="H796" s="10" t="n">
        <v>0.9224893665765229</v>
      </c>
      <c r="I796" s="10" t="n">
        <v>0.868816</v>
      </c>
      <c r="J796" s="5" t="inlineStr">
        <is>
          <t>Cleaner sand</t>
        </is>
      </c>
      <c r="K796" s="11" t="n">
        <v>16.44569381831239</v>
      </c>
      <c r="L796" s="12" t="n">
        <v>1.478890935338619</v>
      </c>
      <c r="M796" s="12" t="n">
        <v>4.780896601330004</v>
      </c>
      <c r="N796" s="12" t="n">
        <v>15.69246032701319</v>
      </c>
      <c r="O796" s="12" t="n">
        <v>212.5097715294723</v>
      </c>
      <c r="P796" s="5" t="inlineStr">
        <is>
          <t>Normal</t>
        </is>
      </c>
      <c r="Q796" s="5" t="inlineStr">
        <is>
          <t>Drop</t>
        </is>
      </c>
      <c r="R796" s="12" t="n">
        <v>0.92</v>
      </c>
      <c r="S796" s="5" t="inlineStr">
        <is>
          <t>ACCEPTED</t>
        </is>
      </c>
      <c r="T796" s="5" t="inlineStr">
        <is>
          <t>Normal operation</t>
        </is>
      </c>
    </row>
    <row r="797" s="17">
      <c r="A797" s="7" t="n">
        <v>7310</v>
      </c>
      <c r="B797" s="8" t="n">
        <v>56821.46584</v>
      </c>
      <c r="C797" s="9" t="n">
        <v>56.82146583999999</v>
      </c>
      <c r="D797" s="9" t="n">
        <v>120.75582064</v>
      </c>
      <c r="E797" s="9" t="n">
        <v>35.41206982</v>
      </c>
      <c r="F797" s="10" t="n">
        <v>0.1196893119936151</v>
      </c>
      <c r="G797" s="10" t="n">
        <v>0.3469806692156006</v>
      </c>
      <c r="H797" s="10" t="n">
        <v>0.9022383730136067</v>
      </c>
      <c r="I797" s="10" t="n">
        <v>1.205168</v>
      </c>
      <c r="J797" s="5" t="inlineStr">
        <is>
          <t>Transition</t>
        </is>
      </c>
      <c r="K797" s="11" t="n">
        <v>20.01960437405813</v>
      </c>
      <c r="L797" s="12" t="n">
        <v>1.844779193012071</v>
      </c>
      <c r="M797" s="12" t="n">
        <v>4.446004001545677</v>
      </c>
      <c r="N797" s="12" t="n">
        <v>13.25679935108609</v>
      </c>
      <c r="O797" s="12" t="n">
        <v>237.9390737986424</v>
      </c>
      <c r="P797" s="5" t="inlineStr">
        <is>
          <t>Normal</t>
        </is>
      </c>
      <c r="Q797" s="5" t="inlineStr">
        <is>
          <t>Drop</t>
        </is>
      </c>
      <c r="R797" s="12" t="n">
        <v>0.49</v>
      </c>
      <c r="S797" s="5" t="inlineStr">
        <is>
          <t>REJECTED</t>
        </is>
      </c>
      <c r="T797" s="5" t="inlineStr">
        <is>
          <t>Normal operation</t>
        </is>
      </c>
    </row>
    <row r="798" s="17">
      <c r="A798" s="7" t="n">
        <v>7315</v>
      </c>
      <c r="B798" s="8" t="n">
        <v>56370.139099</v>
      </c>
      <c r="C798" s="9" t="n">
        <v>56.370139099</v>
      </c>
      <c r="D798" s="9" t="n">
        <v>140.26755974</v>
      </c>
      <c r="E798" s="9" t="n">
        <v>74.99596425999999</v>
      </c>
      <c r="F798" s="10" t="n">
        <v>0.07456942382304896</v>
      </c>
      <c r="G798" s="10" t="n">
        <v>0.1791053063486651</v>
      </c>
      <c r="H798" s="10" t="n">
        <v>0.9044094967396529</v>
      </c>
      <c r="I798" s="10" t="n">
        <v>0.760833</v>
      </c>
      <c r="J798" s="5" t="inlineStr">
        <is>
          <t>Cleaner sand</t>
        </is>
      </c>
      <c r="K798" s="11" t="n">
        <v>18.84388761839192</v>
      </c>
      <c r="L798" s="12" t="n">
        <v>1.64566122129436</v>
      </c>
      <c r="M798" s="12" t="n">
        <v>3.907141365588984</v>
      </c>
      <c r="N798" s="12" t="n">
        <v>12.31969058891297</v>
      </c>
      <c r="O798" s="12" t="n">
        <v>226.4224090804623</v>
      </c>
      <c r="P798" s="5" t="inlineStr">
        <is>
          <t>Normal</t>
        </is>
      </c>
      <c r="Q798" s="5" t="inlineStr">
        <is>
          <t>Turn Right</t>
        </is>
      </c>
      <c r="R798" s="12" t="n">
        <v>0.52</v>
      </c>
      <c r="S798" s="5" t="inlineStr">
        <is>
          <t>REDUCED</t>
        </is>
      </c>
      <c r="T798" s="5" t="inlineStr">
        <is>
          <t>Normal operation</t>
        </is>
      </c>
    </row>
    <row r="799" s="17">
      <c r="A799" s="7" t="n">
        <v>7320</v>
      </c>
      <c r="B799" s="8" t="n">
        <v>53608.360961</v>
      </c>
      <c r="C799" s="9" t="n">
        <v>53.608360961</v>
      </c>
      <c r="D799" s="9" t="n">
        <v>139.64775773</v>
      </c>
      <c r="E799" s="9" t="n">
        <v>37.86099654</v>
      </c>
      <c r="F799" s="10" t="n">
        <v>0.1124119256011759</v>
      </c>
      <c r="G799" s="10" t="n">
        <v>0.3274342812254805</v>
      </c>
      <c r="H799" s="10" t="n">
        <v>0.9250818229646336</v>
      </c>
      <c r="I799" s="10" t="n">
        <v>0.884506</v>
      </c>
      <c r="J799" s="5" t="inlineStr">
        <is>
          <t>Transition</t>
        </is>
      </c>
      <c r="K799" s="11" t="n">
        <v>19.05699274129162</v>
      </c>
      <c r="L799" s="12" t="n">
        <v>2.211764622878362</v>
      </c>
      <c r="M799" s="12" t="n">
        <v>4.506160410595427</v>
      </c>
      <c r="N799" s="12" t="n">
        <v>13.57095680316679</v>
      </c>
      <c r="O799" s="12" t="n">
        <v>237.8815835230451</v>
      </c>
      <c r="P799" s="5" t="inlineStr">
        <is>
          <t>Normal</t>
        </is>
      </c>
      <c r="Q799" s="5" t="inlineStr">
        <is>
          <t>Drop</t>
        </is>
      </c>
      <c r="R799" s="12" t="n">
        <v>0.49</v>
      </c>
      <c r="S799" s="5" t="inlineStr">
        <is>
          <t>REJECTED</t>
        </is>
      </c>
      <c r="T799" s="5" t="inlineStr">
        <is>
          <t>Normal operation</t>
        </is>
      </c>
    </row>
    <row r="800" s="17">
      <c r="A800" s="7" t="n">
        <v>7325</v>
      </c>
      <c r="B800" s="8" t="n">
        <v>63096.359344</v>
      </c>
      <c r="C800" s="9" t="n">
        <v>63.096359344</v>
      </c>
      <c r="D800" s="9" t="n">
        <v>109.27901648</v>
      </c>
      <c r="E800" s="9" t="n">
        <v>42.30020266</v>
      </c>
      <c r="F800" s="10" t="n">
        <v>0.06384695248644372</v>
      </c>
      <c r="G800" s="10" t="n">
        <v>0.3318460413643081</v>
      </c>
      <c r="H800" s="10" t="n">
        <v>0.8975329893149443</v>
      </c>
      <c r="I800" s="10" t="n">
        <v>0.703596</v>
      </c>
      <c r="J800" s="5" t="inlineStr">
        <is>
          <t>Transition</t>
        </is>
      </c>
      <c r="K800" s="11" t="n">
        <v>20.14885851885324</v>
      </c>
      <c r="L800" s="12" t="n">
        <v>1.634817075441642</v>
      </c>
      <c r="M800" s="12" t="n">
        <v>3.508210667496463</v>
      </c>
      <c r="N800" s="12" t="n">
        <v>12.22542609818965</v>
      </c>
      <c r="O800" s="12" t="n">
        <v>250.8215789319735</v>
      </c>
      <c r="P800" s="5" t="inlineStr">
        <is>
          <t>Normal</t>
        </is>
      </c>
      <c r="Q800" s="5" t="inlineStr">
        <is>
          <t>Hold</t>
        </is>
      </c>
      <c r="R800" s="12" t="n">
        <v>0.57</v>
      </c>
      <c r="S800" s="5" t="inlineStr">
        <is>
          <t>REDUCED</t>
        </is>
      </c>
      <c r="T800" s="5" t="inlineStr">
        <is>
          <t>Normal operation</t>
        </is>
      </c>
    </row>
    <row r="801" s="17">
      <c r="A801" s="7" t="n">
        <v>7330</v>
      </c>
      <c r="B801" s="8" t="n">
        <v>36670.896535</v>
      </c>
      <c r="C801" s="9" t="n">
        <v>36.670896535</v>
      </c>
      <c r="D801" s="9" t="n">
        <v>142.80602486</v>
      </c>
      <c r="E801" s="9" t="n">
        <v>58.1408905</v>
      </c>
      <c r="F801" s="10" t="n">
        <v>0.04669797000027594</v>
      </c>
      <c r="G801" s="10" t="n">
        <v>0.1049937514168512</v>
      </c>
      <c r="H801" s="10" t="n">
        <v>0.9824171291318399</v>
      </c>
      <c r="I801" s="10" t="n">
        <v>0.07230200000000001</v>
      </c>
      <c r="J801" s="5" t="inlineStr">
        <is>
          <t>Cleaner sand</t>
        </is>
      </c>
      <c r="K801" s="11" t="n">
        <v>15.29008217030644</v>
      </c>
      <c r="L801" s="12" t="n">
        <v>1.1</v>
      </c>
      <c r="M801" s="12" t="n">
        <v>4.789548018393797</v>
      </c>
      <c r="N801" s="12" t="n">
        <v>12.00249830557002</v>
      </c>
      <c r="O801" s="12" t="n">
        <v>250.0696383621774</v>
      </c>
      <c r="P801" s="5" t="inlineStr">
        <is>
          <t>Normal</t>
        </is>
      </c>
      <c r="Q801" s="5" t="inlineStr">
        <is>
          <t>Hold</t>
        </is>
      </c>
      <c r="R801" s="12" t="n">
        <v>0.8</v>
      </c>
      <c r="S801" s="5" t="inlineStr">
        <is>
          <t>ACCEPTED</t>
        </is>
      </c>
      <c r="T801" s="5" t="inlineStr">
        <is>
          <t>Normal operation</t>
        </is>
      </c>
    </row>
    <row r="802" s="17">
      <c r="A802" s="7" t="n">
        <v>7335</v>
      </c>
      <c r="B802" s="8" t="n">
        <v>41067.498662</v>
      </c>
      <c r="C802" s="9" t="n">
        <v>41.067498662</v>
      </c>
      <c r="D802" s="9" t="n">
        <v>148.48439124</v>
      </c>
      <c r="E802" s="9" t="n">
        <v>61.27082066</v>
      </c>
      <c r="F802" s="10" t="n">
        <v>0.1034012139258913</v>
      </c>
      <c r="G802" s="10" t="n">
        <v>0.1903338041909225</v>
      </c>
      <c r="H802" s="10" t="n">
        <v>1</v>
      </c>
      <c r="I802" s="10" t="n">
        <v>0.004054</v>
      </c>
      <c r="J802" s="5" t="inlineStr">
        <is>
          <t>Cleaner sand</t>
        </is>
      </c>
      <c r="K802" s="11" t="n">
        <v>17.00724005289895</v>
      </c>
      <c r="L802" s="12" t="n">
        <v>2.278341535349856</v>
      </c>
      <c r="M802" s="12" t="n">
        <v>5.455993519951529</v>
      </c>
      <c r="N802" s="12" t="n">
        <v>10.0895377952243</v>
      </c>
      <c r="O802" s="12" t="n">
        <v>244.3708621472977</v>
      </c>
      <c r="P802" s="5" t="inlineStr">
        <is>
          <t>Normal</t>
        </is>
      </c>
      <c r="Q802" s="5" t="inlineStr">
        <is>
          <t>Hold</t>
        </is>
      </c>
      <c r="R802" s="12" t="n">
        <v>0.49</v>
      </c>
      <c r="S802" s="5" t="inlineStr">
        <is>
          <t>REJECTED</t>
        </is>
      </c>
      <c r="T802" s="5" t="inlineStr">
        <is>
          <t>Normal operation</t>
        </is>
      </c>
    </row>
    <row r="803" s="17">
      <c r="A803" s="7" t="n">
        <v>7340</v>
      </c>
      <c r="B803" s="8" t="n">
        <v>74502.274538</v>
      </c>
      <c r="C803" s="9" t="n">
        <v>74.50227453799999</v>
      </c>
      <c r="D803" s="9" t="n">
        <v>107.69238016</v>
      </c>
      <c r="E803" s="9" t="n">
        <v>49.63881480000001</v>
      </c>
      <c r="F803" s="10" t="n">
        <v>0.08620671919925757</v>
      </c>
      <c r="G803" s="10" t="n">
        <v>0.2787627281497155</v>
      </c>
      <c r="H803" s="10" t="n">
        <v>0.9061195344159777</v>
      </c>
      <c r="I803" s="10" t="n">
        <v>0.848373</v>
      </c>
      <c r="J803" s="5" t="inlineStr">
        <is>
          <t>Transition</t>
        </is>
      </c>
      <c r="K803" s="11" t="n">
        <v>21.70228989348313</v>
      </c>
      <c r="L803" s="12" t="n">
        <v>1.216191172577317</v>
      </c>
      <c r="M803" s="12" t="n">
        <v>5.024127028958168</v>
      </c>
      <c r="N803" s="12" t="n">
        <v>11.59119966536039</v>
      </c>
      <c r="O803" s="12" t="n">
        <v>256.7123310920561</v>
      </c>
      <c r="P803" s="5" t="inlineStr">
        <is>
          <t>Normal</t>
        </is>
      </c>
      <c r="Q803" s="5" t="inlineStr">
        <is>
          <t>Hold</t>
        </is>
      </c>
      <c r="R803" s="12" t="n">
        <v>0.6899999999999999</v>
      </c>
      <c r="S803" s="5" t="inlineStr">
        <is>
          <t>REDUCED</t>
        </is>
      </c>
      <c r="T803" s="5" t="inlineStr">
        <is>
          <t>WOB outside preferred band</t>
        </is>
      </c>
    </row>
    <row r="804" s="17">
      <c r="A804" s="7" t="n">
        <v>7345</v>
      </c>
      <c r="B804" s="8" t="n">
        <v>47467.271371</v>
      </c>
      <c r="C804" s="9" t="n">
        <v>47.467271371</v>
      </c>
      <c r="D804" s="9" t="n">
        <v>140.97697135</v>
      </c>
      <c r="E804" s="9" t="n">
        <v>43.01460224</v>
      </c>
      <c r="F804" s="10" t="n">
        <v>0.05581949739434239</v>
      </c>
      <c r="G804" s="10" t="n">
        <v>0.2304738485844779</v>
      </c>
      <c r="H804" s="10" t="n">
        <v>0.8995632078957401</v>
      </c>
      <c r="I804" s="10" t="n">
        <v>0.599876</v>
      </c>
      <c r="J804" s="5" t="inlineStr">
        <is>
          <t>Cleaner sand</t>
        </is>
      </c>
      <c r="K804" s="11" t="n">
        <v>17.3421336324134</v>
      </c>
      <c r="L804" s="12" t="n">
        <v>1.339654494062078</v>
      </c>
      <c r="M804" s="12" t="n">
        <v>3.615108768942509</v>
      </c>
      <c r="N804" s="12" t="n">
        <v>12.41182038597869</v>
      </c>
      <c r="O804" s="12" t="n">
        <v>245.1222468805448</v>
      </c>
      <c r="P804" s="5" t="inlineStr">
        <is>
          <t>Normal</t>
        </is>
      </c>
      <c r="Q804" s="5" t="inlineStr">
        <is>
          <t>Hold</t>
        </is>
      </c>
      <c r="R804" s="12" t="n">
        <v>0.55</v>
      </c>
      <c r="S804" s="5" t="inlineStr">
        <is>
          <t>REDUCED</t>
        </is>
      </c>
      <c r="T804" s="5" t="inlineStr">
        <is>
          <t>Normal operation</t>
        </is>
      </c>
    </row>
    <row r="805" s="17">
      <c r="A805" s="7" t="n">
        <v>7350</v>
      </c>
      <c r="B805" s="8" t="n">
        <v>42480.187204</v>
      </c>
      <c r="C805" s="9" t="n">
        <v>42.480187204</v>
      </c>
      <c r="D805" s="9" t="n">
        <v>125.48198257</v>
      </c>
      <c r="E805" s="9" t="n">
        <v>37.64047476</v>
      </c>
      <c r="F805" s="10" t="n">
        <v>0.08567256529765443</v>
      </c>
      <c r="G805" s="10" t="n">
        <v>0.3426151194825182</v>
      </c>
      <c r="H805" s="10" t="n">
        <v>0.905128986044556</v>
      </c>
      <c r="I805" s="10" t="n">
        <v>0.83344</v>
      </c>
      <c r="J805" s="5" t="inlineStr">
        <is>
          <t>Transition</t>
        </is>
      </c>
      <c r="K805" s="11" t="n">
        <v>15.86650493319202</v>
      </c>
      <c r="L805" s="12" t="n">
        <v>1.368125965918689</v>
      </c>
      <c r="M805" s="12" t="n">
        <v>4.518997079074533</v>
      </c>
      <c r="N805" s="12" t="n">
        <v>9.757409859709412</v>
      </c>
      <c r="O805" s="12" t="n">
        <v>275.7417495484232</v>
      </c>
      <c r="P805" s="5" t="inlineStr">
        <is>
          <t>Normal</t>
        </is>
      </c>
      <c r="Q805" s="5" t="inlineStr">
        <is>
          <t>Hold</t>
        </is>
      </c>
      <c r="R805" s="12" t="n">
        <v>0.86</v>
      </c>
      <c r="S805" s="5" t="inlineStr">
        <is>
          <t>ACCEPTED</t>
        </is>
      </c>
      <c r="T805" s="5" t="inlineStr">
        <is>
          <t>Normal operation</t>
        </is>
      </c>
    </row>
    <row r="806" s="17">
      <c r="A806" s="7" t="n">
        <v>7355</v>
      </c>
      <c r="B806" s="8" t="n">
        <v>54638.544651</v>
      </c>
      <c r="C806" s="9" t="n">
        <v>54.638544651</v>
      </c>
      <c r="D806" s="9" t="n">
        <v>143.50713802</v>
      </c>
      <c r="E806" s="9" t="n">
        <v>52.30723584</v>
      </c>
      <c r="F806" s="10" t="n">
        <v>0.03986563992038474</v>
      </c>
      <c r="G806" s="10" t="n">
        <v>0.05778178273607573</v>
      </c>
      <c r="H806" s="10" t="n">
        <v>0.9938626583862755</v>
      </c>
      <c r="I806" s="10" t="n">
        <v>0.037519</v>
      </c>
      <c r="J806" s="5" t="inlineStr">
        <is>
          <t>Cleaner sand</t>
        </is>
      </c>
      <c r="K806" s="11" t="n">
        <v>18.13046887677663</v>
      </c>
      <c r="L806" s="12" t="n">
        <v>2.3334746656537</v>
      </c>
      <c r="M806" s="12" t="n">
        <v>3.226340721990086</v>
      </c>
      <c r="N806" s="12" t="n">
        <v>12.47468193786326</v>
      </c>
      <c r="O806" s="12" t="n">
        <v>265.9899583420814</v>
      </c>
      <c r="P806" s="5" t="inlineStr">
        <is>
          <t>Normal</t>
        </is>
      </c>
      <c r="Q806" s="5" t="inlineStr">
        <is>
          <t>Hold</t>
        </is>
      </c>
      <c r="R806" s="12" t="n">
        <v>0.4</v>
      </c>
      <c r="S806" s="5" t="inlineStr">
        <is>
          <t>REJECTED</t>
        </is>
      </c>
      <c r="T806" s="5" t="inlineStr">
        <is>
          <t>Normal operation</t>
        </is>
      </c>
    </row>
    <row r="807" s="17">
      <c r="A807" s="7" t="n">
        <v>7360</v>
      </c>
      <c r="B807" s="8" t="n">
        <v>57582.815257</v>
      </c>
      <c r="C807" s="9" t="n">
        <v>57.582815257</v>
      </c>
      <c r="D807" s="9" t="n">
        <v>149.6068471</v>
      </c>
      <c r="E807" s="9" t="n">
        <v>77.386926</v>
      </c>
      <c r="F807" s="10" t="n">
        <v>0.03354343359838612</v>
      </c>
      <c r="G807" s="10" t="n">
        <v>0.2821441101826659</v>
      </c>
      <c r="H807" s="10" t="n">
        <v>0.9384215540707646</v>
      </c>
      <c r="I807" s="10" t="n">
        <v>0.238019</v>
      </c>
      <c r="J807" s="5" t="inlineStr">
        <is>
          <t>Transition</t>
        </is>
      </c>
      <c r="K807" s="11" t="n">
        <v>18.79730802068487</v>
      </c>
      <c r="L807" s="12" t="n">
        <v>1.1</v>
      </c>
      <c r="M807" s="12" t="n">
        <v>4.749673129005018</v>
      </c>
      <c r="N807" s="12" t="n">
        <v>10.28216625165631</v>
      </c>
      <c r="O807" s="12" t="n">
        <v>283.0230340181295</v>
      </c>
      <c r="P807" s="5" t="inlineStr">
        <is>
          <t>Normal</t>
        </is>
      </c>
      <c r="Q807" s="5" t="inlineStr">
        <is>
          <t>Build</t>
        </is>
      </c>
      <c r="R807" s="12" t="n">
        <v>0.52</v>
      </c>
      <c r="S807" s="5" t="inlineStr">
        <is>
          <t>REDUCED</t>
        </is>
      </c>
      <c r="T807" s="5" t="inlineStr">
        <is>
          <t>Normal operation</t>
        </is>
      </c>
    </row>
    <row r="808" s="17">
      <c r="A808" s="7" t="n">
        <v>7365</v>
      </c>
      <c r="B808" s="8" t="n">
        <v>46083.952767</v>
      </c>
      <c r="C808" s="9" t="n">
        <v>46.083952767</v>
      </c>
      <c r="D808" s="9" t="n">
        <v>132.75053004</v>
      </c>
      <c r="E808" s="9" t="n">
        <v>30.44752824</v>
      </c>
      <c r="F808" s="10" t="n">
        <v>0.1180834930472598</v>
      </c>
      <c r="G808" s="10" t="n">
        <v>0.1189630481985469</v>
      </c>
      <c r="H808" s="10" t="n">
        <v>0.9627919469147982</v>
      </c>
      <c r="I808" s="10" t="n">
        <v>0.452272</v>
      </c>
      <c r="J808" s="5" t="inlineStr">
        <is>
          <t>Cleaner sand</t>
        </is>
      </c>
      <c r="K808" s="11" t="n">
        <v>17.21372441891149</v>
      </c>
      <c r="L808" s="12" t="n">
        <v>3.07</v>
      </c>
      <c r="M808" s="12" t="n">
        <v>4.683064670372393</v>
      </c>
      <c r="N808" s="12" t="n">
        <v>9.02583043084765</v>
      </c>
      <c r="O808" s="12" t="n">
        <v>270.3467590767046</v>
      </c>
      <c r="P808" s="5" t="inlineStr">
        <is>
          <t>Normal</t>
        </is>
      </c>
      <c r="Q808" s="5" t="inlineStr">
        <is>
          <t>Hold</t>
        </is>
      </c>
      <c r="R808" s="12" t="n">
        <v>0.73</v>
      </c>
      <c r="S808" s="5" t="inlineStr">
        <is>
          <t>ACCEPTED</t>
        </is>
      </c>
      <c r="T808" s="5" t="inlineStr">
        <is>
          <t>High vibration detected</t>
        </is>
      </c>
    </row>
    <row r="809" s="17">
      <c r="A809" s="7" t="n">
        <v>7370</v>
      </c>
      <c r="B809" s="8" t="n">
        <v>61123.255303</v>
      </c>
      <c r="C809" s="9" t="n">
        <v>61.123255303</v>
      </c>
      <c r="D809" s="9" t="n">
        <v>154.94223137</v>
      </c>
      <c r="E809" s="9" t="n">
        <v>35.1342489</v>
      </c>
      <c r="F809" s="10" t="n">
        <v>0.04999445866727812</v>
      </c>
      <c r="G809" s="10" t="n">
        <v>0.2740545458482271</v>
      </c>
      <c r="H809" s="10" t="n">
        <v>0.9615600987178857</v>
      </c>
      <c r="I809" s="10" t="n">
        <v>0.221462</v>
      </c>
      <c r="J809" s="5" t="inlineStr">
        <is>
          <t>Transition</t>
        </is>
      </c>
      <c r="K809" s="11" t="n">
        <v>19.27889501575863</v>
      </c>
      <c r="L809" s="12" t="n">
        <v>2.177467836442365</v>
      </c>
      <c r="M809" s="12" t="n">
        <v>2.85746201675614</v>
      </c>
      <c r="N809" s="12" t="n">
        <v>11.25539920864685</v>
      </c>
      <c r="O809" s="12" t="n">
        <v>274.1195146568461</v>
      </c>
      <c r="P809" s="5" t="inlineStr">
        <is>
          <t>Normal</t>
        </is>
      </c>
      <c r="Q809" s="5" t="inlineStr">
        <is>
          <t>Hold</t>
        </is>
      </c>
      <c r="R809" s="12" t="n">
        <v>0.45</v>
      </c>
      <c r="S809" s="5" t="inlineStr">
        <is>
          <t>REJECTED</t>
        </is>
      </c>
      <c r="T809" s="5" t="inlineStr">
        <is>
          <t>Normal operation</t>
        </is>
      </c>
    </row>
    <row r="810" s="17">
      <c r="A810" s="7" t="n">
        <v>7375</v>
      </c>
      <c r="B810" s="8" t="n">
        <v>43672.561211</v>
      </c>
      <c r="C810" s="9" t="n">
        <v>43.672561211</v>
      </c>
      <c r="D810" s="9" t="n">
        <v>132.42206168</v>
      </c>
      <c r="E810" s="9" t="n">
        <v>46.27485828</v>
      </c>
      <c r="F810" s="10" t="n">
        <v>0.03776813993112259</v>
      </c>
      <c r="G810" s="10" t="n">
        <v>0.02860991466898822</v>
      </c>
      <c r="H810" s="10" t="n">
        <v>0.9757986344229861</v>
      </c>
      <c r="I810" s="10" t="n">
        <v>0.085912</v>
      </c>
      <c r="J810" s="5" t="inlineStr">
        <is>
          <t>Cleaner sand</t>
        </is>
      </c>
      <c r="K810" s="11" t="n">
        <v>17.80383971473365</v>
      </c>
      <c r="L810" s="12" t="n">
        <v>1.769387067923288</v>
      </c>
      <c r="M810" s="12" t="n">
        <v>3.454531207007798</v>
      </c>
      <c r="N810" s="12" t="n">
        <v>9.364191714993533</v>
      </c>
      <c r="O810" s="12" t="n">
        <v>275.4142069474731</v>
      </c>
      <c r="P810" s="5" t="inlineStr">
        <is>
          <t>Normal</t>
        </is>
      </c>
      <c r="Q810" s="5" t="inlineStr">
        <is>
          <t>Build</t>
        </is>
      </c>
      <c r="R810" s="12" t="n">
        <v>0.66</v>
      </c>
      <c r="S810" s="5" t="inlineStr">
        <is>
          <t>REDUCED</t>
        </is>
      </c>
      <c r="T810" s="5" t="inlineStr">
        <is>
          <t>Normal operation</t>
        </is>
      </c>
    </row>
    <row r="811" s="17">
      <c r="A811" s="7" t="n">
        <v>7380</v>
      </c>
      <c r="B811" s="8" t="n">
        <v>57437.917841</v>
      </c>
      <c r="C811" s="9" t="n">
        <v>57.437917841</v>
      </c>
      <c r="D811" s="9" t="n">
        <v>142.9202771</v>
      </c>
      <c r="E811" s="9" t="n">
        <v>51.75441808</v>
      </c>
      <c r="F811" s="10" t="n">
        <v>0.1577941139631913</v>
      </c>
      <c r="G811" s="10" t="n">
        <v>0.3447230107443419</v>
      </c>
      <c r="H811" s="10" t="n">
        <v>0.8958771683553091</v>
      </c>
      <c r="I811" s="10" t="n">
        <v>1.675366</v>
      </c>
      <c r="J811" s="5" t="inlineStr">
        <is>
          <t>Transition</t>
        </is>
      </c>
      <c r="K811" s="11" t="n">
        <v>18.18522307344696</v>
      </c>
      <c r="L811" s="12" t="n">
        <v>1.63310193969802</v>
      </c>
      <c r="M811" s="12" t="n">
        <v>4.187998367108728</v>
      </c>
      <c r="N811" s="12" t="n">
        <v>10.502940287988</v>
      </c>
      <c r="O811" s="12" t="n">
        <v>295.4652857654385</v>
      </c>
      <c r="P811" s="5" t="inlineStr">
        <is>
          <t>Normal</t>
        </is>
      </c>
      <c r="Q811" s="5" t="inlineStr">
        <is>
          <t>Hold</t>
        </is>
      </c>
      <c r="R811" s="12" t="n">
        <v>0.64</v>
      </c>
      <c r="S811" s="5" t="inlineStr">
        <is>
          <t>REDUCED</t>
        </is>
      </c>
      <c r="T811" s="5" t="inlineStr">
        <is>
          <t>Normal operation</t>
        </is>
      </c>
    </row>
    <row r="812" s="17">
      <c r="A812" s="7" t="n">
        <v>7385</v>
      </c>
      <c r="B812" s="8" t="n">
        <v>71379.87963700001</v>
      </c>
      <c r="C812" s="9" t="n">
        <v>71.379879637</v>
      </c>
      <c r="D812" s="9" t="n">
        <v>153.6351128</v>
      </c>
      <c r="E812" s="9" t="n">
        <v>51.01829424</v>
      </c>
      <c r="F812" s="10" t="n">
        <v>0.0800920939510356</v>
      </c>
      <c r="G812" s="10" t="n">
        <v>0.3170493515735935</v>
      </c>
      <c r="H812" s="10" t="n">
        <v>0.9651617557892492</v>
      </c>
      <c r="I812" s="10" t="n">
        <v>0.290384</v>
      </c>
      <c r="J812" s="5" t="inlineStr">
        <is>
          <t>Transition</t>
        </is>
      </c>
      <c r="K812" s="11" t="n">
        <v>21.45718702746442</v>
      </c>
      <c r="L812" s="12" t="n">
        <v>1.799921496680252</v>
      </c>
      <c r="M812" s="12" t="n">
        <v>4.20427886703595</v>
      </c>
      <c r="N812" s="12" t="n">
        <v>8.914831425122713</v>
      </c>
      <c r="O812" s="12" t="n">
        <v>283.1926050598162</v>
      </c>
      <c r="P812" s="5" t="inlineStr">
        <is>
          <t>Normal</t>
        </is>
      </c>
      <c r="Q812" s="5" t="inlineStr">
        <is>
          <t>Hold</t>
        </is>
      </c>
      <c r="R812" s="12" t="n">
        <v>0.87</v>
      </c>
      <c r="S812" s="5" t="inlineStr">
        <is>
          <t>ACCEPTED</t>
        </is>
      </c>
      <c r="T812" s="5" t="inlineStr">
        <is>
          <t>WOB outside preferred band</t>
        </is>
      </c>
    </row>
    <row r="813" s="17">
      <c r="A813" s="7" t="n">
        <v>7390</v>
      </c>
      <c r="B813" s="8" t="n">
        <v>54827.961036</v>
      </c>
      <c r="C813" s="9" t="n">
        <v>54.827961036</v>
      </c>
      <c r="D813" s="9" t="n">
        <v>140.02570944</v>
      </c>
      <c r="E813" s="9" t="n">
        <v>54.8239413</v>
      </c>
      <c r="F813" s="10" t="n">
        <v>0.06861407821695589</v>
      </c>
      <c r="G813" s="10" t="n">
        <v>0.2635806842882085</v>
      </c>
      <c r="H813" s="10" t="n">
        <v>0.9097192949507812</v>
      </c>
      <c r="I813" s="10" t="n">
        <v>0.630934</v>
      </c>
      <c r="J813" s="5" t="inlineStr">
        <is>
          <t>Transition</t>
        </is>
      </c>
      <c r="K813" s="11" t="n">
        <v>18.16007181562904</v>
      </c>
      <c r="L813" s="12" t="n">
        <v>1.915349989905876</v>
      </c>
      <c r="M813" s="12" t="n">
        <v>3.507746250055472</v>
      </c>
      <c r="N813" s="12" t="n">
        <v>8.994890373272716</v>
      </c>
      <c r="O813" s="12" t="n">
        <v>300.2415562037105</v>
      </c>
      <c r="P813" s="5" t="inlineStr">
        <is>
          <t>Normal</t>
        </is>
      </c>
      <c r="Q813" s="5" t="inlineStr">
        <is>
          <t>Build</t>
        </is>
      </c>
      <c r="R813" s="12" t="n">
        <v>0.74</v>
      </c>
      <c r="S813" s="5" t="inlineStr">
        <is>
          <t>ACCEPTED</t>
        </is>
      </c>
      <c r="T813" s="5" t="inlineStr">
        <is>
          <t>Normal operation</t>
        </is>
      </c>
    </row>
    <row r="814" s="17">
      <c r="A814" s="7" t="n">
        <v>7395</v>
      </c>
      <c r="B814" s="8" t="n">
        <v>46909.111704</v>
      </c>
      <c r="C814" s="9" t="n">
        <v>46.909111704</v>
      </c>
      <c r="D814" s="9" t="n">
        <v>153.38504601</v>
      </c>
      <c r="E814" s="9" t="n">
        <v>30</v>
      </c>
      <c r="F814" s="10" t="n">
        <v>0.113496189817848</v>
      </c>
      <c r="G814" s="10" t="n">
        <v>0.1029859729853998</v>
      </c>
      <c r="H814" s="10" t="n">
        <v>0.9099063284025047</v>
      </c>
      <c r="I814" s="10" t="n">
        <v>1.007055</v>
      </c>
      <c r="J814" s="5" t="inlineStr">
        <is>
          <t>Cleaner sand</t>
        </is>
      </c>
      <c r="K814" s="11" t="n">
        <v>18.59033310579109</v>
      </c>
      <c r="L814" s="12" t="n">
        <v>1.976155637115528</v>
      </c>
      <c r="M814" s="12" t="n">
        <v>4.816773850813597</v>
      </c>
      <c r="N814" s="12" t="n">
        <v>9.49283933829895</v>
      </c>
      <c r="O814" s="12" t="n">
        <v>293.3947153051707</v>
      </c>
      <c r="P814" s="5" t="inlineStr">
        <is>
          <t>Normal</t>
        </is>
      </c>
      <c r="Q814" s="5" t="inlineStr">
        <is>
          <t>Hold</t>
        </is>
      </c>
      <c r="R814" s="12" t="n">
        <v>0.75</v>
      </c>
      <c r="S814" s="5" t="inlineStr">
        <is>
          <t>ACCEPTED</t>
        </is>
      </c>
      <c r="T814" s="5" t="inlineStr">
        <is>
          <t>Normal operation</t>
        </is>
      </c>
    </row>
    <row r="815" s="17">
      <c r="A815" s="7" t="n">
        <v>7400</v>
      </c>
      <c r="B815" s="8" t="n">
        <v>64567.391961</v>
      </c>
      <c r="C815" s="9" t="n">
        <v>64.567391961</v>
      </c>
      <c r="D815" s="9" t="n">
        <v>101.48266027</v>
      </c>
      <c r="E815" s="9" t="n">
        <v>51.360126</v>
      </c>
      <c r="F815" s="10" t="n">
        <v>0.1080767520541706</v>
      </c>
      <c r="G815" s="10" t="n">
        <v>0.276398414743005</v>
      </c>
      <c r="H815" s="10" t="n">
        <v>0.9161014483252806</v>
      </c>
      <c r="I815" s="10" t="n">
        <v>0.913296</v>
      </c>
      <c r="J815" s="5" t="inlineStr">
        <is>
          <t>Transition</t>
        </is>
      </c>
      <c r="K815" s="11" t="n">
        <v>20.58764963140354</v>
      </c>
      <c r="L815" s="12" t="n">
        <v>1.93224618834169</v>
      </c>
      <c r="M815" s="12" t="n">
        <v>4.736932747145785</v>
      </c>
      <c r="N815" s="12" t="n">
        <v>9.007923960334129</v>
      </c>
      <c r="O815" s="12" t="n">
        <v>280.7880841239891</v>
      </c>
      <c r="P815" s="5" t="inlineStr">
        <is>
          <t>Normal</t>
        </is>
      </c>
      <c r="Q815" s="5" t="inlineStr">
        <is>
          <t>Build</t>
        </is>
      </c>
      <c r="R815" s="12" t="n">
        <v>0.92</v>
      </c>
      <c r="S815" s="5" t="inlineStr">
        <is>
          <t>ACCEPTED</t>
        </is>
      </c>
      <c r="T815" s="5" t="inlineStr">
        <is>
          <t>Normal operation</t>
        </is>
      </c>
    </row>
    <row r="816" s="17">
      <c r="A816" s="7" t="n">
        <v>7405</v>
      </c>
      <c r="B816" s="8" t="n">
        <v>49248.920048</v>
      </c>
      <c r="C816" s="9" t="n">
        <v>49.248920048</v>
      </c>
      <c r="D816" s="9" t="n">
        <v>124.81309335</v>
      </c>
      <c r="E816" s="9" t="n">
        <v>46.65164008</v>
      </c>
      <c r="F816" s="10" t="n">
        <v>0.05294477349388416</v>
      </c>
      <c r="G816" s="10" t="n">
        <v>0.09314362900735197</v>
      </c>
      <c r="H816" s="10" t="n">
        <v>0.9480241048493017</v>
      </c>
      <c r="I816" s="10" t="n">
        <v>0.272614</v>
      </c>
      <c r="J816" s="5" t="inlineStr">
        <is>
          <t>Cleaner sand</t>
        </is>
      </c>
      <c r="K816" s="11" t="n">
        <v>18.60554111821253</v>
      </c>
      <c r="L816" s="12" t="n">
        <v>1.703894533815072</v>
      </c>
      <c r="M816" s="12" t="n">
        <v>4.410399465865052</v>
      </c>
      <c r="N816" s="12" t="n">
        <v>5.81411318368264</v>
      </c>
      <c r="O816" s="12" t="n">
        <v>298.068064061584</v>
      </c>
      <c r="P816" s="5" t="inlineStr">
        <is>
          <t>Normal</t>
        </is>
      </c>
      <c r="Q816" s="5" t="inlineStr">
        <is>
          <t>Build</t>
        </is>
      </c>
      <c r="R816" s="12" t="n">
        <v>0.9399999999999999</v>
      </c>
      <c r="S816" s="5" t="inlineStr">
        <is>
          <t>ACCEPTED</t>
        </is>
      </c>
      <c r="T816" s="5" t="inlineStr">
        <is>
          <t>Normal operation</t>
        </is>
      </c>
    </row>
    <row r="817" s="17">
      <c r="A817" s="7" t="n">
        <v>7410</v>
      </c>
      <c r="B817" s="8" t="n">
        <v>53161.250417</v>
      </c>
      <c r="C817" s="9" t="n">
        <v>53.16125041700001</v>
      </c>
      <c r="D817" s="9" t="n">
        <v>144.2356668</v>
      </c>
      <c r="E817" s="9" t="n">
        <v>44.09550246</v>
      </c>
      <c r="F817" s="10" t="n">
        <v>0.115150708414568</v>
      </c>
      <c r="G817" s="10" t="n">
        <v>0.1582407126369637</v>
      </c>
      <c r="H817" s="10" t="n">
        <v>0.8740668281068268</v>
      </c>
      <c r="I817" s="10" t="n">
        <v>1.498841</v>
      </c>
      <c r="J817" s="5" t="inlineStr">
        <is>
          <t>Cleaner sand</t>
        </is>
      </c>
      <c r="K817" s="11" t="n">
        <v>16.80769837221701</v>
      </c>
      <c r="L817" s="12" t="n">
        <v>1.56330417404941</v>
      </c>
      <c r="M817" s="12" t="n">
        <v>3.991138403426751</v>
      </c>
      <c r="N817" s="12" t="n">
        <v>6.729234348949969</v>
      </c>
      <c r="O817" s="12" t="n">
        <v>295.0890994133846</v>
      </c>
      <c r="P817" s="5" t="inlineStr">
        <is>
          <t>Normal</t>
        </is>
      </c>
      <c r="Q817" s="5" t="inlineStr">
        <is>
          <t>Build</t>
        </is>
      </c>
      <c r="R817" s="12" t="n">
        <v>0.76</v>
      </c>
      <c r="S817" s="5" t="inlineStr">
        <is>
          <t>ACCEPTED</t>
        </is>
      </c>
      <c r="T817" s="5" t="inlineStr">
        <is>
          <t>Normal operation</t>
        </is>
      </c>
    </row>
    <row r="818" s="17">
      <c r="A818" s="7" t="n">
        <v>7415</v>
      </c>
      <c r="B818" s="8" t="n">
        <v>63977.54502</v>
      </c>
      <c r="C818" s="9" t="n">
        <v>63.97754502</v>
      </c>
      <c r="D818" s="9" t="n">
        <v>146.69106546</v>
      </c>
      <c r="E818" s="9" t="n">
        <v>45.9169414</v>
      </c>
      <c r="F818" s="10" t="n">
        <v>0.09976361931821603</v>
      </c>
      <c r="G818" s="10" t="n">
        <v>0.2927610275785103</v>
      </c>
      <c r="H818" s="10" t="n">
        <v>0.9036650183852133</v>
      </c>
      <c r="I818" s="10" t="n">
        <v>0.963012</v>
      </c>
      <c r="J818" s="5" t="inlineStr">
        <is>
          <t>Transition</t>
        </is>
      </c>
      <c r="K818" s="11" t="n">
        <v>20.54965951173945</v>
      </c>
      <c r="L818" s="12" t="n">
        <v>1.585876091009779</v>
      </c>
      <c r="M818" s="12" t="n">
        <v>5.464588066219591</v>
      </c>
      <c r="N818" s="12" t="n">
        <v>9.17363090410349</v>
      </c>
      <c r="O818" s="12" t="n">
        <v>310.2044924457205</v>
      </c>
      <c r="P818" s="5" t="inlineStr">
        <is>
          <t>Normal</t>
        </is>
      </c>
      <c r="Q818" s="5" t="inlineStr">
        <is>
          <t>Turn Left</t>
        </is>
      </c>
      <c r="R818" s="12" t="n">
        <v>0.6899999999999999</v>
      </c>
      <c r="S818" s="5" t="inlineStr">
        <is>
          <t>REDUCED</t>
        </is>
      </c>
      <c r="T818" s="5" t="inlineStr">
        <is>
          <t>Normal operation</t>
        </is>
      </c>
    </row>
    <row r="819" s="17">
      <c r="A819" s="7" t="n">
        <v>7420</v>
      </c>
      <c r="B819" s="8" t="n">
        <v>48633.463059</v>
      </c>
      <c r="C819" s="9" t="n">
        <v>48.633463059</v>
      </c>
      <c r="D819" s="9" t="n">
        <v>141.27332505</v>
      </c>
      <c r="E819" s="9" t="n">
        <v>58.4010068</v>
      </c>
      <c r="F819" s="10" t="n">
        <v>0.0579764669301339</v>
      </c>
      <c r="G819" s="10" t="n">
        <v>0.1348780094415515</v>
      </c>
      <c r="H819" s="10" t="n">
        <v>0.9599036890294507</v>
      </c>
      <c r="I819" s="10" t="n">
        <v>0.229319</v>
      </c>
      <c r="J819" s="5" t="inlineStr">
        <is>
          <t>Cleaner sand</t>
        </is>
      </c>
      <c r="K819" s="11" t="n">
        <v>18.35013152365194</v>
      </c>
      <c r="L819" s="12" t="n">
        <v>1.564494942627186</v>
      </c>
      <c r="M819" s="12" t="n">
        <v>5.979690762343907</v>
      </c>
      <c r="N819" s="12" t="n">
        <v>7.572167071106197</v>
      </c>
      <c r="O819" s="12" t="n">
        <v>300.8141612995642</v>
      </c>
      <c r="P819" s="5" t="inlineStr">
        <is>
          <t>Normal</t>
        </is>
      </c>
      <c r="Q819" s="5" t="inlineStr">
        <is>
          <t>Build</t>
        </is>
      </c>
      <c r="R819" s="12" t="n">
        <v>0.73</v>
      </c>
      <c r="S819" s="5" t="inlineStr">
        <is>
          <t>ACCEPTED</t>
        </is>
      </c>
      <c r="T819" s="5" t="inlineStr">
        <is>
          <t>Normal operation</t>
        </is>
      </c>
    </row>
    <row r="820" s="17">
      <c r="A820" s="7" t="n">
        <v>7425</v>
      </c>
      <c r="B820" s="8" t="n">
        <v>39319.729335</v>
      </c>
      <c r="C820" s="9" t="n">
        <v>39.31972933500001</v>
      </c>
      <c r="D820" s="9" t="n">
        <v>132.81619366</v>
      </c>
      <c r="E820" s="9" t="n">
        <v>63.61609937999999</v>
      </c>
      <c r="F820" s="10" t="n">
        <v>0.08797809298742496</v>
      </c>
      <c r="G820" s="10" t="n">
        <v>0.3019899112656972</v>
      </c>
      <c r="H820" s="10" t="n">
        <v>0.9339946099473039</v>
      </c>
      <c r="I820" s="10" t="n">
        <v>0.575051</v>
      </c>
      <c r="J820" s="5" t="inlineStr">
        <is>
          <t>Transition</t>
        </is>
      </c>
      <c r="K820" s="11" t="n">
        <v>15.82978765809786</v>
      </c>
      <c r="L820" s="12" t="n">
        <v>2.215547347464861</v>
      </c>
      <c r="M820" s="12" t="n">
        <v>4.298148559846121</v>
      </c>
      <c r="N820" s="12" t="n">
        <v>6.84164065587811</v>
      </c>
      <c r="O820" s="12" t="n">
        <v>324.6898272366499</v>
      </c>
      <c r="P820" s="5" t="inlineStr">
        <is>
          <t>Normal</t>
        </is>
      </c>
      <c r="Q820" s="5" t="inlineStr">
        <is>
          <t>Build</t>
        </is>
      </c>
      <c r="R820" s="12" t="n">
        <v>0.61</v>
      </c>
      <c r="S820" s="5" t="inlineStr">
        <is>
          <t>REDUCED</t>
        </is>
      </c>
      <c r="T820" s="5" t="inlineStr">
        <is>
          <t>Normal operation</t>
        </is>
      </c>
    </row>
    <row r="821" s="17">
      <c r="A821" s="7" t="n">
        <v>7430</v>
      </c>
      <c r="B821" s="8" t="n">
        <v>72217.886272</v>
      </c>
      <c r="C821" s="9" t="n">
        <v>72.217886272</v>
      </c>
      <c r="D821" s="9" t="n">
        <v>106.35137113</v>
      </c>
      <c r="E821" s="9" t="n">
        <v>38.29506026</v>
      </c>
      <c r="F821" s="10" t="n">
        <v>0.1198082983429202</v>
      </c>
      <c r="G821" s="10" t="n">
        <v>0.3775609955055181</v>
      </c>
      <c r="H821" s="10" t="n">
        <v>0.850501623223642</v>
      </c>
      <c r="I821" s="10" t="n">
        <v>1.800319</v>
      </c>
      <c r="J821" s="5" t="inlineStr">
        <is>
          <t>Transition</t>
        </is>
      </c>
      <c r="K821" s="11" t="n">
        <v>22.86366659036904</v>
      </c>
      <c r="L821" s="12" t="n">
        <v>1.950842793917622</v>
      </c>
      <c r="M821" s="12" t="n">
        <v>4.22478488683559</v>
      </c>
      <c r="N821" s="12" t="n">
        <v>5.534891842449021</v>
      </c>
      <c r="O821" s="12" t="n">
        <v>317.0822099094761</v>
      </c>
      <c r="P821" s="5" t="inlineStr">
        <is>
          <t>Normal</t>
        </is>
      </c>
      <c r="Q821" s="5" t="inlineStr">
        <is>
          <t>Build</t>
        </is>
      </c>
      <c r="R821" s="12" t="n">
        <v>0.9399999999999999</v>
      </c>
      <c r="S821" s="5" t="inlineStr">
        <is>
          <t>ACCEPTED</t>
        </is>
      </c>
      <c r="T821" s="5" t="inlineStr">
        <is>
          <t>WOB outside preferred band</t>
        </is>
      </c>
    </row>
    <row r="822" s="17">
      <c r="A822" s="7" t="n">
        <v>7435</v>
      </c>
      <c r="B822" s="8" t="n">
        <v>46998.348821</v>
      </c>
      <c r="C822" s="9" t="n">
        <v>46.998348821</v>
      </c>
      <c r="D822" s="9" t="n">
        <v>121.69559449</v>
      </c>
      <c r="E822" s="9" t="n">
        <v>50.25388696</v>
      </c>
      <c r="F822" s="10" t="n">
        <v>0.04090390605113604</v>
      </c>
      <c r="G822" s="10" t="n">
        <v>0.06996710138379718</v>
      </c>
      <c r="H822" s="10" t="n">
        <v>0.9551482069647806</v>
      </c>
      <c r="I822" s="10" t="n">
        <v>0.207121</v>
      </c>
      <c r="J822" s="5" t="inlineStr">
        <is>
          <t>Cleaner sand</t>
        </is>
      </c>
      <c r="K822" s="11" t="n">
        <v>16.64247940707716</v>
      </c>
      <c r="L822" s="12" t="n">
        <v>1.1</v>
      </c>
      <c r="M822" s="12" t="n">
        <v>5.136891262878752</v>
      </c>
      <c r="N822" s="12" t="n">
        <v>5.675927557427913</v>
      </c>
      <c r="O822" s="12" t="n">
        <v>318.6233860538442</v>
      </c>
      <c r="P822" s="5" t="inlineStr">
        <is>
          <t>Normal</t>
        </is>
      </c>
      <c r="Q822" s="5" t="inlineStr">
        <is>
          <t>Build</t>
        </is>
      </c>
      <c r="R822" s="12" t="n">
        <v>0.79</v>
      </c>
      <c r="S822" s="5" t="inlineStr">
        <is>
          <t>ACCEPTED</t>
        </is>
      </c>
      <c r="T822" s="5" t="inlineStr">
        <is>
          <t>Normal operation</t>
        </is>
      </c>
    </row>
    <row r="823" s="17">
      <c r="A823" s="7" t="n">
        <v>7440</v>
      </c>
      <c r="B823" s="8" t="n">
        <v>61226.170957</v>
      </c>
      <c r="C823" s="9" t="n">
        <v>61.226170957</v>
      </c>
      <c r="D823" s="9" t="n">
        <v>142.64860019</v>
      </c>
      <c r="E823" s="9" t="n">
        <v>58.70859044</v>
      </c>
      <c r="F823" s="10" t="n">
        <v>0.1596855931811912</v>
      </c>
      <c r="G823" s="10" t="n">
        <v>0.2990447409852889</v>
      </c>
      <c r="H823" s="10" t="n">
        <v>0.882683664038763</v>
      </c>
      <c r="I823" s="10" t="n">
        <v>1.862805</v>
      </c>
      <c r="J823" s="5" t="inlineStr">
        <is>
          <t>Transition</t>
        </is>
      </c>
      <c r="K823" s="11" t="n">
        <v>21.18591949212678</v>
      </c>
      <c r="L823" s="12" t="n">
        <v>1.981391380499583</v>
      </c>
      <c r="M823" s="12" t="n">
        <v>4.486792418437621</v>
      </c>
      <c r="N823" s="12" t="n">
        <v>4.229793255938735</v>
      </c>
      <c r="O823" s="12" t="n">
        <v>329.2010228339017</v>
      </c>
      <c r="P823" s="5" t="inlineStr">
        <is>
          <t>Normal</t>
        </is>
      </c>
      <c r="Q823" s="5" t="inlineStr">
        <is>
          <t>Build</t>
        </is>
      </c>
      <c r="R823" s="12" t="n">
        <v>0.5600000000000001</v>
      </c>
      <c r="S823" s="5" t="inlineStr">
        <is>
          <t>REDUCED</t>
        </is>
      </c>
      <c r="T823" s="5" t="inlineStr">
        <is>
          <t>Normal operation</t>
        </is>
      </c>
    </row>
    <row r="824" s="17">
      <c r="A824" s="7" t="n">
        <v>7445</v>
      </c>
      <c r="B824" s="8" t="n">
        <v>61753.784625</v>
      </c>
      <c r="C824" s="9" t="n">
        <v>61.753784625</v>
      </c>
      <c r="D824" s="9" t="n">
        <v>150.7527162</v>
      </c>
      <c r="E824" s="9" t="n">
        <v>37.89217622</v>
      </c>
      <c r="F824" s="10" t="n">
        <v>0.09338497286118921</v>
      </c>
      <c r="G824" s="10" t="n">
        <v>0.2792726752694492</v>
      </c>
      <c r="H824" s="10" t="n">
        <v>0.8879499315813285</v>
      </c>
      <c r="I824" s="10" t="n">
        <v>1.061758</v>
      </c>
      <c r="J824" s="5" t="inlineStr">
        <is>
          <t>Transition</t>
        </is>
      </c>
      <c r="K824" s="11" t="n">
        <v>22.17250973976357</v>
      </c>
      <c r="L824" s="12" t="n">
        <v>1.7554207354122</v>
      </c>
      <c r="M824" s="12" t="n">
        <v>4.690871088134799</v>
      </c>
      <c r="N824" s="12" t="n">
        <v>6.505013266380053</v>
      </c>
      <c r="O824" s="12" t="n">
        <v>334.3536802366642</v>
      </c>
      <c r="P824" s="5" t="inlineStr">
        <is>
          <t>Normal</t>
        </is>
      </c>
      <c r="Q824" s="5" t="inlineStr">
        <is>
          <t>Turn Left</t>
        </is>
      </c>
      <c r="R824" s="12" t="n">
        <v>0.43</v>
      </c>
      <c r="S824" s="5" t="inlineStr">
        <is>
          <t>REJECTED</t>
        </is>
      </c>
      <c r="T824" s="5" t="inlineStr">
        <is>
          <t>Normal operation</t>
        </is>
      </c>
    </row>
    <row r="825" s="17">
      <c r="A825" s="7" t="n">
        <v>7450</v>
      </c>
      <c r="B825" s="8" t="n">
        <v>50080.315135</v>
      </c>
      <c r="C825" s="9" t="n">
        <v>50.080315135</v>
      </c>
      <c r="D825" s="9" t="n">
        <v>122.91511831</v>
      </c>
      <c r="E825" s="9" t="n">
        <v>53.03828716</v>
      </c>
      <c r="F825" s="10" t="n">
        <v>0.07466226863218216</v>
      </c>
      <c r="G825" s="10" t="n">
        <v>0.08287419048941565</v>
      </c>
      <c r="H825" s="10" t="n">
        <v>0.9347121262412298</v>
      </c>
      <c r="I825" s="10" t="n">
        <v>0.535656</v>
      </c>
      <c r="J825" s="5" t="inlineStr">
        <is>
          <t>Cleaner sand</t>
        </is>
      </c>
      <c r="K825" s="11" t="n">
        <v>17.36376955531752</v>
      </c>
      <c r="L825" s="12" t="n">
        <v>1.65083270934151</v>
      </c>
      <c r="M825" s="12" t="n">
        <v>5.423164492101709</v>
      </c>
      <c r="N825" s="12" t="n">
        <v>5.637256058739435</v>
      </c>
      <c r="O825" s="12" t="n">
        <v>326.4097656442967</v>
      </c>
      <c r="P825" s="5" t="inlineStr">
        <is>
          <t>Normal</t>
        </is>
      </c>
      <c r="Q825" s="5" t="inlineStr">
        <is>
          <t>Build</t>
        </is>
      </c>
      <c r="R825" s="12" t="n">
        <v>0.42</v>
      </c>
      <c r="S825" s="5" t="inlineStr">
        <is>
          <t>REJECTED</t>
        </is>
      </c>
      <c r="T825" s="5" t="inlineStr">
        <is>
          <t>Normal operation</t>
        </is>
      </c>
    </row>
    <row r="826" s="17">
      <c r="A826" s="7" t="n">
        <v>7455</v>
      </c>
      <c r="B826" s="8" t="n">
        <v>65291.812895</v>
      </c>
      <c r="C826" s="9" t="n">
        <v>65.29181289500001</v>
      </c>
      <c r="D826" s="9" t="n">
        <v>158.12449912</v>
      </c>
      <c r="E826" s="9" t="n">
        <v>46.93380454</v>
      </c>
      <c r="F826" s="10" t="n">
        <v>0.1375960298313166</v>
      </c>
      <c r="G826" s="10" t="n">
        <v>0.09356901749877125</v>
      </c>
      <c r="H826" s="10" t="n">
        <v>0.9478107052779083</v>
      </c>
      <c r="I826" s="10" t="n">
        <v>0.747154</v>
      </c>
      <c r="J826" s="5" t="inlineStr">
        <is>
          <t>Cleaner sand</t>
        </is>
      </c>
      <c r="K826" s="11" t="n">
        <v>20.07882901024647</v>
      </c>
      <c r="L826" s="12" t="n">
        <v>1.469625957986446</v>
      </c>
      <c r="M826" s="12" t="n">
        <v>3.332888487244754</v>
      </c>
      <c r="N826" s="12" t="n">
        <v>4.937207368016666</v>
      </c>
      <c r="O826" s="12" t="n">
        <v>320.6129250003734</v>
      </c>
      <c r="P826" s="5" t="inlineStr">
        <is>
          <t>Normal</t>
        </is>
      </c>
      <c r="Q826" s="5" t="inlineStr">
        <is>
          <t>Build</t>
        </is>
      </c>
      <c r="R826" s="12" t="n">
        <v>0.51</v>
      </c>
      <c r="S826" s="5" t="inlineStr">
        <is>
          <t>REDUCED</t>
        </is>
      </c>
      <c r="T826" s="5" t="inlineStr">
        <is>
          <t>Normal operation</t>
        </is>
      </c>
    </row>
    <row r="827" s="17">
      <c r="A827" s="7" t="n">
        <v>7460</v>
      </c>
      <c r="B827" s="8" t="n">
        <v>73776.683775</v>
      </c>
      <c r="C827" s="9" t="n">
        <v>73.776683775</v>
      </c>
      <c r="D827" s="9" t="n">
        <v>146.70418589</v>
      </c>
      <c r="E827" s="9" t="n">
        <v>44.07061218</v>
      </c>
      <c r="F827" s="10" t="n">
        <v>0.06748747570753212</v>
      </c>
      <c r="G827" s="10" t="n">
        <v>0.2761061336954979</v>
      </c>
      <c r="H827" s="10" t="n">
        <v>0.8971236760939831</v>
      </c>
      <c r="I827" s="10" t="n">
        <v>0.708</v>
      </c>
      <c r="J827" s="5" t="inlineStr">
        <is>
          <t>Transition</t>
        </is>
      </c>
      <c r="K827" s="11" t="n">
        <v>23.53826726521002</v>
      </c>
      <c r="L827" s="12" t="n">
        <v>2.210815232793147</v>
      </c>
      <c r="M827" s="12" t="n">
        <v>5.943822945070745</v>
      </c>
      <c r="N827" s="12" t="n">
        <v>5.928740585343939</v>
      </c>
      <c r="O827" s="12" t="n">
        <v>312.112376419008</v>
      </c>
      <c r="P827" s="5" t="inlineStr">
        <is>
          <t>Normal</t>
        </is>
      </c>
      <c r="Q827" s="5" t="inlineStr">
        <is>
          <t>Build</t>
        </is>
      </c>
      <c r="R827" s="12" t="n">
        <v>0.53</v>
      </c>
      <c r="S827" s="5" t="inlineStr">
        <is>
          <t>REDUCED</t>
        </is>
      </c>
      <c r="T827" s="5" t="inlineStr">
        <is>
          <t>WOB outside preferred band</t>
        </is>
      </c>
    </row>
    <row r="828" s="17">
      <c r="A828" s="7" t="n">
        <v>7465</v>
      </c>
      <c r="B828" s="8" t="n">
        <v>53808.84397</v>
      </c>
      <c r="C828" s="9" t="n">
        <v>53.80884397000001</v>
      </c>
      <c r="D828" s="9" t="n">
        <v>134.78618422</v>
      </c>
      <c r="E828" s="9" t="n">
        <v>52.00705024</v>
      </c>
      <c r="F828" s="10" t="n">
        <v>0.05294755385003862</v>
      </c>
      <c r="G828" s="10" t="n">
        <v>0.02855527891644025</v>
      </c>
      <c r="H828" s="10" t="n">
        <v>0.9311152487890089</v>
      </c>
      <c r="I828" s="10" t="n">
        <v>0.400576</v>
      </c>
      <c r="J828" s="5" t="inlineStr">
        <is>
          <t>Cleaner sand</t>
        </is>
      </c>
      <c r="K828" s="11" t="n">
        <v>19.99193735083455</v>
      </c>
      <c r="L828" s="12" t="n">
        <v>2.1242879664402</v>
      </c>
      <c r="M828" s="12" t="n">
        <v>4.976007659156444</v>
      </c>
      <c r="N828" s="12" t="n">
        <v>6.628871162669119</v>
      </c>
      <c r="O828" s="12" t="n">
        <v>324.3271789210976</v>
      </c>
      <c r="P828" s="5" t="inlineStr">
        <is>
          <t>Normal</t>
        </is>
      </c>
      <c r="Q828" s="5" t="inlineStr">
        <is>
          <t>Build</t>
        </is>
      </c>
      <c r="R828" s="12" t="n">
        <v>0.63</v>
      </c>
      <c r="S828" s="5" t="inlineStr">
        <is>
          <t>REDUCED</t>
        </is>
      </c>
      <c r="T828" s="5" t="inlineStr">
        <is>
          <t>Normal operation</t>
        </is>
      </c>
    </row>
    <row r="829" s="17">
      <c r="A829" s="7" t="n">
        <v>7470</v>
      </c>
      <c r="B829" s="8" t="n">
        <v>55607.638736</v>
      </c>
      <c r="C829" s="9" t="n">
        <v>55.607638736</v>
      </c>
      <c r="D829" s="9" t="n">
        <v>142.33410601</v>
      </c>
      <c r="E829" s="9" t="n">
        <v>45.22813976</v>
      </c>
      <c r="F829" s="10" t="n">
        <v>0.1208550421307292</v>
      </c>
      <c r="G829" s="10" t="n">
        <v>0.1251968730500079</v>
      </c>
      <c r="H829" s="10" t="n">
        <v>0.9117928915771695</v>
      </c>
      <c r="I829" s="10" t="n">
        <v>1.077294</v>
      </c>
      <c r="J829" s="5" t="inlineStr">
        <is>
          <t>Cleaner sand</t>
        </is>
      </c>
      <c r="K829" s="11" t="n">
        <v>18.22034243780621</v>
      </c>
      <c r="L829" s="12" t="n">
        <v>1.281289942766431</v>
      </c>
      <c r="M829" s="12" t="n">
        <v>4.617223398617677</v>
      </c>
      <c r="N829" s="12" t="n">
        <v>9.015274958931752</v>
      </c>
      <c r="O829" s="12" t="n">
        <v>326.1556725556177</v>
      </c>
      <c r="P829" s="5" t="inlineStr">
        <is>
          <t>Normal</t>
        </is>
      </c>
      <c r="Q829" s="5" t="inlineStr">
        <is>
          <t>Turn Left</t>
        </is>
      </c>
      <c r="R829" s="12" t="n">
        <v>0.52</v>
      </c>
      <c r="S829" s="5" t="inlineStr">
        <is>
          <t>REDUCED</t>
        </is>
      </c>
      <c r="T829" s="5" t="inlineStr">
        <is>
          <t>Normal operation</t>
        </is>
      </c>
    </row>
    <row r="830" s="17">
      <c r="A830" s="7" t="n">
        <v>7475</v>
      </c>
      <c r="B830" s="8" t="n">
        <v>65110.290477</v>
      </c>
      <c r="C830" s="9" t="n">
        <v>65.11029047700001</v>
      </c>
      <c r="D830" s="9" t="n">
        <v>99.98352308</v>
      </c>
      <c r="E830" s="9" t="n">
        <v>36.60065572000001</v>
      </c>
      <c r="F830" s="10" t="n">
        <v>0.06652676318011716</v>
      </c>
      <c r="G830" s="10" t="n">
        <v>0.2124841688109087</v>
      </c>
      <c r="H830" s="10" t="n">
        <v>0.9455499192393153</v>
      </c>
      <c r="I830" s="10" t="n">
        <v>0.367782</v>
      </c>
      <c r="J830" s="5" t="inlineStr">
        <is>
          <t>Cleaner sand</t>
        </is>
      </c>
      <c r="K830" s="11" t="n">
        <v>20.07075881611059</v>
      </c>
      <c r="L830" s="12" t="n">
        <v>1.859455620691022</v>
      </c>
      <c r="M830" s="12" t="n">
        <v>4.903455887512143</v>
      </c>
      <c r="N830" s="12" t="n">
        <v>4.467077506124908</v>
      </c>
      <c r="O830" s="12" t="n">
        <v>334.3396353605694</v>
      </c>
      <c r="P830" s="5" t="inlineStr">
        <is>
          <t>Normal</t>
        </is>
      </c>
      <c r="Q830" s="5" t="inlineStr">
        <is>
          <t>Build</t>
        </is>
      </c>
      <c r="R830" s="12" t="n">
        <v>0.75</v>
      </c>
      <c r="S830" s="5" t="inlineStr">
        <is>
          <t>ACCEPTED</t>
        </is>
      </c>
      <c r="T830" s="5" t="inlineStr">
        <is>
          <t>Normal operation</t>
        </is>
      </c>
    </row>
    <row r="831" s="17">
      <c r="A831" s="7" t="n">
        <v>7480</v>
      </c>
      <c r="B831" s="8" t="n">
        <v>57989.656169</v>
      </c>
      <c r="C831" s="9" t="n">
        <v>57.989656169</v>
      </c>
      <c r="D831" s="9" t="n">
        <v>135.29807223</v>
      </c>
      <c r="E831" s="9" t="n">
        <v>50.47091308</v>
      </c>
      <c r="F831" s="10" t="n">
        <v>0.03861978770993964</v>
      </c>
      <c r="G831" s="10" t="n">
        <v>0.2078952072967097</v>
      </c>
      <c r="H831" s="10" t="n">
        <v>0.890964825243719</v>
      </c>
      <c r="I831" s="10" t="n">
        <v>0.415685</v>
      </c>
      <c r="J831" s="5" t="inlineStr">
        <is>
          <t>Cleaner sand</t>
        </is>
      </c>
      <c r="K831" s="11" t="n">
        <v>18.89952237772515</v>
      </c>
      <c r="L831" s="12" t="n">
        <v>1.18388820007477</v>
      </c>
      <c r="M831" s="12" t="n">
        <v>4.973080724152074</v>
      </c>
      <c r="N831" s="12" t="n">
        <v>8.078129612346045</v>
      </c>
      <c r="O831" s="12" t="n">
        <v>330.5572250760397</v>
      </c>
      <c r="P831" s="5" t="inlineStr">
        <is>
          <t>Normal</t>
        </is>
      </c>
      <c r="Q831" s="5" t="inlineStr">
        <is>
          <t>Turn Left</t>
        </is>
      </c>
      <c r="R831" s="12" t="n">
        <v>0.52</v>
      </c>
      <c r="S831" s="5" t="inlineStr">
        <is>
          <t>REDUCED</t>
        </is>
      </c>
      <c r="T831" s="5" t="inlineStr">
        <is>
          <t>Normal operation</t>
        </is>
      </c>
    </row>
    <row r="832" s="17">
      <c r="A832" s="7" t="n">
        <v>7485</v>
      </c>
      <c r="B832" s="8" t="n">
        <v>52585.630246</v>
      </c>
      <c r="C832" s="9" t="n">
        <v>52.585630246</v>
      </c>
      <c r="D832" s="9" t="n">
        <v>140.1310417</v>
      </c>
      <c r="E832" s="9" t="n">
        <v>50.35895848</v>
      </c>
      <c r="F832" s="10" t="n">
        <v>0.06088619177214109</v>
      </c>
      <c r="G832" s="10" t="n">
        <v>0.1643303827088139</v>
      </c>
      <c r="H832" s="10" t="n">
        <v>0.9415894862894483</v>
      </c>
      <c r="I832" s="10" t="n">
        <v>0.397305</v>
      </c>
      <c r="J832" s="5" t="inlineStr">
        <is>
          <t>Cleaner sand</t>
        </is>
      </c>
      <c r="K832" s="11" t="n">
        <v>16.84293923588215</v>
      </c>
      <c r="L832" s="12" t="n">
        <v>1.1</v>
      </c>
      <c r="M832" s="12" t="n">
        <v>3.646337078552912</v>
      </c>
      <c r="N832" s="12" t="n">
        <v>7.974374589873223</v>
      </c>
      <c r="O832" s="12" t="n">
        <v>341.4238394058254</v>
      </c>
      <c r="P832" s="5" t="inlineStr">
        <is>
          <t>Normal</t>
        </is>
      </c>
      <c r="Q832" s="5" t="inlineStr">
        <is>
          <t>Turn Left</t>
        </is>
      </c>
      <c r="R832" s="12" t="n">
        <v>0.5</v>
      </c>
      <c r="S832" s="5" t="inlineStr">
        <is>
          <t>REDUCED</t>
        </is>
      </c>
      <c r="T832" s="5" t="inlineStr">
        <is>
          <t>Normal operation</t>
        </is>
      </c>
    </row>
    <row r="833" s="17">
      <c r="A833" s="7" t="n">
        <v>7490</v>
      </c>
      <c r="B833" s="8" t="n">
        <v>61300.951054</v>
      </c>
      <c r="C833" s="9" t="n">
        <v>61.300951054</v>
      </c>
      <c r="D833" s="9" t="n">
        <v>122.87232836</v>
      </c>
      <c r="E833" s="9" t="n">
        <v>35.53387098</v>
      </c>
      <c r="F833" s="10" t="n">
        <v>0.05513908717527363</v>
      </c>
      <c r="G833" s="10" t="n">
        <v>0.3425302486363856</v>
      </c>
      <c r="H833" s="10" t="n">
        <v>0.8883009235566098</v>
      </c>
      <c r="I833" s="10" t="n">
        <v>0.6041800000000001</v>
      </c>
      <c r="J833" s="5" t="inlineStr">
        <is>
          <t>Transition</t>
        </is>
      </c>
      <c r="K833" s="11" t="n">
        <v>18.87167378255837</v>
      </c>
      <c r="L833" s="12" t="n">
        <v>1.352908559950917</v>
      </c>
      <c r="M833" s="12" t="n">
        <v>6.255274564524155</v>
      </c>
      <c r="N833" s="12" t="n">
        <v>5.834930303862199</v>
      </c>
      <c r="O833" s="12" t="n">
        <v>328.7450929790213</v>
      </c>
      <c r="P833" s="5" t="inlineStr">
        <is>
          <t>Caution</t>
        </is>
      </c>
      <c r="Q833" s="5" t="inlineStr">
        <is>
          <t>Turn Left</t>
        </is>
      </c>
      <c r="R833" s="12" t="n">
        <v>0.66</v>
      </c>
      <c r="S833" s="5" t="inlineStr">
        <is>
          <t>REDUCED</t>
        </is>
      </c>
      <c r="T833" s="5" t="inlineStr">
        <is>
          <t>DLS exceeds normal range</t>
        </is>
      </c>
    </row>
    <row r="834" s="17">
      <c r="A834" s="7" t="n">
        <v>7495</v>
      </c>
      <c r="B834" s="8" t="n">
        <v>32534.737347</v>
      </c>
      <c r="C834" s="9" t="n">
        <v>32.534737347</v>
      </c>
      <c r="D834" s="9" t="n">
        <v>135.42832033</v>
      </c>
      <c r="E834" s="9" t="n">
        <v>47.16260258</v>
      </c>
      <c r="F834" s="10" t="n">
        <v>0.06855173272971393</v>
      </c>
      <c r="G834" s="10" t="n">
        <v>0.1811453529675862</v>
      </c>
      <c r="H834" s="10" t="n">
        <v>0.9410814482034258</v>
      </c>
      <c r="I834" s="10" t="n">
        <v>0.390419</v>
      </c>
      <c r="J834" s="5" t="inlineStr">
        <is>
          <t>Cleaner sand</t>
        </is>
      </c>
      <c r="K834" s="11" t="n">
        <v>13.49545613700675</v>
      </c>
      <c r="L834" s="12" t="n">
        <v>2.082572801467552</v>
      </c>
      <c r="M834" s="12" t="n">
        <v>5.120273466837721</v>
      </c>
      <c r="N834" s="12" t="n">
        <v>7.250365910512014</v>
      </c>
      <c r="O834" s="12" t="n">
        <v>334.4285543540768</v>
      </c>
      <c r="P834" s="5" t="inlineStr">
        <is>
          <t>Normal</t>
        </is>
      </c>
      <c r="Q834" s="5" t="inlineStr">
        <is>
          <t>Turn Left</t>
        </is>
      </c>
      <c r="R834" s="12" t="n">
        <v>0.89</v>
      </c>
      <c r="S834" s="5" t="inlineStr">
        <is>
          <t>ACCEPTED</t>
        </is>
      </c>
      <c r="T834" s="5" t="inlineStr">
        <is>
          <t>Normal operation</t>
        </is>
      </c>
    </row>
    <row r="835" s="17">
      <c r="A835" s="7" t="n">
        <v>7500</v>
      </c>
      <c r="B835" s="8" t="n">
        <v>60914.366758</v>
      </c>
      <c r="C835" s="9" t="n">
        <v>60.914366758</v>
      </c>
      <c r="D835" s="9" t="n">
        <v>123.18893301</v>
      </c>
      <c r="E835" s="9" t="n">
        <v>35.48141394</v>
      </c>
      <c r="F835" s="10" t="n">
        <v>0.08505361327241992</v>
      </c>
      <c r="G835" s="10" t="n">
        <v>0.09091320805789881</v>
      </c>
      <c r="H835" s="10" t="n">
        <v>0.9480333817504485</v>
      </c>
      <c r="I835" s="10" t="n">
        <v>0.425449</v>
      </c>
      <c r="J835" s="5" t="inlineStr">
        <is>
          <t>Cleaner sand</t>
        </is>
      </c>
      <c r="K835" s="11" t="n">
        <v>18.95142695127689</v>
      </c>
      <c r="L835" s="12" t="n">
        <v>2.127031272234282</v>
      </c>
      <c r="M835" s="12" t="n">
        <v>5.469364907271728</v>
      </c>
      <c r="N835" s="12" t="n">
        <v>6.529644249909537</v>
      </c>
      <c r="O835" s="12" t="n">
        <v>344.5</v>
      </c>
      <c r="P835" s="5" t="inlineStr">
        <is>
          <t>Normal</t>
        </is>
      </c>
      <c r="Q835" s="5" t="inlineStr">
        <is>
          <t>Turn Left</t>
        </is>
      </c>
      <c r="R835" s="12" t="n">
        <v>0.66</v>
      </c>
      <c r="S835" s="5" t="inlineStr">
        <is>
          <t>REDUCED</t>
        </is>
      </c>
      <c r="T835" s="5" t="inlineStr">
        <is>
          <t>Normal operation</t>
        </is>
      </c>
    </row>
    <row r="836" s="17">
      <c r="A836" s="7" t="n">
        <v>7505</v>
      </c>
      <c r="B836" s="8" t="n">
        <v>72854.849535</v>
      </c>
      <c r="C836" s="9" t="n">
        <v>72.854849535</v>
      </c>
      <c r="D836" s="9" t="n">
        <v>162.75092256</v>
      </c>
      <c r="E836" s="9" t="n">
        <v>32.6652658</v>
      </c>
      <c r="F836" s="10" t="n">
        <v>0.1064663161212097</v>
      </c>
      <c r="G836" s="10" t="n">
        <v>0.2314160956347181</v>
      </c>
      <c r="H836" s="10" t="n">
        <v>0.9898334067224007</v>
      </c>
      <c r="I836" s="10" t="n">
        <v>0.149785</v>
      </c>
      <c r="J836" s="5" t="inlineStr">
        <is>
          <t>Cleaner sand</t>
        </is>
      </c>
      <c r="K836" s="11" t="n">
        <v>21.88065264753534</v>
      </c>
      <c r="L836" s="12" t="n">
        <v>1.911411855847673</v>
      </c>
      <c r="M836" s="12" t="n">
        <v>5.903812680146395</v>
      </c>
      <c r="N836" s="12" t="n">
        <v>7.504370933091078</v>
      </c>
      <c r="O836" s="12" t="n">
        <v>338.0453169970658</v>
      </c>
      <c r="P836" s="5" t="inlineStr">
        <is>
          <t>Normal</t>
        </is>
      </c>
      <c r="Q836" s="5" t="inlineStr">
        <is>
          <t>Turn Left</t>
        </is>
      </c>
      <c r="R836" s="12" t="n">
        <v>0.63</v>
      </c>
      <c r="S836" s="5" t="inlineStr">
        <is>
          <t>REDUCED</t>
        </is>
      </c>
      <c r="T836" s="5" t="inlineStr">
        <is>
          <t>WOB outside preferred band</t>
        </is>
      </c>
    </row>
    <row r="837" s="17">
      <c r="A837" s="7" t="n">
        <v>7510</v>
      </c>
      <c r="B837" s="8" t="n">
        <v>46175.796662</v>
      </c>
      <c r="C837" s="9" t="n">
        <v>46.175796662</v>
      </c>
      <c r="D837" s="9" t="n">
        <v>133.11184387</v>
      </c>
      <c r="E837" s="9" t="n">
        <v>42.2806268</v>
      </c>
      <c r="F837" s="10" t="n">
        <v>0.04915981020127293</v>
      </c>
      <c r="G837" s="10" t="n">
        <v>0.1356002266626926</v>
      </c>
      <c r="H837" s="10" t="n">
        <v>0.9537827561635764</v>
      </c>
      <c r="I837" s="10" t="n">
        <v>0.231814</v>
      </c>
      <c r="J837" s="5" t="inlineStr">
        <is>
          <t>Cleaner sand</t>
        </is>
      </c>
      <c r="K837" s="11" t="n">
        <v>17.24269745840525</v>
      </c>
      <c r="L837" s="12" t="n">
        <v>2.015296935555519</v>
      </c>
      <c r="M837" s="12" t="n">
        <v>4.353110142085145</v>
      </c>
      <c r="N837" s="12" t="n">
        <v>9.363254400470897</v>
      </c>
      <c r="O837" s="12" t="n">
        <v>333.5318463551927</v>
      </c>
      <c r="P837" s="5" t="inlineStr">
        <is>
          <t>Normal</t>
        </is>
      </c>
      <c r="Q837" s="5" t="inlineStr">
        <is>
          <t>Turn Left</t>
        </is>
      </c>
      <c r="R837" s="12" t="n">
        <v>0.72</v>
      </c>
      <c r="S837" s="5" t="inlineStr">
        <is>
          <t>ACCEPTED</t>
        </is>
      </c>
      <c r="T837" s="5" t="inlineStr">
        <is>
          <t>Normal operation</t>
        </is>
      </c>
    </row>
    <row r="838" s="17">
      <c r="A838" s="7" t="n">
        <v>7515</v>
      </c>
      <c r="B838" s="8" t="n">
        <v>66907.370387</v>
      </c>
      <c r="C838" s="9" t="n">
        <v>66.907370387</v>
      </c>
      <c r="D838" s="9" t="n">
        <v>126.40310369</v>
      </c>
      <c r="E838" s="9" t="n">
        <v>50.32370422</v>
      </c>
      <c r="F838" s="10" t="n">
        <v>0.1479401181251824</v>
      </c>
      <c r="G838" s="10" t="n">
        <v>0.2443703329497086</v>
      </c>
      <c r="H838" s="10" t="n">
        <v>0.8951889119804879</v>
      </c>
      <c r="I838" s="10" t="n">
        <v>1.545638</v>
      </c>
      <c r="J838" s="5" t="inlineStr">
        <is>
          <t>Cleaner sand</t>
        </is>
      </c>
      <c r="K838" s="11" t="n">
        <v>22.37196798677072</v>
      </c>
      <c r="L838" s="12" t="n">
        <v>1.91292736068633</v>
      </c>
      <c r="M838" s="12" t="n">
        <v>5.576140629739261</v>
      </c>
      <c r="N838" s="12" t="n">
        <v>8.327080489963951</v>
      </c>
      <c r="O838" s="12" t="n">
        <v>327.4137521686532</v>
      </c>
      <c r="P838" s="5" t="inlineStr">
        <is>
          <t>Normal</t>
        </is>
      </c>
      <c r="Q838" s="5" t="inlineStr">
        <is>
          <t>Turn Left</t>
        </is>
      </c>
      <c r="R838" s="12" t="n">
        <v>0.54</v>
      </c>
      <c r="S838" s="5" t="inlineStr">
        <is>
          <t>REDUCED</t>
        </is>
      </c>
      <c r="T838" s="5" t="inlineStr">
        <is>
          <t>Normal operation</t>
        </is>
      </c>
    </row>
    <row r="839" s="17">
      <c r="A839" s="7" t="n">
        <v>7520</v>
      </c>
      <c r="B839" s="8" t="n">
        <v>70090.341591</v>
      </c>
      <c r="C839" s="9" t="n">
        <v>70.090341591</v>
      </c>
      <c r="D839" s="9" t="n">
        <v>112.26335083</v>
      </c>
      <c r="E839" s="9" t="n">
        <v>51.40884466</v>
      </c>
      <c r="F839" s="10" t="n">
        <v>0.1103492297906488</v>
      </c>
      <c r="G839" s="10" t="n">
        <v>0.2738338307771446</v>
      </c>
      <c r="H839" s="10" t="n">
        <v>0.9183878260605857</v>
      </c>
      <c r="I839" s="10" t="n">
        <v>0.8973640000000001</v>
      </c>
      <c r="J839" s="5" t="inlineStr">
        <is>
          <t>Transition</t>
        </is>
      </c>
      <c r="K839" s="11" t="n">
        <v>20.40853069549306</v>
      </c>
      <c r="L839" s="12" t="n">
        <v>1.345674018340753</v>
      </c>
      <c r="M839" s="12" t="n">
        <v>5.010427181947493</v>
      </c>
      <c r="N839" s="12" t="n">
        <v>8.339391577244999</v>
      </c>
      <c r="O839" s="12" t="n">
        <v>326.1997399098529</v>
      </c>
      <c r="P839" s="5" t="inlineStr">
        <is>
          <t>Normal</t>
        </is>
      </c>
      <c r="Q839" s="5" t="inlineStr">
        <is>
          <t>Turn Left</t>
        </is>
      </c>
      <c r="R839" s="12" t="n">
        <v>0.59</v>
      </c>
      <c r="S839" s="5" t="inlineStr">
        <is>
          <t>REDUCED</t>
        </is>
      </c>
      <c r="T839" s="5" t="inlineStr">
        <is>
          <t>WOB outside preferred band</t>
        </is>
      </c>
    </row>
    <row r="840" s="17">
      <c r="A840" s="7" t="n">
        <v>7525</v>
      </c>
      <c r="B840" s="8" t="n">
        <v>43838.467378</v>
      </c>
      <c r="C840" s="9" t="n">
        <v>43.838467378</v>
      </c>
      <c r="D840" s="9" t="n">
        <v>139.38953592</v>
      </c>
      <c r="E840" s="9" t="n">
        <v>46.71114256</v>
      </c>
      <c r="F840" s="10" t="n">
        <v>0.04791577977800875</v>
      </c>
      <c r="G840" s="10" t="n">
        <v>0.1233113569916855</v>
      </c>
      <c r="H840" s="10" t="n">
        <v>0.9451361217695862</v>
      </c>
      <c r="I840" s="10" t="n">
        <v>0.24446</v>
      </c>
      <c r="J840" s="5" t="inlineStr">
        <is>
          <t>Cleaner sand</t>
        </is>
      </c>
      <c r="K840" s="11" t="n">
        <v>17.5629197197872</v>
      </c>
      <c r="L840" s="12" t="n">
        <v>1.871642046890231</v>
      </c>
      <c r="M840" s="12" t="n">
        <v>5.928985754327677</v>
      </c>
      <c r="N840" s="12" t="n">
        <v>7.257206880598753</v>
      </c>
      <c r="O840" s="12" t="n">
        <v>322.9253226356132</v>
      </c>
      <c r="P840" s="5" t="inlineStr">
        <is>
          <t>Normal</t>
        </is>
      </c>
      <c r="Q840" s="5" t="inlineStr">
        <is>
          <t>Turn Left</t>
        </is>
      </c>
      <c r="R840" s="12" t="n">
        <v>0.52</v>
      </c>
      <c r="S840" s="5" t="inlineStr">
        <is>
          <t>REDUCED</t>
        </is>
      </c>
      <c r="T840" s="5" t="inlineStr">
        <is>
          <t>Normal operation</t>
        </is>
      </c>
    </row>
    <row r="841" s="17">
      <c r="A841" s="7" t="n">
        <v>7530</v>
      </c>
      <c r="B841" s="8" t="n">
        <v>55001.698317</v>
      </c>
      <c r="C841" s="9" t="n">
        <v>55.001698317</v>
      </c>
      <c r="D841" s="9" t="n">
        <v>157.29658018</v>
      </c>
      <c r="E841" s="9" t="n">
        <v>59.81536084</v>
      </c>
      <c r="F841" s="10" t="n">
        <v>0.09421912422127324</v>
      </c>
      <c r="G841" s="10" t="n">
        <v>0.2364869830886436</v>
      </c>
      <c r="H841" s="10" t="n">
        <v>0.9545220992464358</v>
      </c>
      <c r="I841" s="10" t="n">
        <v>0.475258</v>
      </c>
      <c r="J841" s="5" t="inlineStr">
        <is>
          <t>Cleaner sand</t>
        </is>
      </c>
      <c r="K841" s="11" t="n">
        <v>18.41776807305567</v>
      </c>
      <c r="L841" s="12" t="n">
        <v>2.052200667361564</v>
      </c>
      <c r="M841" s="12" t="n">
        <v>3.576666616077037</v>
      </c>
      <c r="N841" s="12" t="n">
        <v>6.025743636636433</v>
      </c>
      <c r="O841" s="12" t="n">
        <v>324.7245824141607</v>
      </c>
      <c r="P841" s="5" t="inlineStr">
        <is>
          <t>Normal</t>
        </is>
      </c>
      <c r="Q841" s="5" t="inlineStr">
        <is>
          <t>Build</t>
        </is>
      </c>
      <c r="R841" s="12" t="n">
        <v>0.71</v>
      </c>
      <c r="S841" s="5" t="inlineStr">
        <is>
          <t>ACCEPTED</t>
        </is>
      </c>
      <c r="T841" s="5" t="inlineStr">
        <is>
          <t>Normal operation</t>
        </is>
      </c>
    </row>
    <row r="842" s="17">
      <c r="A842" s="7" t="n">
        <v>7535</v>
      </c>
      <c r="B842" s="8" t="n">
        <v>58032.232955</v>
      </c>
      <c r="C842" s="9" t="n">
        <v>58.032232955</v>
      </c>
      <c r="D842" s="9" t="n">
        <v>159.35142666</v>
      </c>
      <c r="E842" s="9" t="n">
        <v>32.10364206000001</v>
      </c>
      <c r="F842" s="10" t="n">
        <v>0.09254330199438801</v>
      </c>
      <c r="G842" s="10" t="n">
        <v>0.2722367958939294</v>
      </c>
      <c r="H842" s="10" t="n">
        <v>0.8875197981350366</v>
      </c>
      <c r="I842" s="10" t="n">
        <v>1.073976</v>
      </c>
      <c r="J842" s="5" t="inlineStr">
        <is>
          <t>Transition</t>
        </is>
      </c>
      <c r="K842" s="11" t="n">
        <v>19.13967406868332</v>
      </c>
      <c r="L842" s="12" t="n">
        <v>2.029602751608651</v>
      </c>
      <c r="M842" s="12" t="n">
        <v>5.225901082415983</v>
      </c>
      <c r="N842" s="12" t="n">
        <v>7.822416931833802</v>
      </c>
      <c r="O842" s="12" t="n">
        <v>336.2021300974375</v>
      </c>
      <c r="P842" s="5" t="inlineStr">
        <is>
          <t>Normal</t>
        </is>
      </c>
      <c r="Q842" s="5" t="inlineStr">
        <is>
          <t>Turn Left</t>
        </is>
      </c>
      <c r="R842" s="12" t="n">
        <v>0.78</v>
      </c>
      <c r="S842" s="5" t="inlineStr">
        <is>
          <t>ACCEPTED</t>
        </is>
      </c>
      <c r="T842" s="5" t="inlineStr">
        <is>
          <t>Normal operation</t>
        </is>
      </c>
    </row>
    <row r="843" s="17">
      <c r="A843" s="7" t="n">
        <v>7540</v>
      </c>
      <c r="B843" s="8" t="n">
        <v>40598.713823</v>
      </c>
      <c r="C843" s="9" t="n">
        <v>40.598713823</v>
      </c>
      <c r="D843" s="9" t="n">
        <v>122.93888671</v>
      </c>
      <c r="E843" s="9" t="n">
        <v>52.94669152</v>
      </c>
      <c r="F843" s="10" t="n">
        <v>0.04161571295737788</v>
      </c>
      <c r="G843" s="10" t="n">
        <v>0.2389624261442443</v>
      </c>
      <c r="H843" s="10" t="n">
        <v>0.9198411031586419</v>
      </c>
      <c r="I843" s="10" t="n">
        <v>0.326151</v>
      </c>
      <c r="J843" s="5" t="inlineStr">
        <is>
          <t>Cleaner sand</t>
        </is>
      </c>
      <c r="K843" s="11" t="n">
        <v>16.65755606882583</v>
      </c>
      <c r="L843" s="12" t="n">
        <v>2.242567552022575</v>
      </c>
      <c r="M843" s="12" t="n">
        <v>4.849494743677569</v>
      </c>
      <c r="N843" s="12" t="n">
        <v>9.800424511357685</v>
      </c>
      <c r="O843" s="12" t="n">
        <v>324.7494326592283</v>
      </c>
      <c r="P843" s="5" t="inlineStr">
        <is>
          <t>Normal</t>
        </is>
      </c>
      <c r="Q843" s="5" t="inlineStr">
        <is>
          <t>Turn Left</t>
        </is>
      </c>
      <c r="R843" s="12" t="n">
        <v>0.77</v>
      </c>
      <c r="S843" s="5" t="inlineStr">
        <is>
          <t>ACCEPTED</t>
        </is>
      </c>
      <c r="T843" s="5" t="inlineStr">
        <is>
          <t>Normal operation</t>
        </is>
      </c>
    </row>
    <row r="844" s="17">
      <c r="A844" s="7" t="n">
        <v>7545</v>
      </c>
      <c r="B844" s="8" t="n">
        <v>54722.281453</v>
      </c>
      <c r="C844" s="9" t="n">
        <v>54.722281453</v>
      </c>
      <c r="D844" s="9" t="n">
        <v>127.62112491</v>
      </c>
      <c r="E844" s="9" t="n">
        <v>64.52948425999999</v>
      </c>
      <c r="F844" s="10" t="n">
        <v>0.09733692715019163</v>
      </c>
      <c r="G844" s="10" t="n">
        <v>0.1436622697331351</v>
      </c>
      <c r="H844" s="10" t="n">
        <v>0.9391010112749573</v>
      </c>
      <c r="I844" s="10" t="n">
        <v>0.5903119999999999</v>
      </c>
      <c r="J844" s="5" t="inlineStr">
        <is>
          <t>Cleaner sand</t>
        </is>
      </c>
      <c r="K844" s="11" t="n">
        <v>17.45764409150346</v>
      </c>
      <c r="L844" s="12" t="n">
        <v>2.007068885128521</v>
      </c>
      <c r="M844" s="12" t="n">
        <v>5.703981383535518</v>
      </c>
      <c r="N844" s="12" t="n">
        <v>6.384924000966334</v>
      </c>
      <c r="O844" s="12" t="n">
        <v>311.6104048478708</v>
      </c>
      <c r="P844" s="5" t="inlineStr">
        <is>
          <t>Normal</t>
        </is>
      </c>
      <c r="Q844" s="5" t="inlineStr">
        <is>
          <t>Build</t>
        </is>
      </c>
      <c r="R844" s="12" t="n">
        <v>0.54</v>
      </c>
      <c r="S844" s="5" t="inlineStr">
        <is>
          <t>REDUCED</t>
        </is>
      </c>
      <c r="T844" s="5" t="inlineStr">
        <is>
          <t>Normal operation</t>
        </is>
      </c>
    </row>
    <row r="845" s="17">
      <c r="A845" s="7" t="n">
        <v>7550</v>
      </c>
      <c r="B845" s="8" t="n">
        <v>39313.49509</v>
      </c>
      <c r="C845" s="9" t="n">
        <v>39.31349509</v>
      </c>
      <c r="D845" s="9" t="n">
        <v>133.56229603</v>
      </c>
      <c r="E845" s="9" t="n">
        <v>65.98510562</v>
      </c>
      <c r="F845" s="10" t="n">
        <v>0.06615506048056456</v>
      </c>
      <c r="G845" s="10" t="n">
        <v>0.08515169635548943</v>
      </c>
      <c r="H845" s="10" t="n">
        <v>0.9981240218769761</v>
      </c>
      <c r="I845" s="10" t="n">
        <v>0.059072</v>
      </c>
      <c r="J845" s="5" t="inlineStr">
        <is>
          <t>Cleaner sand</t>
        </is>
      </c>
      <c r="K845" s="11" t="n">
        <v>16.12876680252347</v>
      </c>
      <c r="L845" s="12" t="n">
        <v>1.832209621695376</v>
      </c>
      <c r="M845" s="12" t="n">
        <v>5.760469380558882</v>
      </c>
      <c r="N845" s="12" t="n">
        <v>7.137034340401436</v>
      </c>
      <c r="O845" s="12" t="n">
        <v>340.7521191925151</v>
      </c>
      <c r="P845" s="5" t="inlineStr">
        <is>
          <t>Normal</t>
        </is>
      </c>
      <c r="Q845" s="5" t="inlineStr">
        <is>
          <t>Turn Left</t>
        </is>
      </c>
      <c r="R845" s="12" t="n">
        <v>0.83</v>
      </c>
      <c r="S845" s="5" t="inlineStr">
        <is>
          <t>ACCEPTED</t>
        </is>
      </c>
      <c r="T845" s="5" t="inlineStr">
        <is>
          <t>Normal operation</t>
        </is>
      </c>
    </row>
    <row r="846" s="17">
      <c r="A846" s="7" t="n">
        <v>7555</v>
      </c>
      <c r="B846" s="8" t="n">
        <v>44668.587705</v>
      </c>
      <c r="C846" s="9" t="n">
        <v>44.668587705</v>
      </c>
      <c r="D846" s="9" t="n">
        <v>132.64046459</v>
      </c>
      <c r="E846" s="9" t="n">
        <v>52.55829032</v>
      </c>
      <c r="F846" s="10" t="n">
        <v>0.05270142967024213</v>
      </c>
      <c r="G846" s="10" t="n">
        <v>0.1289672348452664</v>
      </c>
      <c r="H846" s="10" t="n">
        <v>0.8994121301020727</v>
      </c>
      <c r="I846" s="10" t="n">
        <v>0.5703009999999999</v>
      </c>
      <c r="J846" s="5" t="inlineStr">
        <is>
          <t>Cleaner sand</t>
        </is>
      </c>
      <c r="K846" s="11" t="n">
        <v>16.89772661060384</v>
      </c>
      <c r="L846" s="12" t="n">
        <v>2.18437361677505</v>
      </c>
      <c r="M846" s="12" t="n">
        <v>4.844437829659407</v>
      </c>
      <c r="N846" s="12" t="n">
        <v>8.811206880633708</v>
      </c>
      <c r="O846" s="12" t="n">
        <v>324.0608578210682</v>
      </c>
      <c r="P846" s="5" t="inlineStr">
        <is>
          <t>Normal</t>
        </is>
      </c>
      <c r="Q846" s="5" t="inlineStr">
        <is>
          <t>Turn Left</t>
        </is>
      </c>
      <c r="R846" s="12" t="n">
        <v>0.54</v>
      </c>
      <c r="S846" s="5" t="inlineStr">
        <is>
          <t>REDUCED</t>
        </is>
      </c>
      <c r="T846" s="5" t="inlineStr">
        <is>
          <t>Normal operation</t>
        </is>
      </c>
    </row>
    <row r="847" s="17">
      <c r="A847" s="7" t="n">
        <v>7560</v>
      </c>
      <c r="B847" s="8" t="n">
        <v>65283.134447</v>
      </c>
      <c r="C847" s="9" t="n">
        <v>65.28313444699999</v>
      </c>
      <c r="D847" s="9" t="n">
        <v>133.08302127</v>
      </c>
      <c r="E847" s="9" t="n">
        <v>52.18244578</v>
      </c>
      <c r="F847" s="10" t="n">
        <v>0.1412452299979065</v>
      </c>
      <c r="G847" s="10" t="n">
        <v>0.1214934765043603</v>
      </c>
      <c r="H847" s="10" t="n">
        <v>0.8324876813306645</v>
      </c>
      <c r="I847" s="10" t="n">
        <v>2.367644</v>
      </c>
      <c r="J847" s="5" t="inlineStr">
        <is>
          <t>Cleaner sand</t>
        </is>
      </c>
      <c r="K847" s="11" t="n">
        <v>21.01518664138009</v>
      </c>
      <c r="L847" s="12" t="n">
        <v>1.64700458296796</v>
      </c>
      <c r="M847" s="12" t="n">
        <v>4.866743741084351</v>
      </c>
      <c r="N847" s="12" t="n">
        <v>7.505415907726242</v>
      </c>
      <c r="O847" s="12" t="n">
        <v>304.4175654145695</v>
      </c>
      <c r="P847" s="5" t="inlineStr">
        <is>
          <t>Normal</t>
        </is>
      </c>
      <c r="Q847" s="5" t="inlineStr">
        <is>
          <t>Build</t>
        </is>
      </c>
      <c r="R847" s="12" t="n">
        <v>0.48</v>
      </c>
      <c r="S847" s="5" t="inlineStr">
        <is>
          <t>REJECTED</t>
        </is>
      </c>
      <c r="T847" s="5" t="inlineStr">
        <is>
          <t>Normal operation</t>
        </is>
      </c>
    </row>
    <row r="848" s="17">
      <c r="A848" s="7" t="n">
        <v>7565</v>
      </c>
      <c r="B848" s="8" t="n">
        <v>74240.953909</v>
      </c>
      <c r="C848" s="9" t="n">
        <v>74.240953909</v>
      </c>
      <c r="D848" s="9" t="n">
        <v>105.10735493</v>
      </c>
      <c r="E848" s="9" t="n">
        <v>30</v>
      </c>
      <c r="F848" s="10" t="n">
        <v>0.07656549791954539</v>
      </c>
      <c r="G848" s="10" t="n">
        <v>0.2946161955661647</v>
      </c>
      <c r="H848" s="10" t="n">
        <v>0.9533554880710812</v>
      </c>
      <c r="I848" s="10" t="n">
        <v>0.387618</v>
      </c>
      <c r="J848" s="5" t="inlineStr">
        <is>
          <t>Transition</t>
        </is>
      </c>
      <c r="K848" s="11" t="n">
        <v>22.4594407503752</v>
      </c>
      <c r="L848" s="12" t="n">
        <v>1.227881420898418</v>
      </c>
      <c r="M848" s="12" t="n">
        <v>5.373732872032141</v>
      </c>
      <c r="N848" s="12" t="n">
        <v>7.89359495127617</v>
      </c>
      <c r="O848" s="12" t="n">
        <v>311.5363297414336</v>
      </c>
      <c r="P848" s="5" t="inlineStr">
        <is>
          <t>Normal</t>
        </is>
      </c>
      <c r="Q848" s="5" t="inlineStr">
        <is>
          <t>Turn Left</t>
        </is>
      </c>
      <c r="R848" s="12" t="n">
        <v>0.59</v>
      </c>
      <c r="S848" s="5" t="inlineStr">
        <is>
          <t>REDUCED</t>
        </is>
      </c>
      <c r="T848" s="5" t="inlineStr">
        <is>
          <t>WOB outside preferred band</t>
        </is>
      </c>
    </row>
    <row r="849" s="17">
      <c r="A849" s="7" t="n">
        <v>7570</v>
      </c>
      <c r="B849" s="8" t="n">
        <v>38379.634574</v>
      </c>
      <c r="C849" s="9" t="n">
        <v>38.379634574</v>
      </c>
      <c r="D849" s="9" t="n">
        <v>132.24516468</v>
      </c>
      <c r="E849" s="9" t="n">
        <v>78.7953006</v>
      </c>
      <c r="F849" s="10" t="n">
        <v>0.06778871662821281</v>
      </c>
      <c r="G849" s="10" t="n">
        <v>0.2953788338005769</v>
      </c>
      <c r="H849" s="10" t="n">
        <v>0.8819401079536474</v>
      </c>
      <c r="I849" s="10" t="n">
        <v>0.782462</v>
      </c>
      <c r="J849" s="5" t="inlineStr">
        <is>
          <t>Transition</t>
        </is>
      </c>
      <c r="K849" s="11" t="n">
        <v>18.02990005083242</v>
      </c>
      <c r="L849" s="12" t="n">
        <v>1.580097187667556</v>
      </c>
      <c r="M849" s="12" t="n">
        <v>4.770570053277451</v>
      </c>
      <c r="N849" s="12" t="n">
        <v>8.511605580777598</v>
      </c>
      <c r="O849" s="12" t="n">
        <v>314.3810073181413</v>
      </c>
      <c r="P849" s="5" t="inlineStr">
        <is>
          <t>Normal</t>
        </is>
      </c>
      <c r="Q849" s="5" t="inlineStr">
        <is>
          <t>Build</t>
        </is>
      </c>
      <c r="R849" s="12" t="n">
        <v>0.73</v>
      </c>
      <c r="S849" s="5" t="inlineStr">
        <is>
          <t>ACCEPTED</t>
        </is>
      </c>
      <c r="T849" s="5" t="inlineStr">
        <is>
          <t>Normal operation</t>
        </is>
      </c>
    </row>
    <row r="850" s="17">
      <c r="A850" s="7" t="n">
        <v>7575</v>
      </c>
      <c r="B850" s="8" t="n">
        <v>55030.365859</v>
      </c>
      <c r="C850" s="9" t="n">
        <v>55.030365859</v>
      </c>
      <c r="D850" s="9" t="n">
        <v>125.9043566</v>
      </c>
      <c r="E850" s="9" t="n">
        <v>64.05861074000001</v>
      </c>
      <c r="F850" s="10" t="n">
        <v>0.1079646418424381</v>
      </c>
      <c r="G850" s="10" t="n">
        <v>0.1086678510221925</v>
      </c>
      <c r="H850" s="10" t="n">
        <v>0.9103068212908931</v>
      </c>
      <c r="I850" s="10" t="n">
        <v>0.980772</v>
      </c>
      <c r="J850" s="5" t="inlineStr">
        <is>
          <t>Cleaner sand</t>
        </is>
      </c>
      <c r="K850" s="11" t="n">
        <v>17.99928951399426</v>
      </c>
      <c r="L850" s="12" t="n">
        <v>1.29499770404484</v>
      </c>
      <c r="M850" s="12" t="n">
        <v>6.186924090674719</v>
      </c>
      <c r="N850" s="12" t="n">
        <v>7.425389416075296</v>
      </c>
      <c r="O850" s="12" t="n">
        <v>327.4928170660495</v>
      </c>
      <c r="P850" s="5" t="inlineStr">
        <is>
          <t>Caution</t>
        </is>
      </c>
      <c r="Q850" s="5" t="inlineStr">
        <is>
          <t>Turn Left</t>
        </is>
      </c>
      <c r="R850" s="12" t="n">
        <v>0.48</v>
      </c>
      <c r="S850" s="5" t="inlineStr">
        <is>
          <t>REJECTED</t>
        </is>
      </c>
      <c r="T850" s="5" t="inlineStr">
        <is>
          <t>DLS exceeds normal range</t>
        </is>
      </c>
    </row>
    <row r="851" s="17">
      <c r="A851" s="7" t="n">
        <v>7580</v>
      </c>
      <c r="B851" s="8" t="n">
        <v>73577.851574</v>
      </c>
      <c r="C851" s="9" t="n">
        <v>73.57785157399999</v>
      </c>
      <c r="D851" s="9" t="n">
        <v>102.46286089</v>
      </c>
      <c r="E851" s="9" t="n">
        <v>30</v>
      </c>
      <c r="F851" s="10" t="n">
        <v>0.11403300571716</v>
      </c>
      <c r="G851" s="10" t="n">
        <v>0.3792787775418658</v>
      </c>
      <c r="H851" s="10" t="n">
        <v>0.8948859455348314</v>
      </c>
      <c r="I851" s="10" t="n">
        <v>1.192067</v>
      </c>
      <c r="J851" s="5" t="inlineStr">
        <is>
          <t>Transition</t>
        </is>
      </c>
      <c r="K851" s="11" t="n">
        <v>21.51731629119875</v>
      </c>
      <c r="L851" s="12" t="n">
        <v>1.329162645262553</v>
      </c>
      <c r="M851" s="12" t="n">
        <v>5.24325761219529</v>
      </c>
      <c r="N851" s="12" t="n">
        <v>8.072741945939475</v>
      </c>
      <c r="O851" s="12" t="n">
        <v>296.4062967323124</v>
      </c>
      <c r="P851" s="5" t="inlineStr">
        <is>
          <t>Normal</t>
        </is>
      </c>
      <c r="Q851" s="5" t="inlineStr">
        <is>
          <t>Build</t>
        </is>
      </c>
      <c r="R851" s="12" t="n">
        <v>0.76</v>
      </c>
      <c r="S851" s="5" t="inlineStr">
        <is>
          <t>ACCEPTED</t>
        </is>
      </c>
      <c r="T851" s="5" t="inlineStr">
        <is>
          <t>WOB outside preferred band</t>
        </is>
      </c>
    </row>
    <row r="852" s="17">
      <c r="A852" s="7" t="n">
        <v>7585</v>
      </c>
      <c r="B852" s="8" t="n">
        <v>39921.653454</v>
      </c>
      <c r="C852" s="9" t="n">
        <v>39.921653454</v>
      </c>
      <c r="D852" s="9" t="n">
        <v>128.60506837</v>
      </c>
      <c r="E852" s="9" t="n">
        <v>64.77386968</v>
      </c>
      <c r="F852" s="10" t="n">
        <v>0.06273542382712538</v>
      </c>
      <c r="G852" s="10" t="n">
        <v>0.2707990732964988</v>
      </c>
      <c r="H852" s="10" t="n">
        <v>0.9060287812811026</v>
      </c>
      <c r="I852" s="10" t="n">
        <v>0.57658</v>
      </c>
      <c r="J852" s="5" t="inlineStr">
        <is>
          <t>Transition</t>
        </is>
      </c>
      <c r="K852" s="11" t="n">
        <v>15.23507000564578</v>
      </c>
      <c r="L852" s="12" t="n">
        <v>1.589185851349396</v>
      </c>
      <c r="M852" s="12" t="n">
        <v>3.238150293622523</v>
      </c>
      <c r="N852" s="12" t="n">
        <v>10.39196494234254</v>
      </c>
      <c r="O852" s="12" t="n">
        <v>314.1628670412626</v>
      </c>
      <c r="P852" s="5" t="inlineStr">
        <is>
          <t>Normal</t>
        </is>
      </c>
      <c r="Q852" s="5" t="inlineStr">
        <is>
          <t>Turn Left</t>
        </is>
      </c>
      <c r="R852" s="12" t="n">
        <v>0.87</v>
      </c>
      <c r="S852" s="5" t="inlineStr">
        <is>
          <t>ACCEPTED</t>
        </is>
      </c>
      <c r="T852" s="5" t="inlineStr">
        <is>
          <t>Normal operation</t>
        </is>
      </c>
    </row>
    <row r="853" s="17">
      <c r="A853" s="7" t="n">
        <v>7590</v>
      </c>
      <c r="B853" s="8" t="n">
        <v>60070.537076</v>
      </c>
      <c r="C853" s="9" t="n">
        <v>60.070537076</v>
      </c>
      <c r="D853" s="9" t="n">
        <v>131.79036864</v>
      </c>
      <c r="E853" s="9" t="n">
        <v>30</v>
      </c>
      <c r="F853" s="10" t="n">
        <v>0.1385922661655174</v>
      </c>
      <c r="G853" s="10" t="n">
        <v>0.1668402116606533</v>
      </c>
      <c r="H853" s="10" t="n">
        <v>0.9171294480427674</v>
      </c>
      <c r="I853" s="10" t="n">
        <v>1.189766</v>
      </c>
      <c r="J853" s="5" t="inlineStr">
        <is>
          <t>Cleaner sand</t>
        </is>
      </c>
      <c r="K853" s="11" t="n">
        <v>19.008548869265</v>
      </c>
      <c r="L853" s="12" t="n">
        <v>1.271714238710019</v>
      </c>
      <c r="M853" s="12" t="n">
        <v>5.288830309041119</v>
      </c>
      <c r="N853" s="12" t="n">
        <v>7.916336238117045</v>
      </c>
      <c r="O853" s="12" t="n">
        <v>315.1959874385427</v>
      </c>
      <c r="P853" s="5" t="inlineStr">
        <is>
          <t>Normal</t>
        </is>
      </c>
      <c r="Q853" s="5" t="inlineStr">
        <is>
          <t>Turn Left</t>
        </is>
      </c>
      <c r="R853" s="12" t="n">
        <v>0.5600000000000001</v>
      </c>
      <c r="S853" s="5" t="inlineStr">
        <is>
          <t>REDUCED</t>
        </is>
      </c>
      <c r="T853" s="5" t="inlineStr">
        <is>
          <t>Normal operation</t>
        </is>
      </c>
    </row>
    <row r="854" s="17">
      <c r="A854" s="7" t="n">
        <v>7595</v>
      </c>
      <c r="B854" s="8" t="n">
        <v>70959.17015000001</v>
      </c>
      <c r="C854" s="9" t="n">
        <v>70.95917015000001</v>
      </c>
      <c r="D854" s="9" t="n">
        <v>108.95944078</v>
      </c>
      <c r="E854" s="9" t="n">
        <v>30</v>
      </c>
      <c r="F854" s="10" t="n">
        <v>0.05914396902392632</v>
      </c>
      <c r="G854" s="10" t="n">
        <v>0.2315852529633532</v>
      </c>
      <c r="H854" s="10" t="n">
        <v>0.975686872209971</v>
      </c>
      <c r="I854" s="10" t="n">
        <v>0.15902</v>
      </c>
      <c r="J854" s="5" t="inlineStr">
        <is>
          <t>Cleaner sand</t>
        </is>
      </c>
      <c r="K854" s="11" t="n">
        <v>20.92929397101008</v>
      </c>
      <c r="L854" s="12" t="n">
        <v>1.50909885047687</v>
      </c>
      <c r="M854" s="12" t="n">
        <v>4.782627913427201</v>
      </c>
      <c r="N854" s="12" t="n">
        <v>7.677091484672289</v>
      </c>
      <c r="O854" s="12" t="n">
        <v>291.6063233791633</v>
      </c>
      <c r="P854" s="5" t="inlineStr">
        <is>
          <t>Normal</t>
        </is>
      </c>
      <c r="Q854" s="5" t="inlineStr">
        <is>
          <t>Build</t>
        </is>
      </c>
      <c r="R854" s="12" t="n">
        <v>0.65</v>
      </c>
      <c r="S854" s="5" t="inlineStr">
        <is>
          <t>REDUCED</t>
        </is>
      </c>
      <c r="T854" s="5" t="inlineStr">
        <is>
          <t>WOB outside preferred band</t>
        </is>
      </c>
    </row>
    <row r="855" s="17">
      <c r="A855" s="7" t="n">
        <v>7600</v>
      </c>
      <c r="B855" s="8" t="n">
        <v>40358.843874</v>
      </c>
      <c r="C855" s="9" t="n">
        <v>40.358843874</v>
      </c>
      <c r="D855" s="9" t="n">
        <v>131.99788453</v>
      </c>
      <c r="E855" s="9" t="n">
        <v>46.33529884</v>
      </c>
      <c r="F855" s="10" t="n">
        <v>0.04771530090731535</v>
      </c>
      <c r="G855" s="10" t="n">
        <v>0.1400432756401216</v>
      </c>
      <c r="H855" s="10" t="n">
        <v>0.9260029934827271</v>
      </c>
      <c r="I855" s="10" t="n">
        <v>0.34825</v>
      </c>
      <c r="J855" s="5" t="inlineStr">
        <is>
          <t>Cleaner sand</t>
        </is>
      </c>
      <c r="K855" s="11" t="n">
        <v>17.12763583649778</v>
      </c>
      <c r="L855" s="12" t="n">
        <v>1.1</v>
      </c>
      <c r="M855" s="12" t="n">
        <v>4.333043617212915</v>
      </c>
      <c r="N855" s="12" t="n">
        <v>9.073701090619778</v>
      </c>
      <c r="O855" s="12" t="n">
        <v>291.7123243825563</v>
      </c>
      <c r="P855" s="5" t="inlineStr">
        <is>
          <t>Normal</t>
        </is>
      </c>
      <c r="Q855" s="5" t="inlineStr">
        <is>
          <t>Build</t>
        </is>
      </c>
      <c r="R855" s="12" t="n">
        <v>0.53</v>
      </c>
      <c r="S855" s="5" t="inlineStr">
        <is>
          <t>REDUCED</t>
        </is>
      </c>
      <c r="T855" s="5" t="inlineStr">
        <is>
          <t>Normal operation</t>
        </is>
      </c>
    </row>
    <row r="856" s="17">
      <c r="A856" s="7" t="n">
        <v>7605</v>
      </c>
      <c r="B856" s="8" t="n">
        <v>53953.723694</v>
      </c>
      <c r="C856" s="9" t="n">
        <v>53.953723694</v>
      </c>
      <c r="D856" s="9" t="n">
        <v>127.41563753</v>
      </c>
      <c r="E856" s="9" t="n">
        <v>49.9856707</v>
      </c>
      <c r="F856" s="10" t="n">
        <v>0.1554422784495965</v>
      </c>
      <c r="G856" s="10" t="n">
        <v>0.3270665490275276</v>
      </c>
      <c r="H856" s="10" t="n">
        <v>0.8732179449435669</v>
      </c>
      <c r="I856" s="10" t="n">
        <v>1.982363</v>
      </c>
      <c r="J856" s="5" t="inlineStr">
        <is>
          <t>Transition</t>
        </is>
      </c>
      <c r="K856" s="11" t="n">
        <v>19.85951596763931</v>
      </c>
      <c r="L856" s="12" t="n">
        <v>1.76451391661274</v>
      </c>
      <c r="M856" s="12" t="n">
        <v>4.67254890695564</v>
      </c>
      <c r="N856" s="12" t="n">
        <v>10.9826840217749</v>
      </c>
      <c r="O856" s="12" t="n">
        <v>280.6318709890545</v>
      </c>
      <c r="P856" s="5" t="inlineStr">
        <is>
          <t>Normal</t>
        </is>
      </c>
      <c r="Q856" s="5" t="inlineStr">
        <is>
          <t>Hold</t>
        </is>
      </c>
      <c r="R856" s="12" t="n">
        <v>0.6</v>
      </c>
      <c r="S856" s="5" t="inlineStr">
        <is>
          <t>REDUCED</t>
        </is>
      </c>
      <c r="T856" s="5" t="inlineStr">
        <is>
          <t>Normal operation</t>
        </is>
      </c>
    </row>
    <row r="857" s="17">
      <c r="A857" s="7" t="n">
        <v>7610</v>
      </c>
      <c r="B857" s="8" t="n">
        <v>66170.82612899999</v>
      </c>
      <c r="C857" s="9" t="n">
        <v>66.17082612899999</v>
      </c>
      <c r="D857" s="9" t="n">
        <v>120.88018811</v>
      </c>
      <c r="E857" s="9" t="n">
        <v>40.57805916</v>
      </c>
      <c r="F857" s="10" t="n">
        <v>0.06830862035053235</v>
      </c>
      <c r="G857" s="10" t="n">
        <v>0.2949253031235095</v>
      </c>
      <c r="H857" s="10" t="n">
        <v>0.929693885203426</v>
      </c>
      <c r="I857" s="10" t="n">
        <v>0.46383</v>
      </c>
      <c r="J857" s="5" t="inlineStr">
        <is>
          <t>Transition</t>
        </is>
      </c>
      <c r="K857" s="11" t="n">
        <v>20.11525478197815</v>
      </c>
      <c r="L857" s="12" t="n">
        <v>1.66059068292749</v>
      </c>
      <c r="M857" s="12" t="n">
        <v>5.774265967837678</v>
      </c>
      <c r="N857" s="12" t="n">
        <v>9.91355182261443</v>
      </c>
      <c r="O857" s="12" t="n">
        <v>285.3910787883403</v>
      </c>
      <c r="P857" s="5" t="inlineStr">
        <is>
          <t>Normal</t>
        </is>
      </c>
      <c r="Q857" s="5" t="inlineStr">
        <is>
          <t>Hold</t>
        </is>
      </c>
      <c r="R857" s="12" t="n">
        <v>0.41</v>
      </c>
      <c r="S857" s="5" t="inlineStr">
        <is>
          <t>REJECTED</t>
        </is>
      </c>
      <c r="T857" s="5" t="inlineStr">
        <is>
          <t>Normal operation</t>
        </is>
      </c>
    </row>
    <row r="858" s="17">
      <c r="A858" s="7" t="n">
        <v>7615</v>
      </c>
      <c r="B858" s="8" t="n">
        <v>42500.07419</v>
      </c>
      <c r="C858" s="9" t="n">
        <v>42.50007419</v>
      </c>
      <c r="D858" s="9" t="n">
        <v>135.85653401</v>
      </c>
      <c r="E858" s="9" t="n">
        <v>46.5339463</v>
      </c>
      <c r="F858" s="10" t="n">
        <v>0.05674990317510067</v>
      </c>
      <c r="G858" s="10" t="n">
        <v>0.1582334602712472</v>
      </c>
      <c r="H858" s="10" t="n">
        <v>1</v>
      </c>
      <c r="I858" s="10" t="n">
        <v>0.001</v>
      </c>
      <c r="J858" s="5" t="inlineStr">
        <is>
          <t>Cleaner sand</t>
        </is>
      </c>
      <c r="K858" s="11" t="n">
        <v>15.50008229561247</v>
      </c>
      <c r="L858" s="12" t="n">
        <v>1.259626570776587</v>
      </c>
      <c r="M858" s="12" t="n">
        <v>6.773722238869398</v>
      </c>
      <c r="N858" s="12" t="n">
        <v>9.704003075958346</v>
      </c>
      <c r="O858" s="12" t="n">
        <v>283.4242828895817</v>
      </c>
      <c r="P858" s="5" t="inlineStr">
        <is>
          <t>Caution</t>
        </is>
      </c>
      <c r="Q858" s="5" t="inlineStr">
        <is>
          <t>Hold</t>
        </is>
      </c>
      <c r="R858" s="12" t="n">
        <v>0.92</v>
      </c>
      <c r="S858" s="5" t="inlineStr">
        <is>
          <t>ACCEPTED</t>
        </is>
      </c>
      <c r="T858" s="5" t="inlineStr">
        <is>
          <t>DLS exceeds normal range</t>
        </is>
      </c>
    </row>
    <row r="859" s="17">
      <c r="A859" s="7" t="n">
        <v>7620</v>
      </c>
      <c r="B859" s="8" t="n">
        <v>62690.694295</v>
      </c>
      <c r="C859" s="9" t="n">
        <v>62.690694295</v>
      </c>
      <c r="D859" s="9" t="n">
        <v>145.63227886</v>
      </c>
      <c r="E859" s="9" t="n">
        <v>45.99203454</v>
      </c>
      <c r="F859" s="10" t="n">
        <v>0.1051339702393348</v>
      </c>
      <c r="G859" s="10" t="n">
        <v>0.09579995830006544</v>
      </c>
      <c r="H859" s="10" t="n">
        <v>0.9432820977896437</v>
      </c>
      <c r="I859" s="10" t="n">
        <v>0.605498</v>
      </c>
      <c r="J859" s="5" t="inlineStr">
        <is>
          <t>Cleaner sand</t>
        </is>
      </c>
      <c r="K859" s="11" t="n">
        <v>20.51734512331303</v>
      </c>
      <c r="L859" s="12" t="n">
        <v>1.983030377531878</v>
      </c>
      <c r="M859" s="12" t="n">
        <v>5.985247354371186</v>
      </c>
      <c r="N859" s="12" t="n">
        <v>10.5040332187772</v>
      </c>
      <c r="O859" s="12" t="n">
        <v>286.6956782211083</v>
      </c>
      <c r="P859" s="5" t="inlineStr">
        <is>
          <t>Normal</t>
        </is>
      </c>
      <c r="Q859" s="5" t="inlineStr">
        <is>
          <t>Hold</t>
        </is>
      </c>
      <c r="R859" s="12" t="n">
        <v>0.63</v>
      </c>
      <c r="S859" s="5" t="inlineStr">
        <is>
          <t>REDUCED</t>
        </is>
      </c>
      <c r="T859" s="5" t="inlineStr">
        <is>
          <t>Normal operation</t>
        </is>
      </c>
    </row>
    <row r="860" s="17">
      <c r="A860" s="7" t="n">
        <v>7625</v>
      </c>
      <c r="B860" s="8" t="n">
        <v>67578.302104</v>
      </c>
      <c r="C860" s="9" t="n">
        <v>67.578302104</v>
      </c>
      <c r="D860" s="9" t="n">
        <v>101.35970661</v>
      </c>
      <c r="E860" s="9" t="n">
        <v>30.48031512</v>
      </c>
      <c r="F860" s="10" t="n">
        <v>0.04530869055262927</v>
      </c>
      <c r="G860" s="10" t="n">
        <v>0.3648554264997962</v>
      </c>
      <c r="H860" s="10" t="n">
        <v>0.9275429477085013</v>
      </c>
      <c r="I860" s="10" t="n">
        <v>0.364846</v>
      </c>
      <c r="J860" s="5" t="inlineStr">
        <is>
          <t>Transition</t>
        </is>
      </c>
      <c r="K860" s="11" t="n">
        <v>20.3926433026177</v>
      </c>
      <c r="L860" s="12" t="n">
        <v>2.119409367437013</v>
      </c>
      <c r="M860" s="12" t="n">
        <v>5.273205488847825</v>
      </c>
      <c r="N860" s="12" t="n">
        <v>8.315355423787645</v>
      </c>
      <c r="O860" s="12" t="n">
        <v>287.2654131170007</v>
      </c>
      <c r="P860" s="5" t="inlineStr">
        <is>
          <t>Normal</t>
        </is>
      </c>
      <c r="Q860" s="5" t="inlineStr">
        <is>
          <t>Build</t>
        </is>
      </c>
      <c r="R860" s="12" t="n">
        <v>0.83</v>
      </c>
      <c r="S860" s="5" t="inlineStr">
        <is>
          <t>ACCEPTED</t>
        </is>
      </c>
      <c r="T860" s="5" t="inlineStr">
        <is>
          <t>Normal operation</t>
        </is>
      </c>
    </row>
    <row r="861" s="17">
      <c r="A861" s="7" t="n">
        <v>7630</v>
      </c>
      <c r="B861" s="8" t="n">
        <v>40195.398337</v>
      </c>
      <c r="C861" s="9" t="n">
        <v>40.195398337</v>
      </c>
      <c r="D861" s="9" t="n">
        <v>145.46724557</v>
      </c>
      <c r="E861" s="9" t="n">
        <v>52.18853756</v>
      </c>
      <c r="F861" s="10" t="n">
        <v>0.05028701181838886</v>
      </c>
      <c r="G861" s="10" t="n">
        <v>0.1988663083795036</v>
      </c>
      <c r="H861" s="10" t="n">
        <v>0.9314530319944714</v>
      </c>
      <c r="I861" s="10" t="n">
        <v>0.370543</v>
      </c>
      <c r="J861" s="5" t="inlineStr">
        <is>
          <t>Cleaner sand</t>
        </is>
      </c>
      <c r="K861" s="11" t="n">
        <v>16.5414899540681</v>
      </c>
      <c r="L861" s="12" t="n">
        <v>1.1</v>
      </c>
      <c r="M861" s="12" t="n">
        <v>6.146656628937503</v>
      </c>
      <c r="N861" s="12" t="n">
        <v>11.366300740911</v>
      </c>
      <c r="O861" s="12" t="n">
        <v>265.1134555848488</v>
      </c>
      <c r="P861" s="5" t="inlineStr">
        <is>
          <t>Caution</t>
        </is>
      </c>
      <c r="Q861" s="5" t="inlineStr">
        <is>
          <t>Hold</t>
        </is>
      </c>
      <c r="R861" s="12" t="n">
        <v>0.48</v>
      </c>
      <c r="S861" s="5" t="inlineStr">
        <is>
          <t>REJECTED</t>
        </is>
      </c>
      <c r="T861" s="5" t="inlineStr">
        <is>
          <t>DLS exceeds normal range</t>
        </is>
      </c>
    </row>
    <row r="862" s="17">
      <c r="A862" s="7" t="n">
        <v>7635</v>
      </c>
      <c r="B862" s="8" t="n">
        <v>35588.529326</v>
      </c>
      <c r="C862" s="9" t="n">
        <v>35.58852932600001</v>
      </c>
      <c r="D862" s="9" t="n">
        <v>156.20688783</v>
      </c>
      <c r="E862" s="9" t="n">
        <v>59.92424946</v>
      </c>
      <c r="F862" s="10" t="n">
        <v>0.1569572739354563</v>
      </c>
      <c r="G862" s="10" t="n">
        <v>0.1215694676414206</v>
      </c>
      <c r="H862" s="10" t="n">
        <v>0.9049372192027081</v>
      </c>
      <c r="I862" s="10" t="n">
        <v>1.507943</v>
      </c>
      <c r="J862" s="5" t="inlineStr">
        <is>
          <t>Cleaner sand</t>
        </is>
      </c>
      <c r="K862" s="11" t="n">
        <v>15.26417831365921</v>
      </c>
      <c r="L862" s="12" t="n">
        <v>1.286264858502555</v>
      </c>
      <c r="M862" s="12" t="n">
        <v>5.438001183539343</v>
      </c>
      <c r="N862" s="12" t="n">
        <v>11.36005723632647</v>
      </c>
      <c r="O862" s="12" t="n">
        <v>249.129573295768</v>
      </c>
      <c r="P862" s="5" t="inlineStr">
        <is>
          <t>Normal</t>
        </is>
      </c>
      <c r="Q862" s="5" t="inlineStr">
        <is>
          <t>Hold</t>
        </is>
      </c>
      <c r="R862" s="12" t="n">
        <v>0.85</v>
      </c>
      <c r="S862" s="5" t="inlineStr">
        <is>
          <t>ACCEPTED</t>
        </is>
      </c>
      <c r="T862" s="5" t="inlineStr">
        <is>
          <t>Normal operation</t>
        </is>
      </c>
    </row>
    <row r="863" s="17">
      <c r="A863" s="7" t="n">
        <v>7640</v>
      </c>
      <c r="B863" s="8" t="n">
        <v>70696.07952699999</v>
      </c>
      <c r="C863" s="9" t="n">
        <v>70.69607952699999</v>
      </c>
      <c r="D863" s="9" t="n">
        <v>116.3741844</v>
      </c>
      <c r="E863" s="9" t="n">
        <v>44.00532788</v>
      </c>
      <c r="F863" s="10" t="n">
        <v>0.1104688230212974</v>
      </c>
      <c r="G863" s="10" t="n">
        <v>0.2281979873399115</v>
      </c>
      <c r="H863" s="10" t="n">
        <v>0.8687907631531326</v>
      </c>
      <c r="I863" s="10" t="n">
        <v>1.483442</v>
      </c>
      <c r="J863" s="5" t="inlineStr">
        <is>
          <t>Cleaner sand</t>
        </is>
      </c>
      <c r="K863" s="11" t="n">
        <v>20.00254892791013</v>
      </c>
      <c r="L863" s="12" t="n">
        <v>1.283120248604224</v>
      </c>
      <c r="M863" s="12" t="n">
        <v>5.272746829415675</v>
      </c>
      <c r="N863" s="12" t="n">
        <v>3.467898983675562</v>
      </c>
      <c r="O863" s="12" t="n">
        <v>264.7875522072376</v>
      </c>
      <c r="P863" s="5" t="inlineStr">
        <is>
          <t>Normal</t>
        </is>
      </c>
      <c r="Q863" s="5" t="inlineStr">
        <is>
          <t>Build</t>
        </is>
      </c>
      <c r="R863" s="12" t="n">
        <v>0.87</v>
      </c>
      <c r="S863" s="5" t="inlineStr">
        <is>
          <t>ACCEPTED</t>
        </is>
      </c>
      <c r="T863" s="5" t="inlineStr">
        <is>
          <t>WOB outside preferred band</t>
        </is>
      </c>
    </row>
    <row r="864" s="17">
      <c r="A864" s="7" t="n">
        <v>7645</v>
      </c>
      <c r="B864" s="8" t="n">
        <v>50903.789043</v>
      </c>
      <c r="C864" s="9" t="n">
        <v>50.903789043</v>
      </c>
      <c r="D864" s="9" t="n">
        <v>140.57667188</v>
      </c>
      <c r="E864" s="9" t="n">
        <v>59.90060476</v>
      </c>
      <c r="F864" s="10" t="n">
        <v>0.07367603455719593</v>
      </c>
      <c r="G864" s="10" t="n">
        <v>0.1762272561587655</v>
      </c>
      <c r="H864" s="10" t="n">
        <v>0.9783152004877347</v>
      </c>
      <c r="I864" s="10" t="n">
        <v>0.184754</v>
      </c>
      <c r="J864" s="5" t="inlineStr">
        <is>
          <t>Cleaner sand</t>
        </is>
      </c>
      <c r="K864" s="11" t="n">
        <v>19.42556797797174</v>
      </c>
      <c r="L864" s="12" t="n">
        <v>1.199447480456656</v>
      </c>
      <c r="M864" s="12" t="n">
        <v>4.927902678288847</v>
      </c>
      <c r="N864" s="12" t="n">
        <v>5.695245117930479</v>
      </c>
      <c r="O864" s="12" t="n">
        <v>264.1325513616586</v>
      </c>
      <c r="P864" s="5" t="inlineStr">
        <is>
          <t>Normal</t>
        </is>
      </c>
      <c r="Q864" s="5" t="inlineStr">
        <is>
          <t>Build</t>
        </is>
      </c>
      <c r="R864" s="12" t="n">
        <v>0.79</v>
      </c>
      <c r="S864" s="5" t="inlineStr">
        <is>
          <t>ACCEPTED</t>
        </is>
      </c>
      <c r="T864" s="5" t="inlineStr">
        <is>
          <t>Normal operation</t>
        </is>
      </c>
    </row>
    <row r="865" s="17">
      <c r="A865" s="7" t="n">
        <v>7650</v>
      </c>
      <c r="B865" s="8" t="n">
        <v>64667.381195</v>
      </c>
      <c r="C865" s="9" t="n">
        <v>64.667381195</v>
      </c>
      <c r="D865" s="9" t="n">
        <v>152.25698955</v>
      </c>
      <c r="E865" s="9" t="n">
        <v>44.35042078</v>
      </c>
      <c r="F865" s="10" t="n">
        <v>0.1364634450146742</v>
      </c>
      <c r="G865" s="10" t="n">
        <v>0.1869325194346729</v>
      </c>
      <c r="H865" s="10" t="n">
        <v>0.9156106994886419</v>
      </c>
      <c r="I865" s="10" t="n">
        <v>1.182205</v>
      </c>
      <c r="J865" s="5" t="inlineStr">
        <is>
          <t>Cleaner sand</t>
        </is>
      </c>
      <c r="K865" s="11" t="n">
        <v>22.20536271057912</v>
      </c>
      <c r="L865" s="12" t="n">
        <v>2.066442672546557</v>
      </c>
      <c r="M865" s="12" t="n">
        <v>4.472705924176273</v>
      </c>
      <c r="N865" s="12" t="n">
        <v>3.309341576551373</v>
      </c>
      <c r="O865" s="12" t="n">
        <v>259.8997606457852</v>
      </c>
      <c r="P865" s="5" t="inlineStr">
        <is>
          <t>Normal</t>
        </is>
      </c>
      <c r="Q865" s="5" t="inlineStr">
        <is>
          <t>Build</t>
        </is>
      </c>
      <c r="R865" s="12" t="n">
        <v>0.9</v>
      </c>
      <c r="S865" s="5" t="inlineStr">
        <is>
          <t>ACCEPTED</t>
        </is>
      </c>
      <c r="T865" s="5" t="inlineStr">
        <is>
          <t>Normal operation</t>
        </is>
      </c>
    </row>
    <row r="866" s="17">
      <c r="A866" s="7" t="n">
        <v>7655</v>
      </c>
      <c r="B866" s="8" t="n">
        <v>72591.10831900001</v>
      </c>
      <c r="C866" s="9" t="n">
        <v>72.591108319</v>
      </c>
      <c r="D866" s="9" t="n">
        <v>123.63062911</v>
      </c>
      <c r="E866" s="9" t="n">
        <v>42.841679</v>
      </c>
      <c r="F866" s="10" t="n">
        <v>0.04980381501413453</v>
      </c>
      <c r="G866" s="10" t="n">
        <v>0.3417410408688991</v>
      </c>
      <c r="H866" s="10" t="n">
        <v>0.9197899359855994</v>
      </c>
      <c r="I866" s="10" t="n">
        <v>0.413369</v>
      </c>
      <c r="J866" s="5" t="inlineStr">
        <is>
          <t>Transition</t>
        </is>
      </c>
      <c r="K866" s="11" t="n">
        <v>21.25404113090548</v>
      </c>
      <c r="L866" s="12" t="n">
        <v>1.565025192001326</v>
      </c>
      <c r="M866" s="12" t="n">
        <v>5.584815115679957</v>
      </c>
      <c r="N866" s="12" t="n">
        <v>6.6289114490151</v>
      </c>
      <c r="O866" s="12" t="n">
        <v>250.3696891181133</v>
      </c>
      <c r="P866" s="5" t="inlineStr">
        <is>
          <t>Normal</t>
        </is>
      </c>
      <c r="Q866" s="5" t="inlineStr">
        <is>
          <t>Build</t>
        </is>
      </c>
      <c r="R866" s="12" t="n">
        <v>0.49</v>
      </c>
      <c r="S866" s="5" t="inlineStr">
        <is>
          <t>REJECTED</t>
        </is>
      </c>
      <c r="T866" s="5" t="inlineStr">
        <is>
          <t>WOB outside preferred band</t>
        </is>
      </c>
    </row>
    <row r="867" s="17">
      <c r="A867" s="7" t="n">
        <v>7660</v>
      </c>
      <c r="B867" s="8" t="n">
        <v>34758.55209</v>
      </c>
      <c r="C867" s="9" t="n">
        <v>34.75855208999999</v>
      </c>
      <c r="D867" s="9" t="n">
        <v>130.60254968</v>
      </c>
      <c r="E867" s="9" t="n">
        <v>67.77281304</v>
      </c>
      <c r="F867" s="10" t="n">
        <v>0.04164956613498137</v>
      </c>
      <c r="G867" s="10" t="n">
        <v>0.2089197252230475</v>
      </c>
      <c r="H867" s="10" t="n">
        <v>0.9244473584525607</v>
      </c>
      <c r="I867" s="10" t="n">
        <v>0.324488</v>
      </c>
      <c r="J867" s="5" t="inlineStr">
        <is>
          <t>Cleaner sand</t>
        </is>
      </c>
      <c r="K867" s="11" t="n">
        <v>14.52090296932129</v>
      </c>
      <c r="L867" s="12" t="n">
        <v>1.530387727757801</v>
      </c>
      <c r="M867" s="12" t="n">
        <v>6.045589437633762</v>
      </c>
      <c r="N867" s="12" t="n">
        <v>5.751014775654473</v>
      </c>
      <c r="O867" s="12" t="n">
        <v>251.1483427563548</v>
      </c>
      <c r="P867" s="5" t="inlineStr">
        <is>
          <t>Caution</t>
        </is>
      </c>
      <c r="Q867" s="5" t="inlineStr">
        <is>
          <t>Build</t>
        </is>
      </c>
      <c r="R867" s="12" t="n">
        <v>0.66</v>
      </c>
      <c r="S867" s="5" t="inlineStr">
        <is>
          <t>REDUCED</t>
        </is>
      </c>
      <c r="T867" s="5" t="inlineStr">
        <is>
          <t>DLS exceeds normal range</t>
        </is>
      </c>
    </row>
    <row r="868" s="17">
      <c r="A868" s="7" t="n">
        <v>7665</v>
      </c>
      <c r="B868" s="8" t="n">
        <v>38233.72813</v>
      </c>
      <c r="C868" s="9" t="n">
        <v>38.23372813</v>
      </c>
      <c r="D868" s="9" t="n">
        <v>121.77217245</v>
      </c>
      <c r="E868" s="9" t="n">
        <v>62.6482624</v>
      </c>
      <c r="F868" s="10" t="n">
        <v>0.09127400833967156</v>
      </c>
      <c r="G868" s="10" t="n">
        <v>0.144294542042375</v>
      </c>
      <c r="H868" s="10" t="n">
        <v>0.9617996064642836</v>
      </c>
      <c r="I868" s="10" t="n">
        <v>0.377472</v>
      </c>
      <c r="J868" s="5" t="inlineStr">
        <is>
          <t>Cleaner sand</t>
        </is>
      </c>
      <c r="K868" s="11" t="n">
        <v>15.83362995108802</v>
      </c>
      <c r="L868" s="12" t="n">
        <v>1.1</v>
      </c>
      <c r="M868" s="12" t="n">
        <v>5.864046239447515</v>
      </c>
      <c r="N868" s="12" t="n">
        <v>5.500197896134158</v>
      </c>
      <c r="O868" s="12" t="n">
        <v>261.3642654505115</v>
      </c>
      <c r="P868" s="5" t="inlineStr">
        <is>
          <t>Normal</t>
        </is>
      </c>
      <c r="Q868" s="5" t="inlineStr">
        <is>
          <t>Build</t>
        </is>
      </c>
      <c r="R868" s="12" t="n">
        <v>0.74</v>
      </c>
      <c r="S868" s="5" t="inlineStr">
        <is>
          <t>ACCEPTED</t>
        </is>
      </c>
      <c r="T868" s="5" t="inlineStr">
        <is>
          <t>Normal operation</t>
        </is>
      </c>
    </row>
    <row r="869" s="17">
      <c r="A869" s="7" t="n">
        <v>7670</v>
      </c>
      <c r="B869" s="8" t="n">
        <v>69373.45116700001</v>
      </c>
      <c r="C869" s="9" t="n">
        <v>69.37345116700001</v>
      </c>
      <c r="D869" s="9" t="n">
        <v>166.53510455</v>
      </c>
      <c r="E869" s="9" t="n">
        <v>44.63343886</v>
      </c>
      <c r="F869" s="10" t="n">
        <v>0.1005780240813996</v>
      </c>
      <c r="G869" s="10" t="n">
        <v>0.2290202882899744</v>
      </c>
      <c r="H869" s="10" t="n">
        <v>0.8861842675762845</v>
      </c>
      <c r="I869" s="10" t="n">
        <v>1.155086</v>
      </c>
      <c r="J869" s="5" t="inlineStr">
        <is>
          <t>Cleaner sand</t>
        </is>
      </c>
      <c r="K869" s="11" t="n">
        <v>21.60948987311432</v>
      </c>
      <c r="L869" s="12" t="n">
        <v>1.971354834802521</v>
      </c>
      <c r="M869" s="12" t="n">
        <v>5.630574652323756</v>
      </c>
      <c r="N869" s="12" t="n">
        <v>6.299423789592115</v>
      </c>
      <c r="O869" s="12" t="n">
        <v>246.3916514904818</v>
      </c>
      <c r="P869" s="5" t="inlineStr">
        <is>
          <t>Normal</t>
        </is>
      </c>
      <c r="Q869" s="5" t="inlineStr">
        <is>
          <t>Build</t>
        </is>
      </c>
      <c r="R869" s="12" t="n">
        <v>0.73</v>
      </c>
      <c r="S869" s="5" t="inlineStr">
        <is>
          <t>ACCEPTED</t>
        </is>
      </c>
      <c r="T869" s="5" t="inlineStr">
        <is>
          <t>Normal operation</t>
        </is>
      </c>
    </row>
    <row r="870" s="17">
      <c r="A870" s="7" t="n">
        <v>7675</v>
      </c>
      <c r="B870" s="8" t="n">
        <v>40193.194644</v>
      </c>
      <c r="C870" s="9" t="n">
        <v>40.193194644</v>
      </c>
      <c r="D870" s="9" t="n">
        <v>130.51244832</v>
      </c>
      <c r="E870" s="9" t="n">
        <v>68.18422344</v>
      </c>
      <c r="F870" s="10" t="n">
        <v>0.05107596099358409</v>
      </c>
      <c r="G870" s="10" t="n">
        <v>0.160571877590927</v>
      </c>
      <c r="H870" s="10" t="n">
        <v>0.9710949341180785</v>
      </c>
      <c r="I870" s="10" t="n">
        <v>0.187939</v>
      </c>
      <c r="J870" s="5" t="inlineStr">
        <is>
          <t>Cleaner sand</t>
        </is>
      </c>
      <c r="K870" s="11" t="n">
        <v>16.56669710218363</v>
      </c>
      <c r="L870" s="12" t="n">
        <v>1.1</v>
      </c>
      <c r="M870" s="12" t="n">
        <v>5.228557392271237</v>
      </c>
      <c r="N870" s="12" t="n">
        <v>6.573358572611882</v>
      </c>
      <c r="O870" s="12" t="n">
        <v>235.271352287177</v>
      </c>
      <c r="P870" s="5" t="inlineStr">
        <is>
          <t>Normal</t>
        </is>
      </c>
      <c r="Q870" s="5" t="inlineStr">
        <is>
          <t>Build</t>
        </is>
      </c>
      <c r="R870" s="12" t="n">
        <v>0.87</v>
      </c>
      <c r="S870" s="5" t="inlineStr">
        <is>
          <t>ACCEPTED</t>
        </is>
      </c>
      <c r="T870" s="5" t="inlineStr">
        <is>
          <t>Normal operation</t>
        </is>
      </c>
    </row>
    <row r="871" s="17">
      <c r="A871" s="7" t="n">
        <v>7680</v>
      </c>
      <c r="B871" s="8" t="n">
        <v>43486.605004</v>
      </c>
      <c r="C871" s="9" t="n">
        <v>43.486605004</v>
      </c>
      <c r="D871" s="9" t="n">
        <v>142.12858448</v>
      </c>
      <c r="E871" s="9" t="n">
        <v>48.31844506</v>
      </c>
      <c r="F871" s="10" t="n">
        <v>0.0733620645303409</v>
      </c>
      <c r="G871" s="10" t="n">
        <v>0.1661126868333709</v>
      </c>
      <c r="H871" s="10" t="n">
        <v>0.9350659471077968</v>
      </c>
      <c r="I871" s="10" t="n">
        <v>0.516624</v>
      </c>
      <c r="J871" s="5" t="inlineStr">
        <is>
          <t>Cleaner sand</t>
        </is>
      </c>
      <c r="K871" s="11" t="n">
        <v>18.5240867597994</v>
      </c>
      <c r="L871" s="12" t="n">
        <v>1.689366988830501</v>
      </c>
      <c r="M871" s="12" t="n">
        <v>6.493358817805571</v>
      </c>
      <c r="N871" s="12" t="n">
        <v>8.686713786104276</v>
      </c>
      <c r="O871" s="12" t="n">
        <v>230.5105612578814</v>
      </c>
      <c r="P871" s="5" t="inlineStr">
        <is>
          <t>Caution</t>
        </is>
      </c>
      <c r="Q871" s="5" t="inlineStr">
        <is>
          <t>Build</t>
        </is>
      </c>
      <c r="R871" s="12" t="n">
        <v>0.52</v>
      </c>
      <c r="S871" s="5" t="inlineStr">
        <is>
          <t>REDUCED</t>
        </is>
      </c>
      <c r="T871" s="5" t="inlineStr">
        <is>
          <t>DLS exceeds normal range</t>
        </is>
      </c>
    </row>
    <row r="872" s="17">
      <c r="A872" s="7" t="n">
        <v>7685</v>
      </c>
      <c r="B872" s="8" t="n">
        <v>69468.100322</v>
      </c>
      <c r="C872" s="9" t="n">
        <v>69.468100322</v>
      </c>
      <c r="D872" s="9" t="n">
        <v>160.90010184</v>
      </c>
      <c r="E872" s="9" t="n">
        <v>47.13679554</v>
      </c>
      <c r="F872" s="10" t="n">
        <v>0.06695160480910127</v>
      </c>
      <c r="G872" s="10" t="n">
        <v>0.2494132197908362</v>
      </c>
      <c r="H872" s="10" t="n">
        <v>0.8806138013346588</v>
      </c>
      <c r="I872" s="10" t="n">
        <v>0.8054750000000001</v>
      </c>
      <c r="J872" s="5" t="inlineStr">
        <is>
          <t>Cleaner sand</t>
        </is>
      </c>
      <c r="K872" s="11" t="n">
        <v>21.11549388220733</v>
      </c>
      <c r="L872" s="12" t="n">
        <v>1.795914699599514</v>
      </c>
      <c r="M872" s="12" t="n">
        <v>4.974464093357385</v>
      </c>
      <c r="N872" s="12" t="n">
        <v>6.088206407644063</v>
      </c>
      <c r="O872" s="12" t="n">
        <v>230.4086099933137</v>
      </c>
      <c r="P872" s="5" t="inlineStr">
        <is>
          <t>Normal</t>
        </is>
      </c>
      <c r="Q872" s="5" t="inlineStr">
        <is>
          <t>Build</t>
        </is>
      </c>
      <c r="R872" s="12" t="n">
        <v>0.5</v>
      </c>
      <c r="S872" s="5" t="inlineStr">
        <is>
          <t>REDUCED</t>
        </is>
      </c>
      <c r="T872" s="5" t="inlineStr">
        <is>
          <t>Normal operation</t>
        </is>
      </c>
    </row>
    <row r="873" s="17">
      <c r="A873" s="7" t="n">
        <v>7690</v>
      </c>
      <c r="B873" s="8" t="n">
        <v>35276.558494</v>
      </c>
      <c r="C873" s="9" t="n">
        <v>35.276558494</v>
      </c>
      <c r="D873" s="9" t="n">
        <v>135.29266287</v>
      </c>
      <c r="E873" s="9" t="n">
        <v>48.53000014</v>
      </c>
      <c r="F873" s="10" t="n">
        <v>0.06183622520551456</v>
      </c>
      <c r="G873" s="10" t="n">
        <v>0.05582862353326437</v>
      </c>
      <c r="H873" s="10" t="n">
        <v>0.9700023722203803</v>
      </c>
      <c r="I873" s="10" t="n">
        <v>0.21488</v>
      </c>
      <c r="J873" s="5" t="inlineStr">
        <is>
          <t>Cleaner sand</t>
        </is>
      </c>
      <c r="K873" s="11" t="n">
        <v>14.20557986529683</v>
      </c>
      <c r="L873" s="12" t="n">
        <v>2.326722711960939</v>
      </c>
      <c r="M873" s="12" t="n">
        <v>6.670198443505389</v>
      </c>
      <c r="N873" s="12" t="n">
        <v>6.884157515060989</v>
      </c>
      <c r="O873" s="12" t="n">
        <v>245.1662764494872</v>
      </c>
      <c r="P873" s="5" t="inlineStr">
        <is>
          <t>Caution</t>
        </is>
      </c>
      <c r="Q873" s="5" t="inlineStr">
        <is>
          <t>Build</t>
        </is>
      </c>
      <c r="R873" s="12" t="n">
        <v>0.54</v>
      </c>
      <c r="S873" s="5" t="inlineStr">
        <is>
          <t>REDUCED</t>
        </is>
      </c>
      <c r="T873" s="5" t="inlineStr">
        <is>
          <t>DLS exceeds normal range</t>
        </is>
      </c>
    </row>
    <row r="874" s="17">
      <c r="A874" s="7" t="n">
        <v>7695</v>
      </c>
      <c r="B874" s="8" t="n">
        <v>60790.724814</v>
      </c>
      <c r="C874" s="9" t="n">
        <v>60.790724814</v>
      </c>
      <c r="D874" s="9" t="n">
        <v>151.80538312</v>
      </c>
      <c r="E874" s="9" t="n">
        <v>45.70469096</v>
      </c>
      <c r="F874" s="10" t="n">
        <v>0.116904670288945</v>
      </c>
      <c r="G874" s="10" t="n">
        <v>0.223429356675354</v>
      </c>
      <c r="H874" s="10" t="n">
        <v>0.9250709450149867</v>
      </c>
      <c r="I874" s="10" t="n">
        <v>0.865093</v>
      </c>
      <c r="J874" s="5" t="inlineStr">
        <is>
          <t>Cleaner sand</t>
        </is>
      </c>
      <c r="K874" s="11" t="n">
        <v>18.31716486087062</v>
      </c>
      <c r="L874" s="12" t="n">
        <v>1.1</v>
      </c>
      <c r="M874" s="12" t="n">
        <v>5.268606289074018</v>
      </c>
      <c r="N874" s="12" t="n">
        <v>9.610169538240926</v>
      </c>
      <c r="O874" s="12" t="n">
        <v>223.7645330570348</v>
      </c>
      <c r="P874" s="5" t="inlineStr">
        <is>
          <t>Normal</t>
        </is>
      </c>
      <c r="Q874" s="5" t="inlineStr">
        <is>
          <t>Turn Right</t>
        </is>
      </c>
      <c r="R874" s="12" t="n">
        <v>0.89</v>
      </c>
      <c r="S874" s="5" t="inlineStr">
        <is>
          <t>ACCEPTED</t>
        </is>
      </c>
      <c r="T874" s="5" t="inlineStr">
        <is>
          <t>Normal operation</t>
        </is>
      </c>
    </row>
    <row r="875" s="17">
      <c r="A875" s="7" t="n">
        <v>7700</v>
      </c>
      <c r="B875" s="8" t="n">
        <v>69044.228804</v>
      </c>
      <c r="C875" s="9" t="n">
        <v>69.044228804</v>
      </c>
      <c r="D875" s="9" t="n">
        <v>166.4246976</v>
      </c>
      <c r="E875" s="9" t="n">
        <v>30</v>
      </c>
      <c r="F875" s="10" t="n">
        <v>0.05332352518442161</v>
      </c>
      <c r="G875" s="10" t="n">
        <v>0.2696452260361646</v>
      </c>
      <c r="H875" s="10" t="n">
        <v>0.9222245328053689</v>
      </c>
      <c r="I875" s="10" t="n">
        <v>0.455847</v>
      </c>
      <c r="J875" s="5" t="inlineStr">
        <is>
          <t>Transition</t>
        </is>
      </c>
      <c r="K875" s="11" t="n">
        <v>20.48355193056438</v>
      </c>
      <c r="L875" s="12" t="n">
        <v>1.1</v>
      </c>
      <c r="M875" s="12" t="n">
        <v>5.489231418669357</v>
      </c>
      <c r="N875" s="12" t="n">
        <v>7.876323615402873</v>
      </c>
      <c r="O875" s="12" t="n">
        <v>222.3146352398919</v>
      </c>
      <c r="P875" s="5" t="inlineStr">
        <is>
          <t>Normal</t>
        </is>
      </c>
      <c r="Q875" s="5" t="inlineStr">
        <is>
          <t>Build</t>
        </is>
      </c>
      <c r="R875" s="12" t="n">
        <v>0.92</v>
      </c>
      <c r="S875" s="5" t="inlineStr">
        <is>
          <t>ACCEPTED</t>
        </is>
      </c>
      <c r="T875" s="5" t="inlineStr">
        <is>
          <t>Normal operation</t>
        </is>
      </c>
    </row>
    <row r="876" s="17">
      <c r="A876" s="7" t="n">
        <v>7705</v>
      </c>
      <c r="B876" s="8" t="n">
        <v>54650.250533</v>
      </c>
      <c r="C876" s="9" t="n">
        <v>54.650250533</v>
      </c>
      <c r="D876" s="9" t="n">
        <v>127.58336184</v>
      </c>
      <c r="E876" s="9" t="n">
        <v>60.01732356</v>
      </c>
      <c r="F876" s="10" t="n">
        <v>0.03055502242530091</v>
      </c>
      <c r="G876" s="10" t="n">
        <v>0.2774467883302374</v>
      </c>
      <c r="H876" s="10" t="n">
        <v>0.9029352119817046</v>
      </c>
      <c r="I876" s="10" t="n">
        <v>0.284171</v>
      </c>
      <c r="J876" s="5" t="inlineStr">
        <is>
          <t>Transition</t>
        </is>
      </c>
      <c r="K876" s="11" t="n">
        <v>18.53399109619711</v>
      </c>
      <c r="L876" s="12" t="n">
        <v>1.75008627692931</v>
      </c>
      <c r="M876" s="12" t="n">
        <v>4.938345690395663</v>
      </c>
      <c r="N876" s="12" t="n">
        <v>10.2087552842681</v>
      </c>
      <c r="O876" s="12" t="n">
        <v>214.7299681575612</v>
      </c>
      <c r="P876" s="5" t="inlineStr">
        <is>
          <t>Normal</t>
        </is>
      </c>
      <c r="Q876" s="5" t="inlineStr">
        <is>
          <t>Turn Right</t>
        </is>
      </c>
      <c r="R876" s="12" t="n">
        <v>0.71</v>
      </c>
      <c r="S876" s="5" t="inlineStr">
        <is>
          <t>ACCEPTED</t>
        </is>
      </c>
      <c r="T876" s="5" t="inlineStr">
        <is>
          <t>Normal operation</t>
        </is>
      </c>
    </row>
    <row r="877" s="17">
      <c r="A877" s="7" t="n">
        <v>7710</v>
      </c>
      <c r="B877" s="8" t="n">
        <v>44601.620924</v>
      </c>
      <c r="C877" s="9" t="n">
        <v>44.601620924</v>
      </c>
      <c r="D877" s="9" t="n">
        <v>129.55109167</v>
      </c>
      <c r="E877" s="9" t="n">
        <v>37.70958435999999</v>
      </c>
      <c r="F877" s="10" t="n">
        <v>0.1580677657788809</v>
      </c>
      <c r="G877" s="10" t="n">
        <v>0.2055694882815556</v>
      </c>
      <c r="H877" s="10" t="n">
        <v>0.9023316715045214</v>
      </c>
      <c r="I877" s="10" t="n">
        <v>1.530214</v>
      </c>
      <c r="J877" s="5" t="inlineStr">
        <is>
          <t>Cleaner sand</t>
        </is>
      </c>
      <c r="K877" s="11" t="n">
        <v>18.51351562659754</v>
      </c>
      <c r="L877" s="12" t="n">
        <v>2.542250478940318</v>
      </c>
      <c r="M877" s="12" t="n">
        <v>5.7310395208221</v>
      </c>
      <c r="N877" s="12" t="n">
        <v>11.63487231424349</v>
      </c>
      <c r="O877" s="12" t="n">
        <v>227.7176900845625</v>
      </c>
      <c r="P877" s="5" t="inlineStr">
        <is>
          <t>Normal</t>
        </is>
      </c>
      <c r="Q877" s="5" t="inlineStr">
        <is>
          <t>Hold</t>
        </is>
      </c>
      <c r="R877" s="12" t="n">
        <v>0.68</v>
      </c>
      <c r="S877" s="5" t="inlineStr">
        <is>
          <t>REDUCED</t>
        </is>
      </c>
      <c r="T877" s="5" t="inlineStr">
        <is>
          <t>High vibration detected</t>
        </is>
      </c>
    </row>
    <row r="878" s="17">
      <c r="A878" s="7" t="n">
        <v>7715</v>
      </c>
      <c r="B878" s="8" t="n">
        <v>67480.241607</v>
      </c>
      <c r="C878" s="9" t="n">
        <v>67.48024160700001</v>
      </c>
      <c r="D878" s="9" t="n">
        <v>150.41963076</v>
      </c>
      <c r="E878" s="9" t="n">
        <v>30</v>
      </c>
      <c r="F878" s="10" t="n">
        <v>0.09711427664312955</v>
      </c>
      <c r="G878" s="10" t="n">
        <v>0.3736658612830329</v>
      </c>
      <c r="H878" s="10" t="n">
        <v>0.8637356483489251</v>
      </c>
      <c r="I878" s="10" t="n">
        <v>1.365386</v>
      </c>
      <c r="J878" s="5" t="inlineStr">
        <is>
          <t>Transition</t>
        </is>
      </c>
      <c r="K878" s="11" t="n">
        <v>20.4092196017178</v>
      </c>
      <c r="L878" s="12" t="n">
        <v>2.267083712940324</v>
      </c>
      <c r="M878" s="12" t="n">
        <v>6.932590406515888</v>
      </c>
      <c r="N878" s="12" t="n">
        <v>9.290815253903226</v>
      </c>
      <c r="O878" s="12" t="n">
        <v>233.6435535336049</v>
      </c>
      <c r="P878" s="5" t="inlineStr">
        <is>
          <t>Caution</t>
        </is>
      </c>
      <c r="Q878" s="5" t="inlineStr">
        <is>
          <t>Hold</t>
        </is>
      </c>
      <c r="R878" s="12" t="n">
        <v>0.73</v>
      </c>
      <c r="S878" s="5" t="inlineStr">
        <is>
          <t>ACCEPTED</t>
        </is>
      </c>
      <c r="T878" s="5" t="inlineStr">
        <is>
          <t>DLS exceeds normal range</t>
        </is>
      </c>
    </row>
    <row r="879" s="17">
      <c r="A879" s="7" t="n">
        <v>7720</v>
      </c>
      <c r="B879" s="8" t="n">
        <v>52027.445584</v>
      </c>
      <c r="C879" s="9" t="n">
        <v>52.027445584</v>
      </c>
      <c r="D879" s="9" t="n">
        <v>142.69678584</v>
      </c>
      <c r="E879" s="9" t="n">
        <v>48.88269854</v>
      </c>
      <c r="F879" s="10" t="n">
        <v>0.06755096402682666</v>
      </c>
      <c r="G879" s="10" t="n">
        <v>0.1708662759374971</v>
      </c>
      <c r="H879" s="10" t="n">
        <v>0.9141614747093888</v>
      </c>
      <c r="I879" s="10" t="n">
        <v>0.562347</v>
      </c>
      <c r="J879" s="5" t="inlineStr">
        <is>
          <t>Cleaner sand</t>
        </is>
      </c>
      <c r="K879" s="11" t="n">
        <v>18.30851546739919</v>
      </c>
      <c r="L879" s="12" t="n">
        <v>1.762733113484567</v>
      </c>
      <c r="M879" s="12" t="n">
        <v>6.584812576545162</v>
      </c>
      <c r="N879" s="12" t="n">
        <v>11.08646306607038</v>
      </c>
      <c r="O879" s="12" t="n">
        <v>216.0191310746126</v>
      </c>
      <c r="P879" s="5" t="inlineStr">
        <is>
          <t>Caution</t>
        </is>
      </c>
      <c r="Q879" s="5" t="inlineStr">
        <is>
          <t>Turn Right</t>
        </is>
      </c>
      <c r="R879" s="12" t="n">
        <v>0.74</v>
      </c>
      <c r="S879" s="5" t="inlineStr">
        <is>
          <t>ACCEPTED</t>
        </is>
      </c>
      <c r="T879" s="5" t="inlineStr">
        <is>
          <t>DLS exceeds normal range</t>
        </is>
      </c>
    </row>
    <row r="880" s="17">
      <c r="A880" s="7" t="n">
        <v>7725</v>
      </c>
      <c r="B880" s="8" t="n">
        <v>39975.781834</v>
      </c>
      <c r="C880" s="9" t="n">
        <v>39.975781834</v>
      </c>
      <c r="D880" s="9" t="n">
        <v>116.26020536</v>
      </c>
      <c r="E880" s="9" t="n">
        <v>54.55837692</v>
      </c>
      <c r="F880" s="10" t="n">
        <v>0.1156442061047385</v>
      </c>
      <c r="G880" s="10" t="n">
        <v>0.1340221765796723</v>
      </c>
      <c r="H880" s="10" t="n">
        <v>0.9316986056150979</v>
      </c>
      <c r="I880" s="10" t="n">
        <v>0.810019</v>
      </c>
      <c r="J880" s="5" t="inlineStr">
        <is>
          <t>Cleaner sand</t>
        </is>
      </c>
      <c r="K880" s="11" t="n">
        <v>15.85174301570987</v>
      </c>
      <c r="L880" s="12" t="n">
        <v>1.419098269040297</v>
      </c>
      <c r="M880" s="12" t="n">
        <v>6.974806598743383</v>
      </c>
      <c r="N880" s="12" t="n">
        <v>9.088435328375807</v>
      </c>
      <c r="O880" s="12" t="n">
        <v>209.9665231282376</v>
      </c>
      <c r="P880" s="5" t="inlineStr">
        <is>
          <t>Caution</t>
        </is>
      </c>
      <c r="Q880" s="5" t="inlineStr">
        <is>
          <t>Turn Right</t>
        </is>
      </c>
      <c r="R880" s="12" t="n">
        <v>0.49</v>
      </c>
      <c r="S880" s="5" t="inlineStr">
        <is>
          <t>REJECTED</t>
        </is>
      </c>
      <c r="T880" s="5" t="inlineStr">
        <is>
          <t>DLS exceeds normal range</t>
        </is>
      </c>
    </row>
    <row r="881" s="17">
      <c r="A881" s="7" t="n">
        <v>7730</v>
      </c>
      <c r="B881" s="8" t="n">
        <v>55927.693013</v>
      </c>
      <c r="C881" s="9" t="n">
        <v>55.927693013</v>
      </c>
      <c r="D881" s="9" t="n">
        <v>101.17999565</v>
      </c>
      <c r="E881" s="9" t="n">
        <v>30</v>
      </c>
      <c r="F881" s="10" t="n">
        <v>0.05287220106885179</v>
      </c>
      <c r="G881" s="10" t="n">
        <v>0.2996716118903314</v>
      </c>
      <c r="H881" s="10" t="n">
        <v>0.8827221461249248</v>
      </c>
      <c r="I881" s="10" t="n">
        <v>0.660074</v>
      </c>
      <c r="J881" s="5" t="inlineStr">
        <is>
          <t>Transition</t>
        </is>
      </c>
      <c r="K881" s="11" t="n">
        <v>19.99046064173571</v>
      </c>
      <c r="L881" s="12" t="n">
        <v>2.055490072352282</v>
      </c>
      <c r="M881" s="12" t="n">
        <v>6.629329573110414</v>
      </c>
      <c r="N881" s="12" t="n">
        <v>11.95693183420096</v>
      </c>
      <c r="O881" s="12" t="n">
        <v>207.2974020698251</v>
      </c>
      <c r="P881" s="5" t="inlineStr">
        <is>
          <t>Caution</t>
        </is>
      </c>
      <c r="Q881" s="5" t="inlineStr">
        <is>
          <t>Turn Right</t>
        </is>
      </c>
      <c r="R881" s="12" t="n">
        <v>0.78</v>
      </c>
      <c r="S881" s="5" t="inlineStr">
        <is>
          <t>ACCEPTED</t>
        </is>
      </c>
      <c r="T881" s="5" t="inlineStr">
        <is>
          <t>DLS exceeds normal range</t>
        </is>
      </c>
    </row>
    <row r="882" s="17">
      <c r="A882" s="7" t="n">
        <v>7735</v>
      </c>
      <c r="B882" s="8" t="n">
        <v>49960.232011</v>
      </c>
      <c r="C882" s="9" t="n">
        <v>49.960232011</v>
      </c>
      <c r="D882" s="9" t="n">
        <v>132.79780047</v>
      </c>
      <c r="E882" s="9" t="n">
        <v>56.13706798</v>
      </c>
      <c r="F882" s="10" t="n">
        <v>0.04785064319976932</v>
      </c>
      <c r="G882" s="10" t="n">
        <v>0.09914034713474362</v>
      </c>
      <c r="H882" s="10" t="n">
        <v>0.9225833427848174</v>
      </c>
      <c r="I882" s="10" t="n">
        <v>0.358844</v>
      </c>
      <c r="J882" s="5" t="inlineStr">
        <is>
          <t>Cleaner sand</t>
        </is>
      </c>
      <c r="K882" s="11" t="n">
        <v>20.23145465809924</v>
      </c>
      <c r="L882" s="12" t="n">
        <v>1.18296236214481</v>
      </c>
      <c r="M882" s="12" t="n">
        <v>5.348012825432786</v>
      </c>
      <c r="N882" s="12" t="n">
        <v>11.62257298109074</v>
      </c>
      <c r="O882" s="12" t="n">
        <v>181.0487965704595</v>
      </c>
      <c r="P882" s="5" t="inlineStr">
        <is>
          <t>Normal</t>
        </is>
      </c>
      <c r="Q882" s="5" t="inlineStr">
        <is>
          <t>Turn Right</t>
        </is>
      </c>
      <c r="R882" s="12" t="n">
        <v>0.65</v>
      </c>
      <c r="S882" s="5" t="inlineStr">
        <is>
          <t>REDUCED</t>
        </is>
      </c>
      <c r="T882" s="5" t="inlineStr">
        <is>
          <t>Normal operation</t>
        </is>
      </c>
    </row>
    <row r="883" s="17">
      <c r="A883" s="7" t="n">
        <v>7740</v>
      </c>
      <c r="B883" s="8" t="n">
        <v>53328.786038</v>
      </c>
      <c r="C883" s="9" t="n">
        <v>53.328786038</v>
      </c>
      <c r="D883" s="9" t="n">
        <v>116.88041717</v>
      </c>
      <c r="E883" s="9" t="n">
        <v>62.19798892</v>
      </c>
      <c r="F883" s="10" t="n">
        <v>0.1187461848394057</v>
      </c>
      <c r="G883" s="10" t="n">
        <v>0.155666159517631</v>
      </c>
      <c r="H883" s="10" t="n">
        <v>0.9158172002229794</v>
      </c>
      <c r="I883" s="10" t="n">
        <v>1.036781</v>
      </c>
      <c r="J883" s="5" t="inlineStr">
        <is>
          <t>Cleaner sand</t>
        </is>
      </c>
      <c r="K883" s="11" t="n">
        <v>17.79320339631483</v>
      </c>
      <c r="L883" s="12" t="n">
        <v>1.893415306984547</v>
      </c>
      <c r="M883" s="12" t="n">
        <v>5.985435700270191</v>
      </c>
      <c r="N883" s="12" t="n">
        <v>12.36581481871141</v>
      </c>
      <c r="O883" s="12" t="n">
        <v>210.4831932706972</v>
      </c>
      <c r="P883" s="5" t="inlineStr">
        <is>
          <t>Normal</t>
        </is>
      </c>
      <c r="Q883" s="5" t="inlineStr">
        <is>
          <t>Turn Right</t>
        </is>
      </c>
      <c r="R883" s="12" t="n">
        <v>0.68</v>
      </c>
      <c r="S883" s="5" t="inlineStr">
        <is>
          <t>REDUCED</t>
        </is>
      </c>
      <c r="T883" s="5" t="inlineStr">
        <is>
          <t>Normal operation</t>
        </is>
      </c>
    </row>
    <row r="884" s="17">
      <c r="A884" s="7" t="n">
        <v>7745</v>
      </c>
      <c r="B884" s="8" t="n">
        <v>42506.138205</v>
      </c>
      <c r="C884" s="9" t="n">
        <v>42.50613820500001</v>
      </c>
      <c r="D884" s="9" t="n">
        <v>127.89918104</v>
      </c>
      <c r="E884" s="9" t="n">
        <v>42.21445854</v>
      </c>
      <c r="F884" s="10" t="n">
        <v>0.06294407875169045</v>
      </c>
      <c r="G884" s="10" t="n">
        <v>0.0478367140884239</v>
      </c>
      <c r="H884" s="10" t="n">
        <v>0.9297670200755256</v>
      </c>
      <c r="I884" s="10" t="n">
        <v>0.479677</v>
      </c>
      <c r="J884" s="5" t="inlineStr">
        <is>
          <t>Cleaner sand</t>
        </is>
      </c>
      <c r="K884" s="11" t="n">
        <v>15.84411372970293</v>
      </c>
      <c r="L884" s="12" t="n">
        <v>1.907680377991647</v>
      </c>
      <c r="M884" s="12" t="n">
        <v>5.644810136699661</v>
      </c>
      <c r="N884" s="12" t="n">
        <v>11.29916461085226</v>
      </c>
      <c r="O884" s="12" t="n">
        <v>202.696192449964</v>
      </c>
      <c r="P884" s="5" t="inlineStr">
        <is>
          <t>Normal</t>
        </is>
      </c>
      <c r="Q884" s="5" t="inlineStr">
        <is>
          <t>Turn Right</t>
        </is>
      </c>
      <c r="R884" s="12" t="n">
        <v>0.42</v>
      </c>
      <c r="S884" s="5" t="inlineStr">
        <is>
          <t>REJECTED</t>
        </is>
      </c>
      <c r="T884" s="5" t="inlineStr">
        <is>
          <t>Normal operation</t>
        </is>
      </c>
    </row>
    <row r="885" s="17">
      <c r="A885" s="7" t="n">
        <v>7750</v>
      </c>
      <c r="B885" s="8" t="n">
        <v>46934.098393</v>
      </c>
      <c r="C885" s="9" t="n">
        <v>46.934098393</v>
      </c>
      <c r="D885" s="9" t="n">
        <v>140.77748071</v>
      </c>
      <c r="E885" s="9" t="n">
        <v>66.17662482</v>
      </c>
      <c r="F885" s="10" t="n">
        <v>0.05439007657434182</v>
      </c>
      <c r="G885" s="10" t="n">
        <v>0.2613082488235615</v>
      </c>
      <c r="H885" s="10" t="n">
        <v>0.9214601283890489</v>
      </c>
      <c r="I885" s="10" t="n">
        <v>0.459116</v>
      </c>
      <c r="J885" s="5" t="inlineStr">
        <is>
          <t>Transition</t>
        </is>
      </c>
      <c r="K885" s="11" t="n">
        <v>18.19211169099862</v>
      </c>
      <c r="L885" s="12" t="n">
        <v>2.179502854674451</v>
      </c>
      <c r="M885" s="12" t="n">
        <v>7.352114435836939</v>
      </c>
      <c r="N885" s="12" t="n">
        <v>10.36654311685608</v>
      </c>
      <c r="O885" s="12" t="n">
        <v>204.1487694346176</v>
      </c>
      <c r="P885" s="5" t="inlineStr">
        <is>
          <t>Caution</t>
        </is>
      </c>
      <c r="Q885" s="5" t="inlineStr">
        <is>
          <t>Turn Right</t>
        </is>
      </c>
      <c r="R885" s="12" t="n">
        <v>0.82</v>
      </c>
      <c r="S885" s="5" t="inlineStr">
        <is>
          <t>ACCEPTED</t>
        </is>
      </c>
      <c r="T885" s="5" t="inlineStr">
        <is>
          <t>DLS exceeds normal range</t>
        </is>
      </c>
    </row>
    <row r="886" s="17">
      <c r="A886" s="7" t="n">
        <v>7755</v>
      </c>
      <c r="B886" s="8" t="n">
        <v>48438.898621</v>
      </c>
      <c r="C886" s="9" t="n">
        <v>48.438898621</v>
      </c>
      <c r="D886" s="9" t="n">
        <v>138.66169014</v>
      </c>
      <c r="E886" s="9" t="n">
        <v>43.92142548</v>
      </c>
      <c r="F886" s="10" t="n">
        <v>0.1040719694330003</v>
      </c>
      <c r="G886" s="10" t="n">
        <v>0.2530272232186699</v>
      </c>
      <c r="H886" s="10" t="n">
        <v>0.9581683774774659</v>
      </c>
      <c r="I886" s="10" t="n">
        <v>0.429919</v>
      </c>
      <c r="J886" s="5" t="inlineStr">
        <is>
          <t>Transition</t>
        </is>
      </c>
      <c r="K886" s="11" t="n">
        <v>18.10660760967732</v>
      </c>
      <c r="L886" s="12" t="n">
        <v>3.012233419066428</v>
      </c>
      <c r="M886" s="12" t="n">
        <v>5.348690138434931</v>
      </c>
      <c r="N886" s="12" t="n">
        <v>13.56772249386295</v>
      </c>
      <c r="O886" s="12" t="n">
        <v>191.4539228940303</v>
      </c>
      <c r="P886" s="5" t="inlineStr">
        <is>
          <t>Normal</t>
        </is>
      </c>
      <c r="Q886" s="5" t="inlineStr">
        <is>
          <t>Turn Right</t>
        </is>
      </c>
      <c r="R886" s="12" t="n">
        <v>0.86</v>
      </c>
      <c r="S886" s="5" t="inlineStr">
        <is>
          <t>ACCEPTED</t>
        </is>
      </c>
      <c r="T886" s="5" t="inlineStr">
        <is>
          <t>High vibration detected</t>
        </is>
      </c>
    </row>
    <row r="887" s="17">
      <c r="A887" s="7" t="n">
        <v>7760</v>
      </c>
      <c r="B887" s="8" t="n">
        <v>68206.22162700001</v>
      </c>
      <c r="C887" s="9" t="n">
        <v>68.20622162700001</v>
      </c>
      <c r="D887" s="9" t="n">
        <v>103.99304726</v>
      </c>
      <c r="E887" s="9" t="n">
        <v>49.91881446</v>
      </c>
      <c r="F887" s="10" t="n">
        <v>0.07903121723781972</v>
      </c>
      <c r="G887" s="10" t="n">
        <v>0.2417175141091634</v>
      </c>
      <c r="H887" s="10" t="n">
        <v>0.9162781582778211</v>
      </c>
      <c r="I887" s="10" t="n">
        <v>0.674019</v>
      </c>
      <c r="J887" s="5" t="inlineStr">
        <is>
          <t>Cleaner sand</t>
        </is>
      </c>
      <c r="K887" s="11" t="n">
        <v>22.90706165287891</v>
      </c>
      <c r="L887" s="12" t="n">
        <v>1.852283823917596</v>
      </c>
      <c r="M887" s="12" t="n">
        <v>7.039325992948851</v>
      </c>
      <c r="N887" s="12" t="n">
        <v>10.61861396406044</v>
      </c>
      <c r="O887" s="12" t="n">
        <v>193.6233773332264</v>
      </c>
      <c r="P887" s="5" t="inlineStr">
        <is>
          <t>Caution</t>
        </is>
      </c>
      <c r="Q887" s="5" t="inlineStr">
        <is>
          <t>Turn Right</t>
        </is>
      </c>
      <c r="R887" s="12" t="n">
        <v>0.74</v>
      </c>
      <c r="S887" s="5" t="inlineStr">
        <is>
          <t>ACCEPTED</t>
        </is>
      </c>
      <c r="T887" s="5" t="inlineStr">
        <is>
          <t>DLS exceeds normal range</t>
        </is>
      </c>
    </row>
    <row r="888" s="17">
      <c r="A888" s="7" t="n">
        <v>7765</v>
      </c>
      <c r="B888" s="8" t="n">
        <v>56896.206728</v>
      </c>
      <c r="C888" s="9" t="n">
        <v>56.896206728</v>
      </c>
      <c r="D888" s="9" t="n">
        <v>122.21507746</v>
      </c>
      <c r="E888" s="9" t="n">
        <v>63.86497512</v>
      </c>
      <c r="F888" s="10" t="n">
        <v>0.04796374079264595</v>
      </c>
      <c r="G888" s="10" t="n">
        <v>0.2294558842744442</v>
      </c>
      <c r="H888" s="10" t="n">
        <v>0.9755444516616819</v>
      </c>
      <c r="I888" s="10" t="n">
        <v>0.149643</v>
      </c>
      <c r="J888" s="5" t="inlineStr">
        <is>
          <t>Cleaner sand</t>
        </is>
      </c>
      <c r="K888" s="11" t="n">
        <v>19.56412617176951</v>
      </c>
      <c r="L888" s="12" t="n">
        <v>1.410607823403325</v>
      </c>
      <c r="M888" s="12" t="n">
        <v>7.056756753417802</v>
      </c>
      <c r="N888" s="12" t="n">
        <v>13.27602567496362</v>
      </c>
      <c r="O888" s="12" t="n">
        <v>192.4565540469633</v>
      </c>
      <c r="P888" s="5" t="inlineStr">
        <is>
          <t>Caution</t>
        </is>
      </c>
      <c r="Q888" s="5" t="inlineStr">
        <is>
          <t>Turn Right</t>
        </is>
      </c>
      <c r="R888" s="12" t="n">
        <v>0.8100000000000001</v>
      </c>
      <c r="S888" s="5" t="inlineStr">
        <is>
          <t>ACCEPTED</t>
        </is>
      </c>
      <c r="T888" s="5" t="inlineStr">
        <is>
          <t>DLS exceeds normal range</t>
        </is>
      </c>
    </row>
    <row r="889" s="17">
      <c r="A889" s="7" t="n">
        <v>7770</v>
      </c>
      <c r="B889" s="8" t="n">
        <v>47059.46669</v>
      </c>
      <c r="C889" s="9" t="n">
        <v>47.05946669</v>
      </c>
      <c r="D889" s="9" t="n">
        <v>124.76349389</v>
      </c>
      <c r="E889" s="9" t="n">
        <v>64.90853335999999</v>
      </c>
      <c r="F889" s="10" t="n">
        <v>0.1215170952239502</v>
      </c>
      <c r="G889" s="10" t="n">
        <v>0.1691313471629047</v>
      </c>
      <c r="H889" s="10" t="n">
        <v>0.9246940460559955</v>
      </c>
      <c r="I889" s="10" t="n">
        <v>0.941778</v>
      </c>
      <c r="J889" s="5" t="inlineStr">
        <is>
          <t>Cleaner sand</t>
        </is>
      </c>
      <c r="K889" s="11" t="n">
        <v>16.81171666429076</v>
      </c>
      <c r="L889" s="12" t="n">
        <v>1.647468587025923</v>
      </c>
      <c r="M889" s="12" t="n">
        <v>7.823893466456671</v>
      </c>
      <c r="N889" s="12" t="n">
        <v>15.29966099382001</v>
      </c>
      <c r="O889" s="12" t="n">
        <v>206.0840080686521</v>
      </c>
      <c r="P889" s="5" t="inlineStr">
        <is>
          <t>Caution</t>
        </is>
      </c>
      <c r="Q889" s="5" t="inlineStr">
        <is>
          <t>Drop</t>
        </is>
      </c>
      <c r="R889" s="12" t="n">
        <v>0.6899999999999999</v>
      </c>
      <c r="S889" s="5" t="inlineStr">
        <is>
          <t>REDUCED</t>
        </is>
      </c>
      <c r="T889" s="5" t="inlineStr">
        <is>
          <t>DLS exceeds normal range</t>
        </is>
      </c>
    </row>
    <row r="890" s="17">
      <c r="A890" s="7" t="n">
        <v>7775</v>
      </c>
      <c r="B890" s="8" t="n">
        <v>71292.490261</v>
      </c>
      <c r="C890" s="9" t="n">
        <v>71.292490261</v>
      </c>
      <c r="D890" s="9" t="n">
        <v>115.87043775</v>
      </c>
      <c r="E890" s="9" t="n">
        <v>30</v>
      </c>
      <c r="F890" s="10" t="n">
        <v>0.0799416723382647</v>
      </c>
      <c r="G890" s="10" t="n">
        <v>0.2926408930765537</v>
      </c>
      <c r="H890" s="10" t="n">
        <v>0.908901272244534</v>
      </c>
      <c r="I890" s="10" t="n">
        <v>0.726023</v>
      </c>
      <c r="J890" s="5" t="inlineStr">
        <is>
          <t>Transition</t>
        </is>
      </c>
      <c r="K890" s="11" t="n">
        <v>22.21864070610876</v>
      </c>
      <c r="L890" s="12" t="n">
        <v>1.1</v>
      </c>
      <c r="M890" s="12" t="n">
        <v>6.050028327188619</v>
      </c>
      <c r="N890" s="12" t="n">
        <v>14.71313487670414</v>
      </c>
      <c r="O890" s="12" t="n">
        <v>191.585336776453</v>
      </c>
      <c r="P890" s="5" t="inlineStr">
        <is>
          <t>Caution</t>
        </is>
      </c>
      <c r="Q890" s="5" t="inlineStr">
        <is>
          <t>Turn Right</t>
        </is>
      </c>
      <c r="R890" s="12" t="n">
        <v>0.74</v>
      </c>
      <c r="S890" s="5" t="inlineStr">
        <is>
          <t>ACCEPTED</t>
        </is>
      </c>
      <c r="T890" s="5" t="inlineStr">
        <is>
          <t>DLS exceeds normal range</t>
        </is>
      </c>
    </row>
    <row r="891" s="17">
      <c r="A891" s="7" t="n">
        <v>7780</v>
      </c>
      <c r="B891" s="8" t="n">
        <v>36666.701375</v>
      </c>
      <c r="C891" s="9" t="n">
        <v>36.666701375</v>
      </c>
      <c r="D891" s="9" t="n">
        <v>142.31389604</v>
      </c>
      <c r="E891" s="9" t="n">
        <v>48.6640562</v>
      </c>
      <c r="F891" s="10" t="n">
        <v>0.07025917339170717</v>
      </c>
      <c r="G891" s="10" t="n">
        <v>0.1177203486051917</v>
      </c>
      <c r="H891" s="10" t="n">
        <v>0.9212032201046436</v>
      </c>
      <c r="I891" s="10" t="n">
        <v>0.60358</v>
      </c>
      <c r="J891" s="5" t="inlineStr">
        <is>
          <t>Cleaner sand</t>
        </is>
      </c>
      <c r="K891" s="11" t="n">
        <v>16.36825803074122</v>
      </c>
      <c r="L891" s="12" t="n">
        <v>1.319590565766361</v>
      </c>
      <c r="M891" s="12" t="n">
        <v>6.964991105061912</v>
      </c>
      <c r="N891" s="12" t="n">
        <v>17.38405651089113</v>
      </c>
      <c r="O891" s="12" t="n">
        <v>215.9103388964166</v>
      </c>
      <c r="P891" s="5" t="inlineStr">
        <is>
          <t>Caution</t>
        </is>
      </c>
      <c r="Q891" s="5" t="inlineStr">
        <is>
          <t>Drop</t>
        </is>
      </c>
      <c r="R891" s="12" t="n">
        <v>0.62</v>
      </c>
      <c r="S891" s="5" t="inlineStr">
        <is>
          <t>REDUCED</t>
        </is>
      </c>
      <c r="T891" s="5" t="inlineStr">
        <is>
          <t>DLS exceeds normal range</t>
        </is>
      </c>
    </row>
    <row r="892" s="17">
      <c r="A892" s="7" t="n">
        <v>7785</v>
      </c>
      <c r="B892" s="8" t="n">
        <v>48329.028593</v>
      </c>
      <c r="C892" s="9" t="n">
        <v>48.329028593</v>
      </c>
      <c r="D892" s="9" t="n">
        <v>124.53790582</v>
      </c>
      <c r="E892" s="9" t="n">
        <v>65.95554052</v>
      </c>
      <c r="F892" s="10" t="n">
        <v>0.1528610999832789</v>
      </c>
      <c r="G892" s="10" t="n">
        <v>0.2789826380297563</v>
      </c>
      <c r="H892" s="10" t="n">
        <v>0.9099102836496598</v>
      </c>
      <c r="I892" s="10" t="n">
        <v>1.382508</v>
      </c>
      <c r="J892" s="5" t="inlineStr">
        <is>
          <t>Transition</t>
        </is>
      </c>
      <c r="K892" s="11" t="n">
        <v>18.224990826949</v>
      </c>
      <c r="L892" s="12" t="n">
        <v>1.459451605324579</v>
      </c>
      <c r="M892" s="12" t="n">
        <v>8.237584948997107</v>
      </c>
      <c r="N892" s="12" t="n">
        <v>16.57139622361582</v>
      </c>
      <c r="O892" s="12" t="n">
        <v>199.3096581675441</v>
      </c>
      <c r="P892" s="5" t="inlineStr">
        <is>
          <t>Caution</t>
        </is>
      </c>
      <c r="Q892" s="5" t="inlineStr">
        <is>
          <t>Drop</t>
        </is>
      </c>
      <c r="R892" s="12" t="n">
        <v>0.84</v>
      </c>
      <c r="S892" s="5" t="inlineStr">
        <is>
          <t>ACCEPTED</t>
        </is>
      </c>
      <c r="T892" s="5" t="inlineStr">
        <is>
          <t>DLS exceeds normal range</t>
        </is>
      </c>
    </row>
    <row r="893" s="17">
      <c r="A893" s="7" t="n">
        <v>7790</v>
      </c>
      <c r="B893" s="8" t="n">
        <v>62142.477673</v>
      </c>
      <c r="C893" s="9" t="n">
        <v>62.142477673</v>
      </c>
      <c r="D893" s="9" t="n">
        <v>159.65905669</v>
      </c>
      <c r="E893" s="9" t="n">
        <v>34.69391382</v>
      </c>
      <c r="F893" s="10" t="n">
        <v>0.09256687842190162</v>
      </c>
      <c r="G893" s="10" t="n">
        <v>0.3010877808818392</v>
      </c>
      <c r="H893" s="10" t="n">
        <v>0.859331449495462</v>
      </c>
      <c r="I893" s="10" t="n">
        <v>1.304002</v>
      </c>
      <c r="J893" s="5" t="inlineStr">
        <is>
          <t>Transition</t>
        </is>
      </c>
      <c r="K893" s="11" t="n">
        <v>20.45237470501178</v>
      </c>
      <c r="L893" s="12" t="n">
        <v>1.40319668501205</v>
      </c>
      <c r="M893" s="12" t="n">
        <v>5.935053428216036</v>
      </c>
      <c r="N893" s="12" t="n">
        <v>14.7762296730314</v>
      </c>
      <c r="O893" s="12" t="n">
        <v>182.3682477083145</v>
      </c>
      <c r="P893" s="5" t="inlineStr">
        <is>
          <t>Normal</t>
        </is>
      </c>
      <c r="Q893" s="5" t="inlineStr">
        <is>
          <t>Turn Right</t>
        </is>
      </c>
      <c r="R893" s="12" t="n">
        <v>0.66</v>
      </c>
      <c r="S893" s="5" t="inlineStr">
        <is>
          <t>REDUCED</t>
        </is>
      </c>
      <c r="T893" s="5" t="inlineStr">
        <is>
          <t>Normal operation</t>
        </is>
      </c>
    </row>
    <row r="894" s="17">
      <c r="A894" s="7" t="n">
        <v>7795</v>
      </c>
      <c r="B894" s="8" t="n">
        <v>53620.529087</v>
      </c>
      <c r="C894" s="9" t="n">
        <v>53.620529087</v>
      </c>
      <c r="D894" s="9" t="n">
        <v>143.25226974</v>
      </c>
      <c r="E894" s="9" t="n">
        <v>46.54902446000001</v>
      </c>
      <c r="F894" s="10" t="n">
        <v>0.05612769887562052</v>
      </c>
      <c r="G894" s="10" t="n">
        <v>0.09602790160638223</v>
      </c>
      <c r="H894" s="10" t="n">
        <v>0.9859086839646729</v>
      </c>
      <c r="I894" s="10" t="n">
        <v>0.107153</v>
      </c>
      <c r="J894" s="5" t="inlineStr">
        <is>
          <t>Cleaner sand</t>
        </is>
      </c>
      <c r="K894" s="11" t="n">
        <v>19.44440471503862</v>
      </c>
      <c r="L894" s="12" t="n">
        <v>1.734653887296524</v>
      </c>
      <c r="M894" s="12" t="n">
        <v>5.217809925804965</v>
      </c>
      <c r="N894" s="12" t="n">
        <v>16.04934822425671</v>
      </c>
      <c r="O894" s="12" t="n">
        <v>194.1700273821693</v>
      </c>
      <c r="P894" s="5" t="inlineStr">
        <is>
          <t>Normal</t>
        </is>
      </c>
      <c r="Q894" s="5" t="inlineStr">
        <is>
          <t>Turn Right</t>
        </is>
      </c>
      <c r="R894" s="12" t="n">
        <v>0.77</v>
      </c>
      <c r="S894" s="5" t="inlineStr">
        <is>
          <t>ACCEPTED</t>
        </is>
      </c>
      <c r="T894" s="5" t="inlineStr">
        <is>
          <t>Normal operation</t>
        </is>
      </c>
    </row>
    <row r="895" s="17">
      <c r="A895" s="7" t="n">
        <v>7800</v>
      </c>
      <c r="B895" s="8" t="n">
        <v>36555.84289</v>
      </c>
      <c r="C895" s="9" t="n">
        <v>36.55584289</v>
      </c>
      <c r="D895" s="9" t="n">
        <v>150.85770013</v>
      </c>
      <c r="E895" s="9" t="n">
        <v>62.002947</v>
      </c>
      <c r="F895" s="10" t="n">
        <v>0.139593550396304</v>
      </c>
      <c r="G895" s="10" t="n">
        <v>0.1435337868871497</v>
      </c>
      <c r="H895" s="10" t="n">
        <v>0.907390845847985</v>
      </c>
      <c r="I895" s="10" t="n">
        <v>1.290998</v>
      </c>
      <c r="J895" s="5" t="inlineStr">
        <is>
          <t>Cleaner sand</t>
        </is>
      </c>
      <c r="K895" s="11" t="n">
        <v>16.40846076768504</v>
      </c>
      <c r="L895" s="12" t="n">
        <v>1.257014233132722</v>
      </c>
      <c r="M895" s="12" t="n">
        <v>4.958280406436436</v>
      </c>
      <c r="N895" s="12" t="n">
        <v>16.33980216973721</v>
      </c>
      <c r="O895" s="12" t="n">
        <v>189.4745548910159</v>
      </c>
      <c r="P895" s="5" t="inlineStr">
        <is>
          <t>Normal</t>
        </is>
      </c>
      <c r="Q895" s="5" t="inlineStr">
        <is>
          <t>Turn Right</t>
        </is>
      </c>
      <c r="R895" s="12" t="n">
        <v>0.74</v>
      </c>
      <c r="S895" s="5" t="inlineStr">
        <is>
          <t>ACCEPTED</t>
        </is>
      </c>
      <c r="T895" s="5" t="inlineStr">
        <is>
          <t>Normal operation</t>
        </is>
      </c>
    </row>
    <row r="896" s="17">
      <c r="A896" s="7" t="n">
        <v>7805</v>
      </c>
      <c r="B896" s="8" t="n">
        <v>68130.61655799999</v>
      </c>
      <c r="C896" s="9" t="n">
        <v>68.130616558</v>
      </c>
      <c r="D896" s="9" t="n">
        <v>111.81818509</v>
      </c>
      <c r="E896" s="9" t="n">
        <v>30</v>
      </c>
      <c r="F896" s="10" t="n">
        <v>0.09079320310706543</v>
      </c>
      <c r="G896" s="10" t="n">
        <v>0.2474267622019775</v>
      </c>
      <c r="H896" s="10" t="n">
        <v>0.9562075460693128</v>
      </c>
      <c r="I896" s="10" t="n">
        <v>0.413691</v>
      </c>
      <c r="J896" s="5" t="inlineStr">
        <is>
          <t>Cleaner sand</t>
        </is>
      </c>
      <c r="K896" s="11" t="n">
        <v>22.42860791088662</v>
      </c>
      <c r="L896" s="12" t="n">
        <v>2.209305026988991</v>
      </c>
      <c r="M896" s="12" t="n">
        <v>7.048674228865003</v>
      </c>
      <c r="N896" s="12" t="n">
        <v>14.73209754329019</v>
      </c>
      <c r="O896" s="12" t="n">
        <v>180</v>
      </c>
      <c r="P896" s="5" t="inlineStr">
        <is>
          <t>Caution</t>
        </is>
      </c>
      <c r="Q896" s="5" t="inlineStr">
        <is>
          <t>Turn Right</t>
        </is>
      </c>
      <c r="R896" s="12" t="n">
        <v>0.79</v>
      </c>
      <c r="S896" s="5" t="inlineStr">
        <is>
          <t>ACCEPTED</t>
        </is>
      </c>
      <c r="T896" s="5" t="inlineStr">
        <is>
          <t>DLS exceeds normal range</t>
        </is>
      </c>
    </row>
    <row r="897" s="17">
      <c r="A897" s="7" t="n">
        <v>7810</v>
      </c>
      <c r="B897" s="8" t="n">
        <v>46014.669034</v>
      </c>
      <c r="C897" s="9" t="n">
        <v>46.014669034</v>
      </c>
      <c r="D897" s="9" t="n">
        <v>140.08846348</v>
      </c>
      <c r="E897" s="9" t="n">
        <v>48.333178</v>
      </c>
      <c r="F897" s="10" t="n">
        <v>0.0316992054850284</v>
      </c>
      <c r="G897" s="10" t="n">
        <v>0.1010956512815477</v>
      </c>
      <c r="H897" s="10" t="n">
        <v>0.9904235130169818</v>
      </c>
      <c r="I897" s="10" t="n">
        <v>0.019137</v>
      </c>
      <c r="J897" s="5" t="inlineStr">
        <is>
          <t>Cleaner sand</t>
        </is>
      </c>
      <c r="K897" s="11" t="n">
        <v>17.62755775797505</v>
      </c>
      <c r="L897" s="12" t="n">
        <v>1.660101461809917</v>
      </c>
      <c r="M897" s="12" t="n">
        <v>4.987969396138613</v>
      </c>
      <c r="N897" s="12" t="n">
        <v>15.95395199680564</v>
      </c>
      <c r="O897" s="12" t="n">
        <v>213.6669143790405</v>
      </c>
      <c r="P897" s="5" t="inlineStr">
        <is>
          <t>Normal</t>
        </is>
      </c>
      <c r="Q897" s="5" t="inlineStr">
        <is>
          <t>Drop</t>
        </is>
      </c>
      <c r="R897" s="12" t="n">
        <v>0.83</v>
      </c>
      <c r="S897" s="5" t="inlineStr">
        <is>
          <t>ACCEPTED</t>
        </is>
      </c>
      <c r="T897" s="5" t="inlineStr">
        <is>
          <t>Normal operation</t>
        </is>
      </c>
    </row>
    <row r="898" s="17">
      <c r="A898" s="7" t="n">
        <v>7815</v>
      </c>
      <c r="B898" s="8" t="n">
        <v>56508.49202</v>
      </c>
      <c r="C898" s="9" t="n">
        <v>56.50849202</v>
      </c>
      <c r="D898" s="9" t="n">
        <v>126.89070422</v>
      </c>
      <c r="E898" s="9" t="n">
        <v>56.10482148</v>
      </c>
      <c r="F898" s="10" t="n">
        <v>0.08959035284220378</v>
      </c>
      <c r="G898" s="10" t="n">
        <v>0.2613717914626718</v>
      </c>
      <c r="H898" s="10" t="n">
        <v>0.9408324275212946</v>
      </c>
      <c r="I898" s="10" t="n">
        <v>0.511363</v>
      </c>
      <c r="J898" s="5" t="inlineStr">
        <is>
          <t>Transition</t>
        </is>
      </c>
      <c r="K898" s="11" t="n">
        <v>18.741770786251</v>
      </c>
      <c r="L898" s="12" t="n">
        <v>1.655442842642079</v>
      </c>
      <c r="M898" s="12" t="n">
        <v>6.212386999124511</v>
      </c>
      <c r="N898" s="12" t="n">
        <v>16.83502466175662</v>
      </c>
      <c r="O898" s="12" t="n">
        <v>205.8437489307505</v>
      </c>
      <c r="P898" s="5" t="inlineStr">
        <is>
          <t>Caution</t>
        </is>
      </c>
      <c r="Q898" s="5" t="inlineStr">
        <is>
          <t>Drop</t>
        </is>
      </c>
      <c r="R898" s="12" t="n">
        <v>0.68</v>
      </c>
      <c r="S898" s="5" t="inlineStr">
        <is>
          <t>REDUCED</t>
        </is>
      </c>
      <c r="T898" s="5" t="inlineStr">
        <is>
          <t>DLS exceeds normal range</t>
        </is>
      </c>
    </row>
    <row r="899" s="17">
      <c r="A899" s="7" t="n">
        <v>7820</v>
      </c>
      <c r="B899" s="8" t="n">
        <v>70728.041059</v>
      </c>
      <c r="C899" s="9" t="n">
        <v>70.72804105899999</v>
      </c>
      <c r="D899" s="9" t="n">
        <v>101.36673468</v>
      </c>
      <c r="E899" s="9" t="n">
        <v>53.08931576000001</v>
      </c>
      <c r="F899" s="10" t="n">
        <v>0.07793255912653486</v>
      </c>
      <c r="G899" s="10" t="n">
        <v>0.1834340430002993</v>
      </c>
      <c r="H899" s="10" t="n">
        <v>0.9467357955038906</v>
      </c>
      <c r="I899" s="10" t="n">
        <v>0.41648</v>
      </c>
      <c r="J899" s="5" t="inlineStr">
        <is>
          <t>Cleaner sand</t>
        </is>
      </c>
      <c r="K899" s="11" t="n">
        <v>21.67088514630494</v>
      </c>
      <c r="L899" s="12" t="n">
        <v>1.49933158890867</v>
      </c>
      <c r="M899" s="12" t="n">
        <v>6.875612144998271</v>
      </c>
      <c r="N899" s="12" t="n">
        <v>15.3044704397129</v>
      </c>
      <c r="O899" s="12" t="n">
        <v>205.4800005988639</v>
      </c>
      <c r="P899" s="5" t="inlineStr">
        <is>
          <t>Caution</t>
        </is>
      </c>
      <c r="Q899" s="5" t="inlineStr">
        <is>
          <t>Turn Right</t>
        </is>
      </c>
      <c r="R899" s="12" t="n">
        <v>0.85</v>
      </c>
      <c r="S899" s="5" t="inlineStr">
        <is>
          <t>ACCEPTED</t>
        </is>
      </c>
      <c r="T899" s="5" t="inlineStr">
        <is>
          <t>DLS exceeds normal range</t>
        </is>
      </c>
    </row>
    <row r="900" s="17">
      <c r="A900" s="7" t="n">
        <v>7825</v>
      </c>
      <c r="B900" s="8" t="n">
        <v>46599.074521</v>
      </c>
      <c r="C900" s="9" t="n">
        <v>46.59907452100001</v>
      </c>
      <c r="D900" s="9" t="n">
        <v>138.50667646</v>
      </c>
      <c r="E900" s="9" t="n">
        <v>63.63946282</v>
      </c>
      <c r="F900" s="10" t="n">
        <v>0.0502074570139306</v>
      </c>
      <c r="G900" s="10" t="n">
        <v>0.1232257056279213</v>
      </c>
      <c r="H900" s="10" t="n">
        <v>0.9744406220189383</v>
      </c>
      <c r="I900" s="10" t="n">
        <v>0.175328</v>
      </c>
      <c r="J900" s="5" t="inlineStr">
        <is>
          <t>Cleaner sand</t>
        </is>
      </c>
      <c r="K900" s="11" t="n">
        <v>18.29284164484305</v>
      </c>
      <c r="L900" s="12" t="n">
        <v>1.7360434350909</v>
      </c>
      <c r="M900" s="12" t="n">
        <v>6.689187022158267</v>
      </c>
      <c r="N900" s="12" t="n">
        <v>17.96485569557835</v>
      </c>
      <c r="O900" s="12" t="n">
        <v>203.3291086071307</v>
      </c>
      <c r="P900" s="5" t="inlineStr">
        <is>
          <t>Caution</t>
        </is>
      </c>
      <c r="Q900" s="5" t="inlineStr">
        <is>
          <t>Drop</t>
        </is>
      </c>
      <c r="R900" s="12" t="n">
        <v>0.67</v>
      </c>
      <c r="S900" s="5" t="inlineStr">
        <is>
          <t>REDUCED</t>
        </is>
      </c>
      <c r="T900" s="5" t="inlineStr">
        <is>
          <t>DLS exceeds normal range</t>
        </is>
      </c>
    </row>
    <row r="901" s="17">
      <c r="A901" s="7" t="n">
        <v>7830</v>
      </c>
      <c r="B901" s="8" t="n">
        <v>37516.369075</v>
      </c>
      <c r="C901" s="9" t="n">
        <v>37.516369075</v>
      </c>
      <c r="D901" s="9" t="n">
        <v>126.96026094</v>
      </c>
      <c r="E901" s="9" t="n">
        <v>34.1385516</v>
      </c>
      <c r="F901" s="10" t="n">
        <v>0.1013248244222933</v>
      </c>
      <c r="G901" s="10" t="n">
        <v>0.1873456361162718</v>
      </c>
      <c r="H901" s="10" t="n">
        <v>0.9223506973032426</v>
      </c>
      <c r="I901" s="10" t="n">
        <v>0.767275</v>
      </c>
      <c r="J901" s="5" t="inlineStr">
        <is>
          <t>Cleaner sand</t>
        </is>
      </c>
      <c r="K901" s="11" t="n">
        <v>14.59889104489538</v>
      </c>
      <c r="L901" s="12" t="n">
        <v>2.064298149687141</v>
      </c>
      <c r="M901" s="12" t="n">
        <v>6.896452108813621</v>
      </c>
      <c r="N901" s="12" t="n">
        <v>17.46859414520365</v>
      </c>
      <c r="O901" s="12" t="n">
        <v>189.5690711510823</v>
      </c>
      <c r="P901" s="5" t="inlineStr">
        <is>
          <t>Caution</t>
        </is>
      </c>
      <c r="Q901" s="5" t="inlineStr">
        <is>
          <t>Drop</t>
        </is>
      </c>
      <c r="R901" s="12" t="n">
        <v>0.93</v>
      </c>
      <c r="S901" s="5" t="inlineStr">
        <is>
          <t>ACCEPTED</t>
        </is>
      </c>
      <c r="T901" s="5" t="inlineStr">
        <is>
          <t>DLS exceeds normal range</t>
        </is>
      </c>
    </row>
    <row r="902" s="17">
      <c r="A902" s="7" t="n">
        <v>7835</v>
      </c>
      <c r="B902" s="8" t="n">
        <v>70353.855282</v>
      </c>
      <c r="C902" s="9" t="n">
        <v>70.353855282</v>
      </c>
      <c r="D902" s="9" t="n">
        <v>152.87907278</v>
      </c>
      <c r="E902" s="9" t="n">
        <v>38.50911634</v>
      </c>
      <c r="F902" s="10" t="n">
        <v>0.1113258386060851</v>
      </c>
      <c r="G902" s="10" t="n">
        <v>0.289272798933418</v>
      </c>
      <c r="H902" s="10" t="n">
        <v>0.8970921267134381</v>
      </c>
      <c r="I902" s="10" t="n">
        <v>1.158714</v>
      </c>
      <c r="J902" s="5" t="inlineStr">
        <is>
          <t>Transition</t>
        </is>
      </c>
      <c r="K902" s="11" t="n">
        <v>21.82402391186883</v>
      </c>
      <c r="L902" s="12" t="n">
        <v>1.235106194301659</v>
      </c>
      <c r="M902" s="12" t="n">
        <v>6.748741353978524</v>
      </c>
      <c r="N902" s="12" t="n">
        <v>15.50689882794893</v>
      </c>
      <c r="O902" s="12" t="n">
        <v>200.44921770854</v>
      </c>
      <c r="P902" s="5" t="inlineStr">
        <is>
          <t>Caution</t>
        </is>
      </c>
      <c r="Q902" s="5" t="inlineStr">
        <is>
          <t>Drop</t>
        </is>
      </c>
      <c r="R902" s="12" t="n">
        <v>0.8100000000000001</v>
      </c>
      <c r="S902" s="5" t="inlineStr">
        <is>
          <t>ACCEPTED</t>
        </is>
      </c>
      <c r="T902" s="5" t="inlineStr">
        <is>
          <t>DLS exceeds normal range</t>
        </is>
      </c>
    </row>
    <row r="903" s="17">
      <c r="A903" s="7" t="n">
        <v>7840</v>
      </c>
      <c r="B903" s="8" t="n">
        <v>52233.607948</v>
      </c>
      <c r="C903" s="9" t="n">
        <v>52.233607948</v>
      </c>
      <c r="D903" s="9" t="n">
        <v>123.6087253</v>
      </c>
      <c r="E903" s="9" t="n">
        <v>66.26459605999999</v>
      </c>
      <c r="F903" s="10" t="n">
        <v>0.05478998399189894</v>
      </c>
      <c r="G903" s="10" t="n">
        <v>0.1169499570205834</v>
      </c>
      <c r="H903" s="10" t="n">
        <v>0.9843111933255366</v>
      </c>
      <c r="I903" s="10" t="n">
        <v>0.076861</v>
      </c>
      <c r="J903" s="5" t="inlineStr">
        <is>
          <t>Cleaner sand</t>
        </is>
      </c>
      <c r="K903" s="11" t="n">
        <v>17.72930642082923</v>
      </c>
      <c r="L903" s="12" t="n">
        <v>1.337522920353124</v>
      </c>
      <c r="M903" s="12" t="n">
        <v>7.608578014326256</v>
      </c>
      <c r="N903" s="12" t="n">
        <v>18.0964109809159</v>
      </c>
      <c r="O903" s="12" t="n">
        <v>215.7757062918143</v>
      </c>
      <c r="P903" s="5" t="inlineStr">
        <is>
          <t>Caution</t>
        </is>
      </c>
      <c r="Q903" s="5" t="inlineStr">
        <is>
          <t>Drop</t>
        </is>
      </c>
      <c r="R903" s="12" t="n">
        <v>0.49</v>
      </c>
      <c r="S903" s="5" t="inlineStr">
        <is>
          <t>REJECTED</t>
        </is>
      </c>
      <c r="T903" s="5" t="inlineStr">
        <is>
          <t>DLS exceeds normal range</t>
        </is>
      </c>
    </row>
    <row r="904" s="17">
      <c r="A904" s="7" t="n">
        <v>7845</v>
      </c>
      <c r="B904" s="8" t="n">
        <v>47077.222274</v>
      </c>
      <c r="C904" s="9" t="n">
        <v>47.077222274</v>
      </c>
      <c r="D904" s="9" t="n">
        <v>127.09981833</v>
      </c>
      <c r="E904" s="9" t="n">
        <v>53.43467188</v>
      </c>
      <c r="F904" s="10" t="n">
        <v>0.1134779272565576</v>
      </c>
      <c r="G904" s="10" t="n">
        <v>0.1283932621707462</v>
      </c>
      <c r="H904" s="10" t="n">
        <v>0.9001946741817193</v>
      </c>
      <c r="I904" s="10" t="n">
        <v>1.167666</v>
      </c>
      <c r="J904" s="5" t="inlineStr">
        <is>
          <t>Cleaner sand</t>
        </is>
      </c>
      <c r="K904" s="11" t="n">
        <v>17.20301921390881</v>
      </c>
      <c r="L904" s="12" t="n">
        <v>1.511174245899434</v>
      </c>
      <c r="M904" s="12" t="n">
        <v>5.837969827032004</v>
      </c>
      <c r="N904" s="12" t="n">
        <v>18.39084218055499</v>
      </c>
      <c r="O904" s="12" t="n">
        <v>199.0884537007433</v>
      </c>
      <c r="P904" s="5" t="inlineStr">
        <is>
          <t>Normal</t>
        </is>
      </c>
      <c r="Q904" s="5" t="inlineStr">
        <is>
          <t>Drop</t>
        </is>
      </c>
      <c r="R904" s="12" t="n">
        <v>0.86</v>
      </c>
      <c r="S904" s="5" t="inlineStr">
        <is>
          <t>ACCEPTED</t>
        </is>
      </c>
      <c r="T904" s="5" t="inlineStr">
        <is>
          <t>Normal operation</t>
        </is>
      </c>
    </row>
    <row r="905" s="17">
      <c r="A905" s="7" t="n">
        <v>7850</v>
      </c>
      <c r="B905" s="8" t="n">
        <v>73409.879693</v>
      </c>
      <c r="C905" s="9" t="n">
        <v>73.40987969299999</v>
      </c>
      <c r="D905" s="9" t="n">
        <v>123.97347462</v>
      </c>
      <c r="E905" s="9" t="n">
        <v>30</v>
      </c>
      <c r="F905" s="10" t="n">
        <v>0.06034881420386772</v>
      </c>
      <c r="G905" s="10" t="n">
        <v>0.3676071765382951</v>
      </c>
      <c r="H905" s="10" t="n">
        <v>0.866543541419505</v>
      </c>
      <c r="I905" s="10" t="n">
        <v>0.793759</v>
      </c>
      <c r="J905" s="5" t="inlineStr">
        <is>
          <t>Transition</t>
        </is>
      </c>
      <c r="K905" s="11" t="n">
        <v>23.29587144717775</v>
      </c>
      <c r="L905" s="12" t="n">
        <v>1.1</v>
      </c>
      <c r="M905" s="12" t="n">
        <v>6.072325109398653</v>
      </c>
      <c r="N905" s="12" t="n">
        <v>17.64462579138249</v>
      </c>
      <c r="O905" s="12" t="n">
        <v>186.6893383244854</v>
      </c>
      <c r="P905" s="5" t="inlineStr">
        <is>
          <t>Caution</t>
        </is>
      </c>
      <c r="Q905" s="5" t="inlineStr">
        <is>
          <t>Drop</t>
        </is>
      </c>
      <c r="R905" s="12" t="n">
        <v>0.7</v>
      </c>
      <c r="S905" s="5" t="inlineStr">
        <is>
          <t>ACCEPTED</t>
        </is>
      </c>
      <c r="T905" s="5" t="inlineStr">
        <is>
          <t>DLS exceeds normal range</t>
        </is>
      </c>
    </row>
    <row r="906" s="17">
      <c r="A906" s="7" t="n">
        <v>7855</v>
      </c>
      <c r="B906" s="8" t="n">
        <v>51251.22968</v>
      </c>
      <c r="C906" s="9" t="n">
        <v>51.25122967999999</v>
      </c>
      <c r="D906" s="9" t="n">
        <v>135.12747932</v>
      </c>
      <c r="E906" s="9" t="n">
        <v>55.41475622</v>
      </c>
      <c r="F906" s="10" t="n">
        <v>0.05082470264357175</v>
      </c>
      <c r="G906" s="10" t="n">
        <v>0.233453695831187</v>
      </c>
      <c r="H906" s="10" t="n">
        <v>0.9195259039701615</v>
      </c>
      <c r="I906" s="10" t="n">
        <v>0.438342</v>
      </c>
      <c r="J906" s="5" t="inlineStr">
        <is>
          <t>Cleaner sand</t>
        </is>
      </c>
      <c r="K906" s="11" t="n">
        <v>18.13306369187631</v>
      </c>
      <c r="L906" s="12" t="n">
        <v>1.258563648736466</v>
      </c>
      <c r="M906" s="12" t="n">
        <v>6.009651735976187</v>
      </c>
      <c r="N906" s="12" t="n">
        <v>16.81746569748786</v>
      </c>
      <c r="O906" s="12" t="n">
        <v>212.298863692687</v>
      </c>
      <c r="P906" s="5" t="inlineStr">
        <is>
          <t>Caution</t>
        </is>
      </c>
      <c r="Q906" s="5" t="inlineStr">
        <is>
          <t>Drop</t>
        </is>
      </c>
      <c r="R906" s="12" t="n">
        <v>0.9399999999999999</v>
      </c>
      <c r="S906" s="5" t="inlineStr">
        <is>
          <t>ACCEPTED</t>
        </is>
      </c>
      <c r="T906" s="5" t="inlineStr">
        <is>
          <t>DLS exceeds normal range</t>
        </is>
      </c>
    </row>
    <row r="907" s="17">
      <c r="A907" s="7" t="n">
        <v>7860</v>
      </c>
      <c r="B907" s="8" t="n">
        <v>58311.071406</v>
      </c>
      <c r="C907" s="9" t="n">
        <v>58.311071406</v>
      </c>
      <c r="D907" s="9" t="n">
        <v>135.50805375</v>
      </c>
      <c r="E907" s="9" t="n">
        <v>36.66338162</v>
      </c>
      <c r="F907" s="10" t="n">
        <v>0.1154816458214247</v>
      </c>
      <c r="G907" s="10" t="n">
        <v>0.1739662440276158</v>
      </c>
      <c r="H907" s="10" t="n">
        <v>0.9002732899227045</v>
      </c>
      <c r="I907" s="10" t="n">
        <v>1.135748</v>
      </c>
      <c r="J907" s="5" t="inlineStr">
        <is>
          <t>Cleaner sand</t>
        </is>
      </c>
      <c r="K907" s="11" t="n">
        <v>19.28685874804732</v>
      </c>
      <c r="L907" s="12" t="n">
        <v>1.426651771963117</v>
      </c>
      <c r="M907" s="12" t="n">
        <v>7.305549676052366</v>
      </c>
      <c r="N907" s="12" t="n">
        <v>17.89690247893831</v>
      </c>
      <c r="O907" s="12" t="n">
        <v>215.8641858034155</v>
      </c>
      <c r="P907" s="5" t="inlineStr">
        <is>
          <t>Caution</t>
        </is>
      </c>
      <c r="Q907" s="5" t="inlineStr">
        <is>
          <t>Drop</t>
        </is>
      </c>
      <c r="R907" s="12" t="n">
        <v>0.8</v>
      </c>
      <c r="S907" s="5" t="inlineStr">
        <is>
          <t>ACCEPTED</t>
        </is>
      </c>
      <c r="T907" s="5" t="inlineStr">
        <is>
          <t>DLS exceeds normal range</t>
        </is>
      </c>
    </row>
    <row r="908" s="17">
      <c r="A908" s="7" t="n">
        <v>7865</v>
      </c>
      <c r="B908" s="8" t="n">
        <v>70705.54532799999</v>
      </c>
      <c r="C908" s="9" t="n">
        <v>70.705545328</v>
      </c>
      <c r="D908" s="9" t="n">
        <v>148.18205446</v>
      </c>
      <c r="E908" s="9" t="n">
        <v>32.50794306</v>
      </c>
      <c r="F908" s="10" t="n">
        <v>0.06220594311514045</v>
      </c>
      <c r="G908" s="10" t="n">
        <v>0.2352483479893623</v>
      </c>
      <c r="H908" s="10" t="n">
        <v>0.8845840237433474</v>
      </c>
      <c r="I908" s="10" t="n">
        <v>0.749326</v>
      </c>
      <c r="J908" s="5" t="inlineStr">
        <is>
          <t>Cleaner sand</t>
        </is>
      </c>
      <c r="K908" s="11" t="n">
        <v>20.16017786744746</v>
      </c>
      <c r="L908" s="12" t="n">
        <v>2.088450698549237</v>
      </c>
      <c r="M908" s="12" t="n">
        <v>7.375089988875311</v>
      </c>
      <c r="N908" s="12" t="n">
        <v>17.90158750668198</v>
      </c>
      <c r="O908" s="12" t="n">
        <v>221.4901689552499</v>
      </c>
      <c r="P908" s="5" t="inlineStr">
        <is>
          <t>Caution</t>
        </is>
      </c>
      <c r="Q908" s="5" t="inlineStr">
        <is>
          <t>Turn Left</t>
        </is>
      </c>
      <c r="R908" s="12" t="n">
        <v>0.45</v>
      </c>
      <c r="S908" s="5" t="inlineStr">
        <is>
          <t>REJECTED</t>
        </is>
      </c>
      <c r="T908" s="5" t="inlineStr">
        <is>
          <t>DLS exceeds normal range</t>
        </is>
      </c>
    </row>
    <row r="909" s="17">
      <c r="A909" s="7" t="n">
        <v>7870</v>
      </c>
      <c r="B909" s="8" t="n">
        <v>38504.789783</v>
      </c>
      <c r="C909" s="9" t="n">
        <v>38.504789783</v>
      </c>
      <c r="D909" s="9" t="n">
        <v>127.70393866</v>
      </c>
      <c r="E909" s="9" t="n">
        <v>64.25970016000001</v>
      </c>
      <c r="F909" s="10" t="n">
        <v>0.0409555768225762</v>
      </c>
      <c r="G909" s="10" t="n">
        <v>0.1148760813136544</v>
      </c>
      <c r="H909" s="10" t="n">
        <v>0.9558326849061192</v>
      </c>
      <c r="I909" s="10" t="n">
        <v>0.218996</v>
      </c>
      <c r="J909" s="5" t="inlineStr">
        <is>
          <t>Cleaner sand</t>
        </is>
      </c>
      <c r="K909" s="11" t="n">
        <v>16.34387222660538</v>
      </c>
      <c r="L909" s="12" t="n">
        <v>1.788655051210943</v>
      </c>
      <c r="M909" s="12" t="n">
        <v>7.028883333412629</v>
      </c>
      <c r="N909" s="12" t="n">
        <v>17.30619903509925</v>
      </c>
      <c r="O909" s="12" t="n">
        <v>230.4050048781322</v>
      </c>
      <c r="P909" s="5" t="inlineStr">
        <is>
          <t>Caution</t>
        </is>
      </c>
      <c r="Q909" s="5" t="inlineStr">
        <is>
          <t>Drop</t>
        </is>
      </c>
      <c r="R909" s="12" t="n">
        <v>0.62</v>
      </c>
      <c r="S909" s="5" t="inlineStr">
        <is>
          <t>REDUCED</t>
        </is>
      </c>
      <c r="T909" s="5" t="inlineStr">
        <is>
          <t>DLS exceeds normal range</t>
        </is>
      </c>
    </row>
    <row r="910" s="17">
      <c r="A910" s="7" t="n">
        <v>7875</v>
      </c>
      <c r="B910" s="8" t="n">
        <v>46917.60592</v>
      </c>
      <c r="C910" s="9" t="n">
        <v>46.91760592</v>
      </c>
      <c r="D910" s="9" t="n">
        <v>132.22778233</v>
      </c>
      <c r="E910" s="9" t="n">
        <v>52.85789782000001</v>
      </c>
      <c r="F910" s="10" t="n">
        <v>0.03934312621605241</v>
      </c>
      <c r="G910" s="10" t="n">
        <v>0.02093619267857813</v>
      </c>
      <c r="H910" s="10" t="n">
        <v>0.9544475866207555</v>
      </c>
      <c r="I910" s="10" t="n">
        <v>0.206235</v>
      </c>
      <c r="J910" s="5" t="inlineStr">
        <is>
          <t>Cleaner sand</t>
        </is>
      </c>
      <c r="K910" s="11" t="n">
        <v>17.79040167260455</v>
      </c>
      <c r="L910" s="12" t="n">
        <v>1.754859056570097</v>
      </c>
      <c r="M910" s="12" t="n">
        <v>7.627586166591544</v>
      </c>
      <c r="N910" s="12" t="n">
        <v>15.72385182529986</v>
      </c>
      <c r="O910" s="12" t="n">
        <v>232.6048533828634</v>
      </c>
      <c r="P910" s="5" t="inlineStr">
        <is>
          <t>Caution</t>
        </is>
      </c>
      <c r="Q910" s="5" t="inlineStr">
        <is>
          <t>Drop</t>
        </is>
      </c>
      <c r="R910" s="12" t="n">
        <v>0.68</v>
      </c>
      <c r="S910" s="5" t="inlineStr">
        <is>
          <t>REDUCED</t>
        </is>
      </c>
      <c r="T910" s="5" t="inlineStr">
        <is>
          <t>DLS exceeds normal range</t>
        </is>
      </c>
    </row>
    <row r="911" s="17">
      <c r="A911" s="7" t="n">
        <v>7880</v>
      </c>
      <c r="B911" s="8" t="n">
        <v>56697.582073</v>
      </c>
      <c r="C911" s="9" t="n">
        <v>56.697582073</v>
      </c>
      <c r="D911" s="9" t="n">
        <v>153.75303275</v>
      </c>
      <c r="E911" s="9" t="n">
        <v>30</v>
      </c>
      <c r="F911" s="10" t="n">
        <v>0.06735953697689391</v>
      </c>
      <c r="G911" s="10" t="n">
        <v>0.3752914518327573</v>
      </c>
      <c r="H911" s="10" t="n">
        <v>0.9223733615205123</v>
      </c>
      <c r="I911" s="10" t="n">
        <v>0.51301</v>
      </c>
      <c r="J911" s="5" t="inlineStr">
        <is>
          <t>Transition</t>
        </is>
      </c>
      <c r="K911" s="11" t="n">
        <v>21.10692134005523</v>
      </c>
      <c r="L911" s="12" t="n">
        <v>2.076940001462306</v>
      </c>
      <c r="M911" s="12" t="n">
        <v>5.751002032950779</v>
      </c>
      <c r="N911" s="12" t="n">
        <v>17.04470210243097</v>
      </c>
      <c r="O911" s="12" t="n">
        <v>232.039980929534</v>
      </c>
      <c r="P911" s="5" t="inlineStr">
        <is>
          <t>Normal</t>
        </is>
      </c>
      <c r="Q911" s="5" t="inlineStr">
        <is>
          <t>Drop</t>
        </is>
      </c>
      <c r="R911" s="12" t="n">
        <v>0.86</v>
      </c>
      <c r="S911" s="5" t="inlineStr">
        <is>
          <t>ACCEPTED</t>
        </is>
      </c>
      <c r="T911" s="5" t="inlineStr">
        <is>
          <t>Normal operation</t>
        </is>
      </c>
    </row>
    <row r="912" s="17">
      <c r="A912" s="7" t="n">
        <v>7885</v>
      </c>
      <c r="B912" s="8" t="n">
        <v>36056.205806</v>
      </c>
      <c r="C912" s="9" t="n">
        <v>36.056205806</v>
      </c>
      <c r="D912" s="9" t="n">
        <v>125.07704553</v>
      </c>
      <c r="E912" s="9" t="n">
        <v>71.15780665999999</v>
      </c>
      <c r="F912" s="10" t="n">
        <v>0.04181458208142134</v>
      </c>
      <c r="G912" s="10" t="n">
        <v>0.2090597467841718</v>
      </c>
      <c r="H912" s="10" t="n">
        <v>0.9323833841702035</v>
      </c>
      <c r="I912" s="10" t="n">
        <v>0.319542</v>
      </c>
      <c r="J912" s="5" t="inlineStr">
        <is>
          <t>Cleaner sand</t>
        </is>
      </c>
      <c r="K912" s="11" t="n">
        <v>14.83949287692815</v>
      </c>
      <c r="L912" s="12" t="n">
        <v>1.592687823684296</v>
      </c>
      <c r="M912" s="12" t="n">
        <v>8.039612008105447</v>
      </c>
      <c r="N912" s="12" t="n">
        <v>18.12851930974094</v>
      </c>
      <c r="O912" s="12" t="n">
        <v>244.7360745990034</v>
      </c>
      <c r="P912" s="5" t="inlineStr">
        <is>
          <t>Caution</t>
        </is>
      </c>
      <c r="Q912" s="5" t="inlineStr">
        <is>
          <t>Drop</t>
        </is>
      </c>
      <c r="R912" s="12" t="n">
        <v>0.8</v>
      </c>
      <c r="S912" s="5" t="inlineStr">
        <is>
          <t>ACCEPTED</t>
        </is>
      </c>
      <c r="T912" s="5" t="inlineStr">
        <is>
          <t>DLS exceeds normal range</t>
        </is>
      </c>
    </row>
    <row r="913" s="17">
      <c r="A913" s="7" t="n">
        <v>7890</v>
      </c>
      <c r="B913" s="8" t="n">
        <v>45374.447995</v>
      </c>
      <c r="C913" s="9" t="n">
        <v>45.374447995</v>
      </c>
      <c r="D913" s="9" t="n">
        <v>157.72188428</v>
      </c>
      <c r="E913" s="9" t="n">
        <v>51.74062404</v>
      </c>
      <c r="F913" s="10" t="n">
        <v>0.1203629977060313</v>
      </c>
      <c r="G913" s="10" t="n">
        <v>0.2275086007067738</v>
      </c>
      <c r="H913" s="10" t="n">
        <v>0.9056826840051362</v>
      </c>
      <c r="I913" s="10" t="n">
        <v>1.135769</v>
      </c>
      <c r="J913" s="5" t="inlineStr">
        <is>
          <t>Cleaner sand</t>
        </is>
      </c>
      <c r="K913" s="11" t="n">
        <v>17.08024770296886</v>
      </c>
      <c r="L913" s="12" t="n">
        <v>1.851327776465156</v>
      </c>
      <c r="M913" s="12" t="n">
        <v>7.936575282395675</v>
      </c>
      <c r="N913" s="12" t="n">
        <v>15.68805004387396</v>
      </c>
      <c r="O913" s="12" t="n">
        <v>221.0147003123081</v>
      </c>
      <c r="P913" s="5" t="inlineStr">
        <is>
          <t>Caution</t>
        </is>
      </c>
      <c r="Q913" s="5" t="inlineStr">
        <is>
          <t>Drop</t>
        </is>
      </c>
      <c r="R913" s="12" t="n">
        <v>0.6</v>
      </c>
      <c r="S913" s="5" t="inlineStr">
        <is>
          <t>REDUCED</t>
        </is>
      </c>
      <c r="T913" s="5" t="inlineStr">
        <is>
          <t>DLS exceeds normal range</t>
        </is>
      </c>
    </row>
    <row r="914" s="17">
      <c r="A914" s="7" t="n">
        <v>7895</v>
      </c>
      <c r="B914" s="8" t="n">
        <v>64868.74829</v>
      </c>
      <c r="C914" s="9" t="n">
        <v>64.86874829</v>
      </c>
      <c r="D914" s="9" t="n">
        <v>99.89855788</v>
      </c>
      <c r="E914" s="9" t="n">
        <v>49.99504084</v>
      </c>
      <c r="F914" s="10" t="n">
        <v>0.05319548181697058</v>
      </c>
      <c r="G914" s="10" t="n">
        <v>0.2581630488594263</v>
      </c>
      <c r="H914" s="10" t="n">
        <v>0.9307582039623383</v>
      </c>
      <c r="I914" s="10" t="n">
        <v>0.379819</v>
      </c>
      <c r="J914" s="5" t="inlineStr">
        <is>
          <t>Transition</t>
        </is>
      </c>
      <c r="K914" s="11" t="n">
        <v>20.69590448491466</v>
      </c>
      <c r="L914" s="12" t="n">
        <v>1.609421341063077</v>
      </c>
      <c r="M914" s="12" t="n">
        <v>7.31838651541402</v>
      </c>
      <c r="N914" s="12" t="n">
        <v>19.08026231734275</v>
      </c>
      <c r="O914" s="12" t="n">
        <v>244.7589015116729</v>
      </c>
      <c r="P914" s="5" t="inlineStr">
        <is>
          <t>Caution</t>
        </is>
      </c>
      <c r="Q914" s="5" t="inlineStr">
        <is>
          <t>Drop</t>
        </is>
      </c>
      <c r="R914" s="12" t="n">
        <v>0.76</v>
      </c>
      <c r="S914" s="5" t="inlineStr">
        <is>
          <t>ACCEPTED</t>
        </is>
      </c>
      <c r="T914" s="5" t="inlineStr">
        <is>
          <t>DLS exceeds normal range</t>
        </is>
      </c>
    </row>
    <row r="915" s="17">
      <c r="A915" s="7" t="n">
        <v>7900</v>
      </c>
      <c r="B915" s="8" t="n">
        <v>56267.405191</v>
      </c>
      <c r="C915" s="9" t="n">
        <v>56.26740519099999</v>
      </c>
      <c r="D915" s="9" t="n">
        <v>149.96560651</v>
      </c>
      <c r="E915" s="9" t="n">
        <v>48.88247386</v>
      </c>
      <c r="F915" s="10" t="n">
        <v>0.04215070838633989</v>
      </c>
      <c r="G915" s="10" t="n">
        <v>0.2778515645148685</v>
      </c>
      <c r="H915" s="10" t="n">
        <v>0.9072022866700405</v>
      </c>
      <c r="I915" s="10" t="n">
        <v>0.423484</v>
      </c>
      <c r="J915" s="5" t="inlineStr">
        <is>
          <t>Transition</t>
        </is>
      </c>
      <c r="K915" s="11" t="n">
        <v>20.44200106451297</v>
      </c>
      <c r="L915" s="12" t="n">
        <v>1.790027551205818</v>
      </c>
      <c r="M915" s="12" t="n">
        <v>8.166984652364489</v>
      </c>
      <c r="N915" s="12" t="n">
        <v>15.55889431869097</v>
      </c>
      <c r="O915" s="12" t="n">
        <v>249.5618371848617</v>
      </c>
      <c r="P915" s="5" t="inlineStr">
        <is>
          <t>Caution</t>
        </is>
      </c>
      <c r="Q915" s="5" t="inlineStr">
        <is>
          <t>Drop</t>
        </is>
      </c>
      <c r="R915" s="12" t="n">
        <v>0.72</v>
      </c>
      <c r="S915" s="5" t="inlineStr">
        <is>
          <t>ACCEPTED</t>
        </is>
      </c>
      <c r="T915" s="5" t="inlineStr">
        <is>
          <t>DLS exceeds normal range</t>
        </is>
      </c>
    </row>
    <row r="916" s="17">
      <c r="A916" s="7" t="n">
        <v>7905</v>
      </c>
      <c r="B916" s="8" t="n">
        <v>40018.159847</v>
      </c>
      <c r="C916" s="9" t="n">
        <v>40.018159847</v>
      </c>
      <c r="D916" s="9" t="n">
        <v>152.50989079</v>
      </c>
      <c r="E916" s="9" t="n">
        <v>37.72856572</v>
      </c>
      <c r="F916" s="10" t="n">
        <v>0.09233256648952093</v>
      </c>
      <c r="G916" s="10" t="n">
        <v>0.2646824779856867</v>
      </c>
      <c r="H916" s="10" t="n">
        <v>0.8785605045057305</v>
      </c>
      <c r="I916" s="10" t="n">
        <v>1.16931</v>
      </c>
      <c r="J916" s="5" t="inlineStr">
        <is>
          <t>Transition</t>
        </is>
      </c>
      <c r="K916" s="11" t="n">
        <v>15.78066461249221</v>
      </c>
      <c r="L916" s="12" t="n">
        <v>1.374448257770325</v>
      </c>
      <c r="M916" s="12" t="n">
        <v>5.427654867262262</v>
      </c>
      <c r="N916" s="12" t="n">
        <v>16.17361700661554</v>
      </c>
      <c r="O916" s="12" t="n">
        <v>234.548302325346</v>
      </c>
      <c r="P916" s="5" t="inlineStr">
        <is>
          <t>Normal</t>
        </is>
      </c>
      <c r="Q916" s="5" t="inlineStr">
        <is>
          <t>Drop</t>
        </is>
      </c>
      <c r="R916" s="12" t="n">
        <v>0.47</v>
      </c>
      <c r="S916" s="5" t="inlineStr">
        <is>
          <t>REJECTED</t>
        </is>
      </c>
      <c r="T916" s="5" t="inlineStr">
        <is>
          <t>Normal operation</t>
        </is>
      </c>
    </row>
    <row r="917" s="17">
      <c r="A917" s="7" t="n">
        <v>7910</v>
      </c>
      <c r="B917" s="8" t="n">
        <v>66411.498503</v>
      </c>
      <c r="C917" s="9" t="n">
        <v>66.41149850299999</v>
      </c>
      <c r="D917" s="9" t="n">
        <v>169.34997294</v>
      </c>
      <c r="E917" s="9" t="n">
        <v>30</v>
      </c>
      <c r="F917" s="10" t="n">
        <v>0.07164081380532193</v>
      </c>
      <c r="G917" s="10" t="n">
        <v>0.19025700159192</v>
      </c>
      <c r="H917" s="10" t="n">
        <v>0.9115301845596813</v>
      </c>
      <c r="I917" s="10" t="n">
        <v>0.675836</v>
      </c>
      <c r="J917" s="5" t="inlineStr">
        <is>
          <t>Cleaner sand</t>
        </is>
      </c>
      <c r="K917" s="11" t="n">
        <v>21.00928745607844</v>
      </c>
      <c r="L917" s="12" t="n">
        <v>1.1</v>
      </c>
      <c r="M917" s="12" t="n">
        <v>6.344553374496792</v>
      </c>
      <c r="N917" s="12" t="n">
        <v>15.1465299708665</v>
      </c>
      <c r="O917" s="12" t="n">
        <v>235.6160193722642</v>
      </c>
      <c r="P917" s="5" t="inlineStr">
        <is>
          <t>Caution</t>
        </is>
      </c>
      <c r="Q917" s="5" t="inlineStr">
        <is>
          <t>Drop</t>
        </is>
      </c>
      <c r="R917" s="12" t="n">
        <v>0.53</v>
      </c>
      <c r="S917" s="5" t="inlineStr">
        <is>
          <t>REDUCED</t>
        </is>
      </c>
      <c r="T917" s="5" t="inlineStr">
        <is>
          <t>DLS exceeds normal range</t>
        </is>
      </c>
    </row>
    <row r="918" s="17">
      <c r="A918" s="7" t="n">
        <v>7915</v>
      </c>
      <c r="B918" s="8" t="n">
        <v>41428.712403</v>
      </c>
      <c r="C918" s="9" t="n">
        <v>41.428712403</v>
      </c>
      <c r="D918" s="9" t="n">
        <v>129.5642121</v>
      </c>
      <c r="E918" s="9" t="n">
        <v>46.24297504</v>
      </c>
      <c r="F918" s="10" t="n">
        <v>0.05160288871623997</v>
      </c>
      <c r="G918" s="10" t="n">
        <v>0.03437925664329804</v>
      </c>
      <c r="H918" s="10" t="n">
        <v>0.9931164169275382</v>
      </c>
      <c r="I918" s="10" t="n">
        <v>0.071746</v>
      </c>
      <c r="J918" s="5" t="inlineStr">
        <is>
          <t>Cleaner sand</t>
        </is>
      </c>
      <c r="K918" s="11" t="n">
        <v>16.74328777554962</v>
      </c>
      <c r="L918" s="12" t="n">
        <v>1.594203210528711</v>
      </c>
      <c r="M918" s="12" t="n">
        <v>6.186777365409749</v>
      </c>
      <c r="N918" s="12" t="n">
        <v>16.20028668877246</v>
      </c>
      <c r="O918" s="12" t="n">
        <v>246.928502787579</v>
      </c>
      <c r="P918" s="5" t="inlineStr">
        <is>
          <t>Caution</t>
        </is>
      </c>
      <c r="Q918" s="5" t="inlineStr">
        <is>
          <t>Drop</t>
        </is>
      </c>
      <c r="R918" s="12" t="n">
        <v>0.59</v>
      </c>
      <c r="S918" s="5" t="inlineStr">
        <is>
          <t>REDUCED</t>
        </is>
      </c>
      <c r="T918" s="5" t="inlineStr">
        <is>
          <t>DLS exceeds normal range</t>
        </is>
      </c>
    </row>
    <row r="919" s="17">
      <c r="A919" s="7" t="n">
        <v>7920</v>
      </c>
      <c r="B919" s="8" t="n">
        <v>51133.784949</v>
      </c>
      <c r="C919" s="9" t="n">
        <v>51.133784949</v>
      </c>
      <c r="D919" s="9" t="n">
        <v>121.61648943</v>
      </c>
      <c r="E919" s="9" t="n">
        <v>40.06552472</v>
      </c>
      <c r="F919" s="10" t="n">
        <v>0.09656900353954297</v>
      </c>
      <c r="G919" s="10" t="n">
        <v>0.2057844582173982</v>
      </c>
      <c r="H919" s="10" t="n">
        <v>0.8810326542406085</v>
      </c>
      <c r="I919" s="10" t="n">
        <v>1.167199</v>
      </c>
      <c r="J919" s="5" t="inlineStr">
        <is>
          <t>Cleaner sand</t>
        </is>
      </c>
      <c r="K919" s="11" t="n">
        <v>18.10697312101421</v>
      </c>
      <c r="L919" s="12" t="n">
        <v>2.35714658668897</v>
      </c>
      <c r="M919" s="12" t="n">
        <v>7.362860918686644</v>
      </c>
      <c r="N919" s="12" t="n">
        <v>13.53441975805165</v>
      </c>
      <c r="O919" s="12" t="n">
        <v>251.5470509992709</v>
      </c>
      <c r="P919" s="5" t="inlineStr">
        <is>
          <t>Caution</t>
        </is>
      </c>
      <c r="Q919" s="5" t="inlineStr">
        <is>
          <t>Drop</t>
        </is>
      </c>
      <c r="R919" s="12" t="n">
        <v>0.51</v>
      </c>
      <c r="S919" s="5" t="inlineStr">
        <is>
          <t>REDUCED</t>
        </is>
      </c>
      <c r="T919" s="5" t="inlineStr">
        <is>
          <t>DLS exceeds normal range</t>
        </is>
      </c>
    </row>
    <row r="920" s="17">
      <c r="A920" s="7" t="n">
        <v>7925</v>
      </c>
      <c r="B920" s="8" t="n">
        <v>71279.323311</v>
      </c>
      <c r="C920" s="9" t="n">
        <v>71.279323311</v>
      </c>
      <c r="D920" s="9" t="n">
        <v>146.53564881</v>
      </c>
      <c r="E920" s="9" t="n">
        <v>30</v>
      </c>
      <c r="F920" s="10" t="n">
        <v>0.06033006493862998</v>
      </c>
      <c r="G920" s="10" t="n">
        <v>0.3590728826732675</v>
      </c>
      <c r="H920" s="10" t="n">
        <v>0.8677313669942145</v>
      </c>
      <c r="I920" s="10" t="n">
        <v>0.820558</v>
      </c>
      <c r="J920" s="5" t="inlineStr">
        <is>
          <t>Transition</t>
        </is>
      </c>
      <c r="K920" s="11" t="n">
        <v>21.17913057400036</v>
      </c>
      <c r="L920" s="12" t="n">
        <v>2.11384554709838</v>
      </c>
      <c r="M920" s="12" t="n">
        <v>5.955970560611577</v>
      </c>
      <c r="N920" s="12" t="n">
        <v>14.97872697641715</v>
      </c>
      <c r="O920" s="12" t="n">
        <v>269.4913960979804</v>
      </c>
      <c r="P920" s="5" t="inlineStr">
        <is>
          <t>Normal</t>
        </is>
      </c>
      <c r="Q920" s="5" t="inlineStr">
        <is>
          <t>Drop</t>
        </is>
      </c>
      <c r="R920" s="12" t="n">
        <v>0.48</v>
      </c>
      <c r="S920" s="5" t="inlineStr">
        <is>
          <t>REJECTED</t>
        </is>
      </c>
      <c r="T920" s="5" t="inlineStr">
        <is>
          <t>WOB outside preferred band</t>
        </is>
      </c>
    </row>
    <row r="921" s="17">
      <c r="A921" s="7" t="n">
        <v>7930</v>
      </c>
      <c r="B921" s="8" t="n">
        <v>32241.040896</v>
      </c>
      <c r="C921" s="9" t="n">
        <v>32.241040896</v>
      </c>
      <c r="D921" s="9" t="n">
        <v>119.25188196</v>
      </c>
      <c r="E921" s="9" t="n">
        <v>54.027217</v>
      </c>
      <c r="F921" s="10" t="n">
        <v>0.03871435690339377</v>
      </c>
      <c r="G921" s="10" t="n">
        <v>0.1762682521243423</v>
      </c>
      <c r="H921" s="10" t="n">
        <v>0.9300076032179528</v>
      </c>
      <c r="I921" s="10" t="n">
        <v>0.264706</v>
      </c>
      <c r="J921" s="5" t="inlineStr">
        <is>
          <t>Cleaner sand</t>
        </is>
      </c>
      <c r="K921" s="11" t="n">
        <v>14.63966976756894</v>
      </c>
      <c r="L921" s="12" t="n">
        <v>2.133044767449674</v>
      </c>
      <c r="M921" s="12" t="n">
        <v>7.412232639598865</v>
      </c>
      <c r="N921" s="12" t="n">
        <v>14.15809711082714</v>
      </c>
      <c r="O921" s="12" t="n">
        <v>259.6155365736488</v>
      </c>
      <c r="P921" s="5" t="inlineStr">
        <is>
          <t>Caution</t>
        </is>
      </c>
      <c r="Q921" s="5" t="inlineStr">
        <is>
          <t>Drop</t>
        </is>
      </c>
      <c r="R921" s="12" t="n">
        <v>0.43</v>
      </c>
      <c r="S921" s="5" t="inlineStr">
        <is>
          <t>REJECTED</t>
        </is>
      </c>
      <c r="T921" s="5" t="inlineStr">
        <is>
          <t>DLS exceeds normal range</t>
        </is>
      </c>
    </row>
    <row r="922" s="17">
      <c r="A922" s="7" t="n">
        <v>7935</v>
      </c>
      <c r="B922" s="8" t="n">
        <v>61102.141962</v>
      </c>
      <c r="C922" s="9" t="n">
        <v>61.102141962</v>
      </c>
      <c r="D922" s="9" t="n">
        <v>119.75753418</v>
      </c>
      <c r="E922" s="9" t="n">
        <v>34.8704426</v>
      </c>
      <c r="F922" s="10" t="n">
        <v>0.1140411998466361</v>
      </c>
      <c r="G922" s="10" t="n">
        <v>0.1988152283780344</v>
      </c>
      <c r="H922" s="10" t="n">
        <v>0.9103817340364682</v>
      </c>
      <c r="I922" s="10" t="n">
        <v>1.006241</v>
      </c>
      <c r="J922" s="5" t="inlineStr">
        <is>
          <t>Cleaner sand</t>
        </is>
      </c>
      <c r="K922" s="11" t="n">
        <v>20.82739218725547</v>
      </c>
      <c r="L922" s="12" t="n">
        <v>2.265704053685047</v>
      </c>
      <c r="M922" s="12" t="n">
        <v>7.91256580349286</v>
      </c>
      <c r="N922" s="12" t="n">
        <v>15.64306787994165</v>
      </c>
      <c r="O922" s="12" t="n">
        <v>260.998914784207</v>
      </c>
      <c r="P922" s="5" t="inlineStr">
        <is>
          <t>Caution</t>
        </is>
      </c>
      <c r="Q922" s="5" t="inlineStr">
        <is>
          <t>Drop</t>
        </is>
      </c>
      <c r="R922" s="12" t="n">
        <v>0.88</v>
      </c>
      <c r="S922" s="5" t="inlineStr">
        <is>
          <t>ACCEPTED</t>
        </is>
      </c>
      <c r="T922" s="5" t="inlineStr">
        <is>
          <t>DLS exceeds normal range</t>
        </is>
      </c>
    </row>
    <row r="923" s="17">
      <c r="A923" s="7" t="n">
        <v>7940</v>
      </c>
      <c r="B923" s="8" t="n">
        <v>49148.6661</v>
      </c>
      <c r="C923" s="9" t="n">
        <v>49.1486661</v>
      </c>
      <c r="D923" s="9" t="n">
        <v>128.38129025</v>
      </c>
      <c r="E923" s="9" t="n">
        <v>67.81397949999999</v>
      </c>
      <c r="F923" s="10" t="n">
        <v>0.0330853962531562</v>
      </c>
      <c r="G923" s="10" t="n">
        <v>0.1031591575148525</v>
      </c>
      <c r="H923" s="10" t="n">
        <v>0.9336425202354699</v>
      </c>
      <c r="I923" s="10" t="n">
        <v>0.24599</v>
      </c>
      <c r="J923" s="5" t="inlineStr">
        <is>
          <t>Cleaner sand</t>
        </is>
      </c>
      <c r="K923" s="11" t="n">
        <v>16.52874241011164</v>
      </c>
      <c r="L923" s="12" t="n">
        <v>1.703442219571104</v>
      </c>
      <c r="M923" s="12" t="n">
        <v>7.381945918785128</v>
      </c>
      <c r="N923" s="12" t="n">
        <v>16.64918297224462</v>
      </c>
      <c r="O923" s="12" t="n">
        <v>267.2340631028422</v>
      </c>
      <c r="P923" s="5" t="inlineStr">
        <is>
          <t>Caution</t>
        </is>
      </c>
      <c r="Q923" s="5" t="inlineStr">
        <is>
          <t>Drop</t>
        </is>
      </c>
      <c r="R923" s="12" t="n">
        <v>0.5600000000000001</v>
      </c>
      <c r="S923" s="5" t="inlineStr">
        <is>
          <t>REDUCED</t>
        </is>
      </c>
      <c r="T923" s="5" t="inlineStr">
        <is>
          <t>DLS exceeds normal range</t>
        </is>
      </c>
    </row>
    <row r="924" s="17">
      <c r="A924" s="7" t="n">
        <v>7945</v>
      </c>
      <c r="B924" s="8" t="n">
        <v>48605.878792</v>
      </c>
      <c r="C924" s="9" t="n">
        <v>48.60587879200001</v>
      </c>
      <c r="D924" s="9" t="n">
        <v>128.89110194</v>
      </c>
      <c r="E924" s="9" t="n">
        <v>77.29653083999999</v>
      </c>
      <c r="F924" s="10" t="n">
        <v>0.07164018118676413</v>
      </c>
      <c r="G924" s="10" t="n">
        <v>0.2572778065854115</v>
      </c>
      <c r="H924" s="10" t="n">
        <v>0.9449867350934926</v>
      </c>
      <c r="I924" s="10" t="n">
        <v>0.400438</v>
      </c>
      <c r="J924" s="5" t="inlineStr">
        <is>
          <t>Transition</t>
        </is>
      </c>
      <c r="K924" s="11" t="n">
        <v>17.58839705891137</v>
      </c>
      <c r="L924" s="12" t="n">
        <v>1.756684696628742</v>
      </c>
      <c r="M924" s="12" t="n">
        <v>7.062176829110764</v>
      </c>
      <c r="N924" s="12" t="n">
        <v>16.08548278373335</v>
      </c>
      <c r="O924" s="12" t="n">
        <v>288.3000613964516</v>
      </c>
      <c r="P924" s="5" t="inlineStr">
        <is>
          <t>Caution</t>
        </is>
      </c>
      <c r="Q924" s="5" t="inlineStr">
        <is>
          <t>Drop</t>
        </is>
      </c>
      <c r="R924" s="12" t="n">
        <v>0.5600000000000001</v>
      </c>
      <c r="S924" s="5" t="inlineStr">
        <is>
          <t>REDUCED</t>
        </is>
      </c>
      <c r="T924" s="5" t="inlineStr">
        <is>
          <t>DLS exceeds normal range</t>
        </is>
      </c>
    </row>
    <row r="925" s="17">
      <c r="A925" s="7" t="n">
        <v>7950</v>
      </c>
      <c r="B925" s="8" t="n">
        <v>56481.959711</v>
      </c>
      <c r="C925" s="9" t="n">
        <v>56.481959711</v>
      </c>
      <c r="D925" s="9" t="n">
        <v>117.48487217</v>
      </c>
      <c r="E925" s="9" t="n">
        <v>41.69032684</v>
      </c>
      <c r="F925" s="10" t="n">
        <v>0.1145110862442466</v>
      </c>
      <c r="G925" s="10" t="n">
        <v>0.1450024005493262</v>
      </c>
      <c r="H925" s="10" t="n">
        <v>0.9193731612079499</v>
      </c>
      <c r="I925" s="10" t="n">
        <v>0.957228</v>
      </c>
      <c r="J925" s="5" t="inlineStr">
        <is>
          <t>Cleaner sand</t>
        </is>
      </c>
      <c r="K925" s="11" t="n">
        <v>18.2038881861915</v>
      </c>
      <c r="L925" s="12" t="n">
        <v>1.357350571237168</v>
      </c>
      <c r="M925" s="12" t="n">
        <v>6.054014825654358</v>
      </c>
      <c r="N925" s="12" t="n">
        <v>12.05179092776925</v>
      </c>
      <c r="O925" s="12" t="n">
        <v>280.9717314441508</v>
      </c>
      <c r="P925" s="5" t="inlineStr">
        <is>
          <t>Caution</t>
        </is>
      </c>
      <c r="Q925" s="5" t="inlineStr">
        <is>
          <t>Hold</t>
        </is>
      </c>
      <c r="R925" s="12" t="n">
        <v>0.51</v>
      </c>
      <c r="S925" s="5" t="inlineStr">
        <is>
          <t>REDUCED</t>
        </is>
      </c>
      <c r="T925" s="5" t="inlineStr">
        <is>
          <t>DLS exceeds normal range</t>
        </is>
      </c>
    </row>
    <row r="926" s="17">
      <c r="A926" s="7" t="n">
        <v>7955</v>
      </c>
      <c r="B926" s="8" t="n">
        <v>68728.219927</v>
      </c>
      <c r="C926" s="9" t="n">
        <v>68.728219927</v>
      </c>
      <c r="D926" s="9" t="n">
        <v>114.15883975</v>
      </c>
      <c r="E926" s="9" t="n">
        <v>48.15808668</v>
      </c>
      <c r="F926" s="10" t="n">
        <v>0.09009535917643638</v>
      </c>
      <c r="G926" s="10" t="n">
        <v>0.2991325651325141</v>
      </c>
      <c r="H926" s="10" t="n">
        <v>0.9303141035453376</v>
      </c>
      <c r="I926" s="10" t="n">
        <v>0.626231</v>
      </c>
      <c r="J926" s="5" t="inlineStr">
        <is>
          <t>Transition</t>
        </is>
      </c>
      <c r="K926" s="11" t="n">
        <v>22.35140773265254</v>
      </c>
      <c r="L926" s="12" t="n">
        <v>1.505124300546746</v>
      </c>
      <c r="M926" s="12" t="n">
        <v>6.17571468303107</v>
      </c>
      <c r="N926" s="12" t="n">
        <v>17.67891200209344</v>
      </c>
      <c r="O926" s="12" t="n">
        <v>282.7295598008212</v>
      </c>
      <c r="P926" s="5" t="inlineStr">
        <is>
          <t>Caution</t>
        </is>
      </c>
      <c r="Q926" s="5" t="inlineStr">
        <is>
          <t>Drop</t>
        </is>
      </c>
      <c r="R926" s="12" t="n">
        <v>0.66</v>
      </c>
      <c r="S926" s="5" t="inlineStr">
        <is>
          <t>REDUCED</t>
        </is>
      </c>
      <c r="T926" s="5" t="inlineStr">
        <is>
          <t>DLS exceeds normal range</t>
        </is>
      </c>
    </row>
    <row r="927" s="17">
      <c r="A927" s="7" t="n">
        <v>7960</v>
      </c>
      <c r="B927" s="8" t="n">
        <v>39828.183567</v>
      </c>
      <c r="C927" s="9" t="n">
        <v>39.828183567</v>
      </c>
      <c r="D927" s="9" t="n">
        <v>134.61935464</v>
      </c>
      <c r="E927" s="9" t="n">
        <v>59.61104307999999</v>
      </c>
      <c r="F927" s="10" t="n">
        <v>0.0667995940022329</v>
      </c>
      <c r="G927" s="10" t="n">
        <v>0.1065928911992854</v>
      </c>
      <c r="H927" s="10" t="n">
        <v>0.9114771336157426</v>
      </c>
      <c r="I927" s="10" t="n">
        <v>0.6161180000000001</v>
      </c>
      <c r="J927" s="5" t="inlineStr">
        <is>
          <t>Cleaner sand</t>
        </is>
      </c>
      <c r="K927" s="11" t="n">
        <v>14.31783249360182</v>
      </c>
      <c r="L927" s="12" t="n">
        <v>1.961727863387859</v>
      </c>
      <c r="M927" s="12" t="n">
        <v>7.861516416706432</v>
      </c>
      <c r="N927" s="12" t="n">
        <v>15.29735873249571</v>
      </c>
      <c r="O927" s="12" t="n">
        <v>287.0451289644307</v>
      </c>
      <c r="P927" s="5" t="inlineStr">
        <is>
          <t>Caution</t>
        </is>
      </c>
      <c r="Q927" s="5" t="inlineStr">
        <is>
          <t>Drop</t>
        </is>
      </c>
      <c r="R927" s="12" t="n">
        <v>0.68</v>
      </c>
      <c r="S927" s="5" t="inlineStr">
        <is>
          <t>REDUCED</t>
        </is>
      </c>
      <c r="T927" s="5" t="inlineStr">
        <is>
          <t>DLS exceeds normal range</t>
        </is>
      </c>
    </row>
    <row r="928" s="17">
      <c r="A928" s="7" t="n">
        <v>7965</v>
      </c>
      <c r="B928" s="8" t="n">
        <v>43386.229301</v>
      </c>
      <c r="C928" s="9" t="n">
        <v>43.386229301</v>
      </c>
      <c r="D928" s="9" t="n">
        <v>118.33136188</v>
      </c>
      <c r="E928" s="9" t="n">
        <v>60.128837</v>
      </c>
      <c r="F928" s="10" t="n">
        <v>0.1572422269069384</v>
      </c>
      <c r="G928" s="10" t="n">
        <v>0.1482768015411088</v>
      </c>
      <c r="H928" s="10" t="n">
        <v>0.9157150051146482</v>
      </c>
      <c r="I928" s="10" t="n">
        <v>1.312369</v>
      </c>
      <c r="J928" s="5" t="inlineStr">
        <is>
          <t>Cleaner sand</t>
        </is>
      </c>
      <c r="K928" s="11" t="n">
        <v>15.93649911116259</v>
      </c>
      <c r="L928" s="12" t="n">
        <v>2.24990337421272</v>
      </c>
      <c r="M928" s="12" t="n">
        <v>7.493669637755055</v>
      </c>
      <c r="N928" s="12" t="n">
        <v>13.79331928344906</v>
      </c>
      <c r="O928" s="12" t="n">
        <v>304.6205418636276</v>
      </c>
      <c r="P928" s="5" t="inlineStr">
        <is>
          <t>Caution</t>
        </is>
      </c>
      <c r="Q928" s="5" t="inlineStr">
        <is>
          <t>Turn Left</t>
        </is>
      </c>
      <c r="R928" s="12" t="n">
        <v>0.51</v>
      </c>
      <c r="S928" s="5" t="inlineStr">
        <is>
          <t>REDUCED</t>
        </is>
      </c>
      <c r="T928" s="5" t="inlineStr">
        <is>
          <t>DLS exceeds normal range</t>
        </is>
      </c>
    </row>
    <row r="929" s="17">
      <c r="A929" s="7" t="n">
        <v>7970</v>
      </c>
      <c r="B929" s="8" t="n">
        <v>58023.28742</v>
      </c>
      <c r="C929" s="9" t="n">
        <v>58.02328742</v>
      </c>
      <c r="D929" s="9" t="n">
        <v>163.5538437</v>
      </c>
      <c r="E929" s="9" t="n">
        <v>34.97835132</v>
      </c>
      <c r="F929" s="10" t="n">
        <v>0.09819095468606959</v>
      </c>
      <c r="G929" s="10" t="n">
        <v>0.3102856856310963</v>
      </c>
      <c r="H929" s="10" t="n">
        <v>0.8806361370161161</v>
      </c>
      <c r="I929" s="10" t="n">
        <v>1.162712</v>
      </c>
      <c r="J929" s="5" t="inlineStr">
        <is>
          <t>Transition</t>
        </is>
      </c>
      <c r="K929" s="11" t="n">
        <v>19.56470437604941</v>
      </c>
      <c r="L929" s="12" t="n">
        <v>1.59167132491631</v>
      </c>
      <c r="M929" s="12" t="n">
        <v>6.847086710619434</v>
      </c>
      <c r="N929" s="12" t="n">
        <v>14.89630781717957</v>
      </c>
      <c r="O929" s="12" t="n">
        <v>287.684117523303</v>
      </c>
      <c r="P929" s="5" t="inlineStr">
        <is>
          <t>Caution</t>
        </is>
      </c>
      <c r="Q929" s="5" t="inlineStr">
        <is>
          <t>Drop</t>
        </is>
      </c>
      <c r="R929" s="12" t="n">
        <v>0.73</v>
      </c>
      <c r="S929" s="5" t="inlineStr">
        <is>
          <t>ACCEPTED</t>
        </is>
      </c>
      <c r="T929" s="5" t="inlineStr">
        <is>
          <t>DLS exceeds normal range</t>
        </is>
      </c>
    </row>
    <row r="930" s="17">
      <c r="A930" s="7" t="n">
        <v>7975</v>
      </c>
      <c r="B930" s="8" t="n">
        <v>34222.298867</v>
      </c>
      <c r="C930" s="9" t="n">
        <v>34.222298867</v>
      </c>
      <c r="D930" s="9" t="n">
        <v>148.42576935</v>
      </c>
      <c r="E930" s="9" t="n">
        <v>51.62251944</v>
      </c>
      <c r="F930" s="10" t="n">
        <v>0.03154928007987411</v>
      </c>
      <c r="G930" s="10" t="n">
        <v>0.2563303795926544</v>
      </c>
      <c r="H930" s="10" t="n">
        <v>0.9498487613561124</v>
      </c>
      <c r="I930" s="10" t="n">
        <v>0.163762</v>
      </c>
      <c r="J930" s="5" t="inlineStr">
        <is>
          <t>Transition</t>
        </is>
      </c>
      <c r="K930" s="11" t="n">
        <v>16.37549999327703</v>
      </c>
      <c r="L930" s="12" t="n">
        <v>1.439407260222808</v>
      </c>
      <c r="M930" s="12" t="n">
        <v>6.551828791132864</v>
      </c>
      <c r="N930" s="12" t="n">
        <v>14.81036164814623</v>
      </c>
      <c r="O930" s="12" t="n">
        <v>311.7176896040282</v>
      </c>
      <c r="P930" s="5" t="inlineStr">
        <is>
          <t>Caution</t>
        </is>
      </c>
      <c r="Q930" s="5" t="inlineStr">
        <is>
          <t>Drop</t>
        </is>
      </c>
      <c r="R930" s="12" t="n">
        <v>0.8</v>
      </c>
      <c r="S930" s="5" t="inlineStr">
        <is>
          <t>ACCEPTED</t>
        </is>
      </c>
      <c r="T930" s="5" t="inlineStr">
        <is>
          <t>DLS exceeds normal range</t>
        </is>
      </c>
    </row>
    <row r="931" s="17">
      <c r="A931" s="7" t="n">
        <v>7980</v>
      </c>
      <c r="B931" s="8" t="n">
        <v>58639.577751</v>
      </c>
      <c r="C931" s="9" t="n">
        <v>58.639577751</v>
      </c>
      <c r="D931" s="9" t="n">
        <v>141.87163305</v>
      </c>
      <c r="E931" s="9" t="n">
        <v>31.8872334</v>
      </c>
      <c r="F931" s="10" t="n">
        <v>0.114936273587581</v>
      </c>
      <c r="G931" s="10" t="n">
        <v>0.2108915712038816</v>
      </c>
      <c r="H931" s="10" t="n">
        <v>0.9330814889694239</v>
      </c>
      <c r="I931" s="10" t="n">
        <v>0.777574</v>
      </c>
      <c r="J931" s="5" t="inlineStr">
        <is>
          <t>Cleaner sand</t>
        </is>
      </c>
      <c r="K931" s="11" t="n">
        <v>19.23509136024371</v>
      </c>
      <c r="L931" s="12" t="n">
        <v>1.660258699839733</v>
      </c>
      <c r="M931" s="12" t="n">
        <v>5.273105918953669</v>
      </c>
      <c r="N931" s="12" t="n">
        <v>13.60368490325708</v>
      </c>
      <c r="O931" s="12" t="n">
        <v>303.9552143906298</v>
      </c>
      <c r="P931" s="5" t="inlineStr">
        <is>
          <t>Normal</t>
        </is>
      </c>
      <c r="Q931" s="5" t="inlineStr">
        <is>
          <t>Drop</t>
        </is>
      </c>
      <c r="R931" s="12" t="n">
        <v>0.61</v>
      </c>
      <c r="S931" s="5" t="inlineStr">
        <is>
          <t>REDUCED</t>
        </is>
      </c>
      <c r="T931" s="5" t="inlineStr">
        <is>
          <t>Normal operation</t>
        </is>
      </c>
    </row>
    <row r="932" s="17">
      <c r="A932" s="7" t="n">
        <v>7985</v>
      </c>
      <c r="B932" s="8" t="n">
        <v>73298.996468</v>
      </c>
      <c r="C932" s="9" t="n">
        <v>73.298996468</v>
      </c>
      <c r="D932" s="9" t="n">
        <v>119.18656667</v>
      </c>
      <c r="E932" s="9" t="n">
        <v>50.41234704</v>
      </c>
      <c r="F932" s="10" t="n">
        <v>0.07836617102923384</v>
      </c>
      <c r="G932" s="10" t="n">
        <v>0.3436993796381448</v>
      </c>
      <c r="H932" s="10" t="n">
        <v>0.8446073065306223</v>
      </c>
      <c r="I932" s="10" t="n">
        <v>1.265056</v>
      </c>
      <c r="J932" s="5" t="inlineStr">
        <is>
          <t>Transition</t>
        </is>
      </c>
      <c r="K932" s="11" t="n">
        <v>21.44182623473725</v>
      </c>
      <c r="L932" s="12" t="n">
        <v>1.954591306975266</v>
      </c>
      <c r="M932" s="12" t="n">
        <v>6.044407255375105</v>
      </c>
      <c r="N932" s="12" t="n">
        <v>14.6171532592402</v>
      </c>
      <c r="O932" s="12" t="n">
        <v>303.4248650274219</v>
      </c>
      <c r="P932" s="5" t="inlineStr">
        <is>
          <t>Caution</t>
        </is>
      </c>
      <c r="Q932" s="5" t="inlineStr">
        <is>
          <t>Drop</t>
        </is>
      </c>
      <c r="R932" s="12" t="n">
        <v>0.72</v>
      </c>
      <c r="S932" s="5" t="inlineStr">
        <is>
          <t>ACCEPTED</t>
        </is>
      </c>
      <c r="T932" s="5" t="inlineStr">
        <is>
          <t>DLS exceeds normal range</t>
        </is>
      </c>
    </row>
    <row r="933" s="17">
      <c r="A933" s="7" t="n">
        <v>7990</v>
      </c>
      <c r="B933" s="8" t="n">
        <v>45383.93682</v>
      </c>
      <c r="C933" s="9" t="n">
        <v>45.38393682</v>
      </c>
      <c r="D933" s="9" t="n">
        <v>149.30765895</v>
      </c>
      <c r="E933" s="9" t="n">
        <v>69.0859676</v>
      </c>
      <c r="F933" s="10" t="n">
        <v>0.04249643027529892</v>
      </c>
      <c r="G933" s="10" t="n">
        <v>0.2995542457453794</v>
      </c>
      <c r="H933" s="10" t="n">
        <v>0.954150214200693</v>
      </c>
      <c r="I933" s="10" t="n">
        <v>0.230293</v>
      </c>
      <c r="J933" s="5" t="inlineStr">
        <is>
          <t>Transition</t>
        </is>
      </c>
      <c r="K933" s="11" t="n">
        <v>18.74399964487706</v>
      </c>
      <c r="L933" s="12" t="n">
        <v>1.1</v>
      </c>
      <c r="M933" s="12" t="n">
        <v>8.437302128410105</v>
      </c>
      <c r="N933" s="12" t="n">
        <v>13.45942097419048</v>
      </c>
      <c r="O933" s="12" t="n">
        <v>333.0986453997078</v>
      </c>
      <c r="P933" s="5" t="inlineStr">
        <is>
          <t>Caution</t>
        </is>
      </c>
      <c r="Q933" s="5" t="inlineStr">
        <is>
          <t>Turn Left</t>
        </is>
      </c>
      <c r="R933" s="12" t="n">
        <v>0.68</v>
      </c>
      <c r="S933" s="5" t="inlineStr">
        <is>
          <t>REDUCED</t>
        </is>
      </c>
      <c r="T933" s="5" t="inlineStr">
        <is>
          <t>DLS exceeds normal range</t>
        </is>
      </c>
    </row>
    <row r="934" s="17">
      <c r="A934" s="7" t="n">
        <v>7995</v>
      </c>
      <c r="B934" s="8" t="n">
        <v>59930.052863</v>
      </c>
      <c r="C934" s="9" t="n">
        <v>59.930052863</v>
      </c>
      <c r="D934" s="9" t="n">
        <v>112.63710209</v>
      </c>
      <c r="E934" s="9" t="n">
        <v>47.27642432</v>
      </c>
      <c r="F934" s="10" t="n">
        <v>0.1445609303385334</v>
      </c>
      <c r="G934" s="10" t="n">
        <v>0.2244670338316019</v>
      </c>
      <c r="H934" s="10" t="n">
        <v>0.9439408900822621</v>
      </c>
      <c r="I934" s="10" t="n">
        <v>0.824908</v>
      </c>
      <c r="J934" s="5" t="inlineStr">
        <is>
          <t>Cleaner sand</t>
        </is>
      </c>
      <c r="K934" s="11" t="n">
        <v>18.09017400299765</v>
      </c>
      <c r="L934" s="12" t="n">
        <v>1.1</v>
      </c>
      <c r="M934" s="12" t="n">
        <v>5.890620295316811</v>
      </c>
      <c r="N934" s="12" t="n">
        <v>13.61273771400124</v>
      </c>
      <c r="O934" s="12" t="n">
        <v>300.4665617917067</v>
      </c>
      <c r="P934" s="5" t="inlineStr">
        <is>
          <t>Normal</t>
        </is>
      </c>
      <c r="Q934" s="5" t="inlineStr">
        <is>
          <t>Drop</t>
        </is>
      </c>
      <c r="R934" s="12" t="n">
        <v>0.51</v>
      </c>
      <c r="S934" s="5" t="inlineStr">
        <is>
          <t>REDUCED</t>
        </is>
      </c>
      <c r="T934" s="5" t="inlineStr">
        <is>
          <t>Normal operation</t>
        </is>
      </c>
    </row>
    <row r="935" s="17">
      <c r="A935" s="7" t="n">
        <v>8000</v>
      </c>
      <c r="B935" s="8" t="n">
        <v>74416.59020999999</v>
      </c>
      <c r="C935" s="9" t="n">
        <v>74.41659021</v>
      </c>
      <c r="D935" s="9" t="n">
        <v>161.85814594</v>
      </c>
      <c r="E935" s="9" t="n">
        <v>46.69616608</v>
      </c>
      <c r="F935" s="10" t="n">
        <v>0.09949934559230356</v>
      </c>
      <c r="G935" s="10" t="n">
        <v>0.2313894339579392</v>
      </c>
      <c r="H935" s="10" t="n">
        <v>0.8888994519601059</v>
      </c>
      <c r="I935" s="10" t="n">
        <v>1.087426</v>
      </c>
      <c r="J935" s="5" t="inlineStr">
        <is>
          <t>Cleaner sand</t>
        </is>
      </c>
      <c r="K935" s="11" t="n">
        <v>20.00376946407322</v>
      </c>
      <c r="L935" s="12" t="n">
        <v>1.390236943749124</v>
      </c>
      <c r="M935" s="12" t="n">
        <v>7.073126274377086</v>
      </c>
      <c r="N935" s="12" t="n">
        <v>13.13551878441805</v>
      </c>
      <c r="O935" s="12" t="n">
        <v>310.2834865064224</v>
      </c>
      <c r="P935" s="5" t="inlineStr">
        <is>
          <t>Caution</t>
        </is>
      </c>
      <c r="Q935" s="5" t="inlineStr">
        <is>
          <t>Drop</t>
        </is>
      </c>
      <c r="R935" s="12" t="n">
        <v>0.8</v>
      </c>
      <c r="S935" s="5" t="inlineStr">
        <is>
          <t>ACCEPTED</t>
        </is>
      </c>
      <c r="T935" s="5" t="inlineStr">
        <is>
          <t>DLS exceeds normal range</t>
        </is>
      </c>
    </row>
    <row r="936" s="17">
      <c r="A936" s="7" t="n">
        <v>8005</v>
      </c>
      <c r="B936" s="8" t="n">
        <v>40862.960993</v>
      </c>
      <c r="C936" s="9" t="n">
        <v>40.862960993</v>
      </c>
      <c r="D936" s="9" t="n">
        <v>139.59395782</v>
      </c>
      <c r="E936" s="9" t="n">
        <v>56.18502978</v>
      </c>
      <c r="F936" s="10" t="n">
        <v>0.05980779469100643</v>
      </c>
      <c r="G936" s="10" t="n">
        <v>0.1547325233981588</v>
      </c>
      <c r="H936" s="10" t="n">
        <v>0.960577290952914</v>
      </c>
      <c r="I936" s="10" t="n">
        <v>0.231737</v>
      </c>
      <c r="J936" s="5" t="inlineStr">
        <is>
          <t>Cleaner sand</t>
        </is>
      </c>
      <c r="K936" s="11" t="n">
        <v>16.47135179612764</v>
      </c>
      <c r="L936" s="12" t="n">
        <v>1.1</v>
      </c>
      <c r="M936" s="12" t="n">
        <v>7.733794597212285</v>
      </c>
      <c r="N936" s="12" t="n">
        <v>11.97143735794052</v>
      </c>
      <c r="O936" s="12" t="n">
        <v>304.1492281789002</v>
      </c>
      <c r="P936" s="5" t="inlineStr">
        <is>
          <t>Caution</t>
        </is>
      </c>
      <c r="Q936" s="5" t="inlineStr">
        <is>
          <t>Turn Left</t>
        </is>
      </c>
      <c r="R936" s="12" t="n">
        <v>0.84</v>
      </c>
      <c r="S936" s="5" t="inlineStr">
        <is>
          <t>ACCEPTED</t>
        </is>
      </c>
      <c r="T936" s="5" t="inlineStr">
        <is>
          <t>DLS exceeds normal range</t>
        </is>
      </c>
    </row>
    <row r="937" s="17">
      <c r="A937" s="7" t="n">
        <v>8010</v>
      </c>
      <c r="B937" s="8" t="n">
        <v>50483.91125</v>
      </c>
      <c r="C937" s="9" t="n">
        <v>50.48391125</v>
      </c>
      <c r="D937" s="9" t="n">
        <v>123.64704843</v>
      </c>
      <c r="E937" s="9" t="n">
        <v>44.24386670000001</v>
      </c>
      <c r="F937" s="10" t="n">
        <v>0.1072957021314</v>
      </c>
      <c r="G937" s="10" t="n">
        <v>0.2158913990552938</v>
      </c>
      <c r="H937" s="10" t="n">
        <v>0.8920960353453742</v>
      </c>
      <c r="I937" s="10" t="n">
        <v>1.159153</v>
      </c>
      <c r="J937" s="5" t="inlineStr">
        <is>
          <t>Cleaner sand</t>
        </is>
      </c>
      <c r="K937" s="11" t="n">
        <v>17.29878394549345</v>
      </c>
      <c r="L937" s="12" t="n">
        <v>1.411011303152818</v>
      </c>
      <c r="M937" s="12" t="n">
        <v>5.929937202924437</v>
      </c>
      <c r="N937" s="12" t="n">
        <v>13.80204415868485</v>
      </c>
      <c r="O937" s="12" t="n">
        <v>328.4993295814937</v>
      </c>
      <c r="P937" s="5" t="inlineStr">
        <is>
          <t>Normal</t>
        </is>
      </c>
      <c r="Q937" s="5" t="inlineStr">
        <is>
          <t>Turn Left</t>
        </is>
      </c>
      <c r="R937" s="12" t="n">
        <v>0.76</v>
      </c>
      <c r="S937" s="5" t="inlineStr">
        <is>
          <t>ACCEPTED</t>
        </is>
      </c>
      <c r="T937" s="5" t="inlineStr">
        <is>
          <t>Normal operation</t>
        </is>
      </c>
    </row>
    <row r="938" s="17">
      <c r="A938" s="7" t="n">
        <v>8015</v>
      </c>
      <c r="B938" s="8" t="n">
        <v>70841.56381599999</v>
      </c>
      <c r="C938" s="9" t="n">
        <v>70.84156381599999</v>
      </c>
      <c r="D938" s="9" t="n">
        <v>148.36979067</v>
      </c>
      <c r="E938" s="9" t="n">
        <v>42.26168972</v>
      </c>
      <c r="F938" s="10" t="n">
        <v>0.07843883253051875</v>
      </c>
      <c r="G938" s="10" t="n">
        <v>0.2948428800422609</v>
      </c>
      <c r="H938" s="10" t="n">
        <v>0.9037654825064851</v>
      </c>
      <c r="I938" s="10" t="n">
        <v>0.742754</v>
      </c>
      <c r="J938" s="5" t="inlineStr">
        <is>
          <t>Transition</t>
        </is>
      </c>
      <c r="K938" s="11" t="n">
        <v>20.52381793290065</v>
      </c>
      <c r="L938" s="12" t="n">
        <v>1.587587643779439</v>
      </c>
      <c r="M938" s="12" t="n">
        <v>7.087418152029392</v>
      </c>
      <c r="N938" s="12" t="n">
        <v>14.15189272767884</v>
      </c>
      <c r="O938" s="12" t="n">
        <v>338.2083541488884</v>
      </c>
      <c r="P938" s="5" t="inlineStr">
        <is>
          <t>Caution</t>
        </is>
      </c>
      <c r="Q938" s="5" t="inlineStr">
        <is>
          <t>Turn Left</t>
        </is>
      </c>
      <c r="R938" s="12" t="n">
        <v>0.58</v>
      </c>
      <c r="S938" s="5" t="inlineStr">
        <is>
          <t>REDUCED</t>
        </is>
      </c>
      <c r="T938" s="5" t="inlineStr">
        <is>
          <t>DLS exceeds normal range</t>
        </is>
      </c>
    </row>
    <row r="939" s="17">
      <c r="A939" s="7" t="n">
        <v>8020</v>
      </c>
      <c r="B939" s="8" t="n">
        <v>38395.951569</v>
      </c>
      <c r="C939" s="9" t="n">
        <v>38.395951569</v>
      </c>
      <c r="D939" s="9" t="n">
        <v>144.38604291</v>
      </c>
      <c r="E939" s="9" t="n">
        <v>69.47209576</v>
      </c>
      <c r="F939" s="10" t="n">
        <v>0.03938321059206032</v>
      </c>
      <c r="G939" s="10" t="n">
        <v>0.1368677399008095</v>
      </c>
      <c r="H939" s="10" t="n">
        <v>0.9387808112725909</v>
      </c>
      <c r="I939" s="10" t="n">
        <v>0.27234</v>
      </c>
      <c r="J939" s="5" t="inlineStr">
        <is>
          <t>Cleaner sand</t>
        </is>
      </c>
      <c r="K939" s="11" t="n">
        <v>16.2859574064877</v>
      </c>
      <c r="L939" s="12" t="n">
        <v>1.437908279578723</v>
      </c>
      <c r="M939" s="12" t="n">
        <v>7.695494769474047</v>
      </c>
      <c r="N939" s="12" t="n">
        <v>13.83889884790966</v>
      </c>
      <c r="O939" s="12" t="n">
        <v>340.1911168173351</v>
      </c>
      <c r="P939" s="5" t="inlineStr">
        <is>
          <t>Caution</t>
        </is>
      </c>
      <c r="Q939" s="5" t="inlineStr">
        <is>
          <t>Turn Left</t>
        </is>
      </c>
      <c r="R939" s="12" t="n">
        <v>0.91</v>
      </c>
      <c r="S939" s="5" t="inlineStr">
        <is>
          <t>ACCEPTED</t>
        </is>
      </c>
      <c r="T939" s="5" t="inlineStr">
        <is>
          <t>DLS exceeds normal range</t>
        </is>
      </c>
    </row>
    <row r="940" s="17">
      <c r="A940" s="7" t="n">
        <v>8025</v>
      </c>
      <c r="B940" s="8" t="n">
        <v>63720.725022</v>
      </c>
      <c r="C940" s="9" t="n">
        <v>63.720725022</v>
      </c>
      <c r="D940" s="9" t="n">
        <v>120.16897338</v>
      </c>
      <c r="E940" s="9" t="n">
        <v>55.86210558</v>
      </c>
      <c r="F940" s="10" t="n">
        <v>0.0935683416998335</v>
      </c>
      <c r="G940" s="10" t="n">
        <v>0.2429897388418252</v>
      </c>
      <c r="H940" s="10" t="n">
        <v>0.9203865799668164</v>
      </c>
      <c r="I940" s="10" t="n">
        <v>0.749355</v>
      </c>
      <c r="J940" s="5" t="inlineStr">
        <is>
          <t>Cleaner sand</t>
        </is>
      </c>
      <c r="K940" s="11" t="n">
        <v>20.47917520778397</v>
      </c>
      <c r="L940" s="12" t="n">
        <v>2.371709091890665</v>
      </c>
      <c r="M940" s="12" t="n">
        <v>6.960412130215986</v>
      </c>
      <c r="N940" s="12" t="n">
        <v>14.01399971423896</v>
      </c>
      <c r="O940" s="12" t="n">
        <v>337.7340448624272</v>
      </c>
      <c r="P940" s="5" t="inlineStr">
        <is>
          <t>Caution</t>
        </is>
      </c>
      <c r="Q940" s="5" t="inlineStr">
        <is>
          <t>Turn Left</t>
        </is>
      </c>
      <c r="R940" s="12" t="n">
        <v>0.65</v>
      </c>
      <c r="S940" s="5" t="inlineStr">
        <is>
          <t>REDUCED</t>
        </is>
      </c>
      <c r="T940" s="5" t="inlineStr">
        <is>
          <t>DLS exceeds normal range</t>
        </is>
      </c>
    </row>
    <row r="941" s="17">
      <c r="A941" s="7" t="n">
        <v>8030</v>
      </c>
      <c r="B941" s="8" t="n">
        <v>62860.059685</v>
      </c>
      <c r="C941" s="9" t="n">
        <v>62.860059685</v>
      </c>
      <c r="D941" s="9" t="n">
        <v>162.17611659</v>
      </c>
      <c r="E941" s="9" t="n">
        <v>42.69709906</v>
      </c>
      <c r="F941" s="10" t="n">
        <v>0.1071221388351041</v>
      </c>
      <c r="G941" s="10" t="n">
        <v>0.36140417351343</v>
      </c>
      <c r="H941" s="10" t="n">
        <v>0.9333665033806816</v>
      </c>
      <c r="I941" s="10" t="n">
        <v>0.761477</v>
      </c>
      <c r="J941" s="5" t="inlineStr">
        <is>
          <t>Transition</t>
        </is>
      </c>
      <c r="K941" s="11" t="n">
        <v>19.51300089426243</v>
      </c>
      <c r="L941" s="12" t="n">
        <v>1.820104934655137</v>
      </c>
      <c r="M941" s="12" t="n">
        <v>8.800000000000001</v>
      </c>
      <c r="N941" s="12" t="n">
        <v>13.14828587163524</v>
      </c>
      <c r="O941" s="12" t="n">
        <v>325.3423502341771</v>
      </c>
      <c r="P941" s="5" t="inlineStr">
        <is>
          <t>Caution</t>
        </is>
      </c>
      <c r="Q941" s="5" t="inlineStr">
        <is>
          <t>Turn Left</t>
        </is>
      </c>
      <c r="R941" s="12" t="n">
        <v>0.55</v>
      </c>
      <c r="S941" s="5" t="inlineStr">
        <is>
          <t>REDUCED</t>
        </is>
      </c>
      <c r="T941" s="5" t="inlineStr">
        <is>
          <t>DLS exceeds normal range</t>
        </is>
      </c>
    </row>
    <row r="942" s="17">
      <c r="A942" s="7" t="n">
        <v>8035</v>
      </c>
      <c r="B942" s="8" t="n">
        <v>37854.200008</v>
      </c>
      <c r="C942" s="9" t="n">
        <v>37.854200008</v>
      </c>
      <c r="D942" s="9" t="n">
        <v>138.78776511</v>
      </c>
      <c r="E942" s="9" t="n">
        <v>68.22638374</v>
      </c>
      <c r="F942" s="10" t="n">
        <v>0.04582815197371527</v>
      </c>
      <c r="G942" s="10" t="n">
        <v>0.1444101550648425</v>
      </c>
      <c r="H942" s="10" t="n">
        <v>0.975903745402657</v>
      </c>
      <c r="I942" s="10" t="n">
        <v>0.135853</v>
      </c>
      <c r="J942" s="5" t="inlineStr">
        <is>
          <t>Cleaner sand</t>
        </is>
      </c>
      <c r="K942" s="11" t="n">
        <v>14.19765673203256</v>
      </c>
      <c r="L942" s="12" t="n">
        <v>1.807232436209306</v>
      </c>
      <c r="M942" s="12" t="n">
        <v>5.625245851427997</v>
      </c>
      <c r="N942" s="12" t="n">
        <v>11.81264716373671</v>
      </c>
      <c r="O942" s="12" t="n">
        <v>325.3060847928888</v>
      </c>
      <c r="P942" s="5" t="inlineStr">
        <is>
          <t>Normal</t>
        </is>
      </c>
      <c r="Q942" s="5" t="inlineStr">
        <is>
          <t>Turn Left</t>
        </is>
      </c>
      <c r="R942" s="12" t="n">
        <v>0.62</v>
      </c>
      <c r="S942" s="5" t="inlineStr">
        <is>
          <t>REDUCED</t>
        </is>
      </c>
      <c r="T942" s="5" t="inlineStr">
        <is>
          <t>Normal operation</t>
        </is>
      </c>
    </row>
    <row r="943" s="17">
      <c r="A943" s="7" t="n">
        <v>8040</v>
      </c>
      <c r="B943" s="8" t="n">
        <v>56538.942674</v>
      </c>
      <c r="C943" s="9" t="n">
        <v>56.538942674</v>
      </c>
      <c r="D943" s="9" t="n">
        <v>120.3435072</v>
      </c>
      <c r="E943" s="9" t="n">
        <v>37.04246926</v>
      </c>
      <c r="F943" s="10" t="n">
        <v>0.0897040684166218</v>
      </c>
      <c r="G943" s="10" t="n">
        <v>0.2697222668040105</v>
      </c>
      <c r="H943" s="10" t="n">
        <v>0.9255251457116279</v>
      </c>
      <c r="I943" s="10" t="n">
        <v>0.688666</v>
      </c>
      <c r="J943" s="5" t="inlineStr">
        <is>
          <t>Transition</t>
        </is>
      </c>
      <c r="K943" s="11" t="n">
        <v>19.78694672867242</v>
      </c>
      <c r="L943" s="12" t="n">
        <v>1.964881500581267</v>
      </c>
      <c r="M943" s="12" t="n">
        <v>7.811569689460006</v>
      </c>
      <c r="N943" s="12" t="n">
        <v>13.37530004798201</v>
      </c>
      <c r="O943" s="12" t="n">
        <v>313.6978350092683</v>
      </c>
      <c r="P943" s="5" t="inlineStr">
        <is>
          <t>Caution</t>
        </is>
      </c>
      <c r="Q943" s="5" t="inlineStr">
        <is>
          <t>Drop</t>
        </is>
      </c>
      <c r="R943" s="12" t="n">
        <v>0.78</v>
      </c>
      <c r="S943" s="5" t="inlineStr">
        <is>
          <t>ACCEPTED</t>
        </is>
      </c>
      <c r="T943" s="5" t="inlineStr">
        <is>
          <t>DLS exceeds normal range</t>
        </is>
      </c>
    </row>
    <row r="944" s="17">
      <c r="A944" s="7" t="n">
        <v>8045</v>
      </c>
      <c r="B944" s="8" t="n">
        <v>71159.83452</v>
      </c>
      <c r="C944" s="9" t="n">
        <v>71.15983452</v>
      </c>
      <c r="D944" s="9" t="n">
        <v>147.29220108</v>
      </c>
      <c r="E944" s="9" t="n">
        <v>47.73021559999999</v>
      </c>
      <c r="F944" s="10" t="n">
        <v>0.05684045406270206</v>
      </c>
      <c r="G944" s="10" t="n">
        <v>0.2369181663549655</v>
      </c>
      <c r="H944" s="10" t="n">
        <v>0.9137796622770338</v>
      </c>
      <c r="I944" s="10" t="n">
        <v>0.532734</v>
      </c>
      <c r="J944" s="5" t="inlineStr">
        <is>
          <t>Cleaner sand</t>
        </is>
      </c>
      <c r="K944" s="11" t="n">
        <v>22.25378879367028</v>
      </c>
      <c r="L944" s="12" t="n">
        <v>1.101971772287423</v>
      </c>
      <c r="M944" s="12" t="n">
        <v>6.83054355747795</v>
      </c>
      <c r="N944" s="12" t="n">
        <v>10.2975109352297</v>
      </c>
      <c r="O944" s="12" t="n">
        <v>344.5</v>
      </c>
      <c r="P944" s="5" t="inlineStr">
        <is>
          <t>Caution</t>
        </is>
      </c>
      <c r="Q944" s="5" t="inlineStr">
        <is>
          <t>Turn Left</t>
        </is>
      </c>
      <c r="R944" s="12" t="n">
        <v>0.87</v>
      </c>
      <c r="S944" s="5" t="inlineStr">
        <is>
          <t>ACCEPTED</t>
        </is>
      </c>
      <c r="T944" s="5" t="inlineStr">
        <is>
          <t>DLS exceeds normal range</t>
        </is>
      </c>
    </row>
    <row r="945" s="17">
      <c r="A945" s="7" t="n">
        <v>8050</v>
      </c>
      <c r="B945" s="8" t="n">
        <v>51337.44054</v>
      </c>
      <c r="C945" s="9" t="n">
        <v>51.33744054</v>
      </c>
      <c r="D945" s="9" t="n">
        <v>140.80206188</v>
      </c>
      <c r="E945" s="9" t="n">
        <v>45.11119628</v>
      </c>
      <c r="F945" s="10" t="n">
        <v>0.06162258748059075</v>
      </c>
      <c r="G945" s="10" t="n">
        <v>0.1455473920208852</v>
      </c>
      <c r="H945" s="10" t="n">
        <v>0.8880152530529155</v>
      </c>
      <c r="I945" s="10" t="n">
        <v>0.719553</v>
      </c>
      <c r="J945" s="5" t="inlineStr">
        <is>
          <t>Cleaner sand</t>
        </is>
      </c>
      <c r="K945" s="11" t="n">
        <v>17.85864480170629</v>
      </c>
      <c r="L945" s="12" t="n">
        <v>2.169164775835932</v>
      </c>
      <c r="M945" s="12" t="n">
        <v>7.590255348881009</v>
      </c>
      <c r="N945" s="12" t="n">
        <v>10.66995765256077</v>
      </c>
      <c r="O945" s="12" t="n">
        <v>337.4181133875235</v>
      </c>
      <c r="P945" s="5" t="inlineStr">
        <is>
          <t>Caution</t>
        </is>
      </c>
      <c r="Q945" s="5" t="inlineStr">
        <is>
          <t>Turn Left</t>
        </is>
      </c>
      <c r="R945" s="12" t="n">
        <v>0.6</v>
      </c>
      <c r="S945" s="5" t="inlineStr">
        <is>
          <t>REDUCED</t>
        </is>
      </c>
      <c r="T945" s="5" t="inlineStr">
        <is>
          <t>DLS exceeds normal range</t>
        </is>
      </c>
    </row>
    <row r="946" s="17">
      <c r="A946" s="7" t="n">
        <v>8055</v>
      </c>
      <c r="B946" s="8" t="n">
        <v>44249.595989</v>
      </c>
      <c r="C946" s="9" t="n">
        <v>44.249595989</v>
      </c>
      <c r="D946" s="9" t="n">
        <v>136.75861992</v>
      </c>
      <c r="E946" s="9" t="n">
        <v>36.56048556</v>
      </c>
      <c r="F946" s="10" t="n">
        <v>0.1094375875052492</v>
      </c>
      <c r="G946" s="10" t="n">
        <v>0.2216423008613901</v>
      </c>
      <c r="H946" s="10" t="n">
        <v>0.9071590036562877</v>
      </c>
      <c r="I946" s="10" t="n">
        <v>1.030265</v>
      </c>
      <c r="J946" s="5" t="inlineStr">
        <is>
          <t>Cleaner sand</t>
        </is>
      </c>
      <c r="K946" s="11" t="n">
        <v>18.50084976036625</v>
      </c>
      <c r="L946" s="12" t="n">
        <v>1.622875499597625</v>
      </c>
      <c r="M946" s="12" t="n">
        <v>7.329435158251412</v>
      </c>
      <c r="N946" s="12" t="n">
        <v>10.36591706977953</v>
      </c>
      <c r="O946" s="12" t="n">
        <v>328.6696766845924</v>
      </c>
      <c r="P946" s="5" t="inlineStr">
        <is>
          <t>Caution</t>
        </is>
      </c>
      <c r="Q946" s="5" t="inlineStr">
        <is>
          <t>Turn Left</t>
        </is>
      </c>
      <c r="R946" s="12" t="n">
        <v>0.53</v>
      </c>
      <c r="S946" s="5" t="inlineStr">
        <is>
          <t>REDUCED</t>
        </is>
      </c>
      <c r="T946" s="5" t="inlineStr">
        <is>
          <t>DLS exceeds normal range</t>
        </is>
      </c>
    </row>
    <row r="947" s="17">
      <c r="A947" s="7" t="n">
        <v>8060</v>
      </c>
      <c r="B947" s="8" t="n">
        <v>56525.596718</v>
      </c>
      <c r="C947" s="9" t="n">
        <v>56.525596718</v>
      </c>
      <c r="D947" s="9" t="n">
        <v>169.34032898</v>
      </c>
      <c r="E947" s="9" t="n">
        <v>43.6982879</v>
      </c>
      <c r="F947" s="10" t="n">
        <v>0.1094363541193238</v>
      </c>
      <c r="G947" s="10" t="n">
        <v>0.3500652051188912</v>
      </c>
      <c r="H947" s="10" t="n">
        <v>0.8812179885257061</v>
      </c>
      <c r="I947" s="10" t="n">
        <v>1.31194</v>
      </c>
      <c r="J947" s="5" t="inlineStr">
        <is>
          <t>Transition</t>
        </is>
      </c>
      <c r="K947" s="11" t="n">
        <v>17.84195002412581</v>
      </c>
      <c r="L947" s="12" t="n">
        <v>1.988535502448194</v>
      </c>
      <c r="M947" s="12" t="n">
        <v>6.393270381390019</v>
      </c>
      <c r="N947" s="12" t="n">
        <v>12.80199675231363</v>
      </c>
      <c r="O947" s="12" t="n">
        <v>344.5</v>
      </c>
      <c r="P947" s="5" t="inlineStr">
        <is>
          <t>Caution</t>
        </is>
      </c>
      <c r="Q947" s="5" t="inlineStr">
        <is>
          <t>Turn Left</t>
        </is>
      </c>
      <c r="R947" s="12" t="n">
        <v>0.74</v>
      </c>
      <c r="S947" s="5" t="inlineStr">
        <is>
          <t>ACCEPTED</t>
        </is>
      </c>
      <c r="T947" s="5" t="inlineStr">
        <is>
          <t>DLS exceeds normal range</t>
        </is>
      </c>
    </row>
    <row r="948" s="17">
      <c r="A948" s="7" t="n">
        <v>8065</v>
      </c>
      <c r="B948" s="8" t="n">
        <v>54097.846746</v>
      </c>
      <c r="C948" s="9" t="n">
        <v>54.097846746</v>
      </c>
      <c r="D948" s="9" t="n">
        <v>149.81187687</v>
      </c>
      <c r="E948" s="9" t="n">
        <v>78.82603338</v>
      </c>
      <c r="F948" s="10" t="n">
        <v>0.0458425003199331</v>
      </c>
      <c r="G948" s="10" t="n">
        <v>0.1426131147160457</v>
      </c>
      <c r="H948" s="10" t="n">
        <v>0.9397690981030522</v>
      </c>
      <c r="I948" s="10" t="n">
        <v>0.321801</v>
      </c>
      <c r="J948" s="5" t="inlineStr">
        <is>
          <t>Cleaner sand</t>
        </is>
      </c>
      <c r="K948" s="11" t="n">
        <v>16.93999389492505</v>
      </c>
      <c r="L948" s="12" t="n">
        <v>1.134789955810324</v>
      </c>
      <c r="M948" s="12" t="n">
        <v>7.16613381914761</v>
      </c>
      <c r="N948" s="12" t="n">
        <v>12.4020956566174</v>
      </c>
      <c r="O948" s="12" t="n">
        <v>324.9737471730523</v>
      </c>
      <c r="P948" s="5" t="inlineStr">
        <is>
          <t>Caution</t>
        </is>
      </c>
      <c r="Q948" s="5" t="inlineStr">
        <is>
          <t>Turn Left</t>
        </is>
      </c>
      <c r="R948" s="12" t="n">
        <v>0.91</v>
      </c>
      <c r="S948" s="5" t="inlineStr">
        <is>
          <t>ACCEPTED</t>
        </is>
      </c>
      <c r="T948" s="5" t="inlineStr">
        <is>
          <t>DLS exceeds normal range</t>
        </is>
      </c>
    </row>
    <row r="949" s="17">
      <c r="A949" s="7" t="n">
        <v>8070</v>
      </c>
      <c r="B949" s="8" t="n">
        <v>39892.689052</v>
      </c>
      <c r="C949" s="9" t="n">
        <v>39.892689052</v>
      </c>
      <c r="D949" s="9" t="n">
        <v>140.48185782</v>
      </c>
      <c r="E949" s="9" t="n">
        <v>65.08554430000001</v>
      </c>
      <c r="F949" s="10" t="n">
        <v>0.07175912460682111</v>
      </c>
      <c r="G949" s="10" t="n">
        <v>0.1289282772986282</v>
      </c>
      <c r="H949" s="10" t="n">
        <v>1</v>
      </c>
      <c r="I949" s="10" t="n">
        <v>0.030812</v>
      </c>
      <c r="J949" s="5" t="inlineStr">
        <is>
          <t>Cleaner sand</t>
        </is>
      </c>
      <c r="K949" s="11" t="n">
        <v>15.16097528225073</v>
      </c>
      <c r="L949" s="12" t="n">
        <v>1.1</v>
      </c>
      <c r="M949" s="12" t="n">
        <v>5.499492165273863</v>
      </c>
      <c r="N949" s="12" t="n">
        <v>11.58851410919655</v>
      </c>
      <c r="O949" s="12" t="n">
        <v>339.0155614366779</v>
      </c>
      <c r="P949" s="5" t="inlineStr">
        <is>
          <t>Normal</t>
        </is>
      </c>
      <c r="Q949" s="5" t="inlineStr">
        <is>
          <t>Turn Left</t>
        </is>
      </c>
      <c r="R949" s="12" t="n">
        <v>0.5</v>
      </c>
      <c r="S949" s="5" t="inlineStr">
        <is>
          <t>REDUCED</t>
        </is>
      </c>
      <c r="T949" s="5" t="inlineStr">
        <is>
          <t>Normal operation</t>
        </is>
      </c>
    </row>
    <row r="950" s="17">
      <c r="A950" s="7" t="n">
        <v>8075</v>
      </c>
      <c r="B950" s="8" t="n">
        <v>57209.050603</v>
      </c>
      <c r="C950" s="9" t="n">
        <v>57.209050603</v>
      </c>
      <c r="D950" s="9" t="n">
        <v>118.63959295</v>
      </c>
      <c r="E950" s="9" t="n">
        <v>48.68450126</v>
      </c>
      <c r="F950" s="10" t="n">
        <v>0.1014752949273543</v>
      </c>
      <c r="G950" s="10" t="n">
        <v>0.3645830718824584</v>
      </c>
      <c r="H950" s="10" t="n">
        <v>0.8856273018632201</v>
      </c>
      <c r="I950" s="10" t="n">
        <v>1.195696</v>
      </c>
      <c r="J950" s="5" t="inlineStr">
        <is>
          <t>Transition</t>
        </is>
      </c>
      <c r="K950" s="11" t="n">
        <v>18.99215072454961</v>
      </c>
      <c r="L950" s="12" t="n">
        <v>2.060765932432264</v>
      </c>
      <c r="M950" s="12" t="n">
        <v>7.471023011963844</v>
      </c>
      <c r="N950" s="12" t="n">
        <v>12.12707283861617</v>
      </c>
      <c r="O950" s="12" t="n">
        <v>333.2644030438226</v>
      </c>
      <c r="P950" s="5" t="inlineStr">
        <is>
          <t>Caution</t>
        </is>
      </c>
      <c r="Q950" s="5" t="inlineStr">
        <is>
          <t>Turn Left</t>
        </is>
      </c>
      <c r="R950" s="12" t="n">
        <v>0.84</v>
      </c>
      <c r="S950" s="5" t="inlineStr">
        <is>
          <t>ACCEPTED</t>
        </is>
      </c>
      <c r="T950" s="5" t="inlineStr">
        <is>
          <t>DLS exceeds normal range</t>
        </is>
      </c>
    </row>
    <row r="951" s="17">
      <c r="A951" s="7" t="n">
        <v>8080</v>
      </c>
      <c r="B951" s="8" t="n">
        <v>43109.305879</v>
      </c>
      <c r="C951" s="9" t="n">
        <v>43.109305879</v>
      </c>
      <c r="D951" s="9" t="n">
        <v>136.05883861</v>
      </c>
      <c r="E951" s="9" t="n">
        <v>55.13190952</v>
      </c>
      <c r="F951" s="10" t="n">
        <v>0.03013144345843433</v>
      </c>
      <c r="G951" s="10" t="n">
        <v>0.07162656162361426</v>
      </c>
      <c r="H951" s="10" t="n">
        <v>0.927134831473564</v>
      </c>
      <c r="I951" s="10" t="n">
        <v>0.267304</v>
      </c>
      <c r="J951" s="5" t="inlineStr">
        <is>
          <t>Cleaner sand</t>
        </is>
      </c>
      <c r="K951" s="11" t="n">
        <v>16.68782820145072</v>
      </c>
      <c r="L951" s="12" t="n">
        <v>1.844440667787783</v>
      </c>
      <c r="M951" s="12" t="n">
        <v>7.229298359717157</v>
      </c>
      <c r="N951" s="12" t="n">
        <v>9.369043109508029</v>
      </c>
      <c r="O951" s="12" t="n">
        <v>341.2121014792972</v>
      </c>
      <c r="P951" s="5" t="inlineStr">
        <is>
          <t>Caution</t>
        </is>
      </c>
      <c r="Q951" s="5" t="inlineStr">
        <is>
          <t>Turn Left</t>
        </is>
      </c>
      <c r="R951" s="12" t="n">
        <v>0.66</v>
      </c>
      <c r="S951" s="5" t="inlineStr">
        <is>
          <t>REDUCED</t>
        </is>
      </c>
      <c r="T951" s="5" t="inlineStr">
        <is>
          <t>DLS exceeds normal range</t>
        </is>
      </c>
    </row>
    <row r="952" s="17">
      <c r="A952" s="7" t="n">
        <v>8085</v>
      </c>
      <c r="B952" s="8" t="n">
        <v>64282.682613</v>
      </c>
      <c r="C952" s="9" t="n">
        <v>64.28268261299999</v>
      </c>
      <c r="D952" s="9" t="n">
        <v>133.03250659</v>
      </c>
      <c r="E952" s="9" t="n">
        <v>51.6414885</v>
      </c>
      <c r="F952" s="10" t="n">
        <v>0.1314361845518331</v>
      </c>
      <c r="G952" s="10" t="n">
        <v>0.2245920356743377</v>
      </c>
      <c r="H952" s="10" t="n">
        <v>0.8717282047627002</v>
      </c>
      <c r="I952" s="10" t="n">
        <v>1.707</v>
      </c>
      <c r="J952" s="5" t="inlineStr">
        <is>
          <t>Cleaner sand</t>
        </is>
      </c>
      <c r="K952" s="11" t="n">
        <v>20.09749459055249</v>
      </c>
      <c r="L952" s="12" t="n">
        <v>1.21799473836482</v>
      </c>
      <c r="M952" s="12" t="n">
        <v>7.503781031584666</v>
      </c>
      <c r="N952" s="12" t="n">
        <v>10.74383109526564</v>
      </c>
      <c r="O952" s="12" t="n">
        <v>333.8180011875535</v>
      </c>
      <c r="P952" s="5" t="inlineStr">
        <is>
          <t>Caution</t>
        </is>
      </c>
      <c r="Q952" s="5" t="inlineStr">
        <is>
          <t>Turn Left</t>
        </is>
      </c>
      <c r="R952" s="12" t="n">
        <v>0.84</v>
      </c>
      <c r="S952" s="5" t="inlineStr">
        <is>
          <t>ACCEPTED</t>
        </is>
      </c>
      <c r="T952" s="5" t="inlineStr">
        <is>
          <t>DLS exceeds normal range</t>
        </is>
      </c>
    </row>
    <row r="953" s="17">
      <c r="A953" s="7" t="n">
        <v>8090</v>
      </c>
      <c r="B953" s="8" t="n">
        <v>56284.528805</v>
      </c>
      <c r="C953" s="9" t="n">
        <v>56.284528805</v>
      </c>
      <c r="D953" s="9" t="n">
        <v>166.77617623</v>
      </c>
      <c r="E953" s="9" t="n">
        <v>30</v>
      </c>
      <c r="F953" s="10" t="n">
        <v>0.05644746454163224</v>
      </c>
      <c r="G953" s="10" t="n">
        <v>0.3770332212901811</v>
      </c>
      <c r="H953" s="10" t="n">
        <v>0.8779128213859654</v>
      </c>
      <c r="I953" s="10" t="n">
        <v>0.72115</v>
      </c>
      <c r="J953" s="5" t="inlineStr">
        <is>
          <t>Transition</t>
        </is>
      </c>
      <c r="K953" s="11" t="n">
        <v>19.2197525842094</v>
      </c>
      <c r="L953" s="12" t="n">
        <v>1.2338650901754</v>
      </c>
      <c r="M953" s="12" t="n">
        <v>7.841163462468611</v>
      </c>
      <c r="N953" s="12" t="n">
        <v>9.906477395351029</v>
      </c>
      <c r="O953" s="12" t="n">
        <v>319.3677324742242</v>
      </c>
      <c r="P953" s="5" t="inlineStr">
        <is>
          <t>Caution</t>
        </is>
      </c>
      <c r="Q953" s="5" t="inlineStr">
        <is>
          <t>Turn Left</t>
        </is>
      </c>
      <c r="R953" s="12" t="n">
        <v>0.68</v>
      </c>
      <c r="S953" s="5" t="inlineStr">
        <is>
          <t>REDUCED</t>
        </is>
      </c>
      <c r="T953" s="5" t="inlineStr">
        <is>
          <t>DLS exceeds normal range</t>
        </is>
      </c>
    </row>
    <row r="954" s="17">
      <c r="A954" s="7" t="n">
        <v>8095</v>
      </c>
      <c r="B954" s="8" t="n">
        <v>35968.018274</v>
      </c>
      <c r="C954" s="9" t="n">
        <v>35.968018274</v>
      </c>
      <c r="D954" s="9" t="n">
        <v>141.36231995</v>
      </c>
      <c r="E954" s="9" t="n">
        <v>52.89395404</v>
      </c>
      <c r="F954" s="10" t="n">
        <v>0.05074352881480182</v>
      </c>
      <c r="G954" s="10" t="n">
        <v>0.03583585942324349</v>
      </c>
      <c r="H954" s="10" t="n">
        <v>0.9413995011255609</v>
      </c>
      <c r="I954" s="10" t="n">
        <v>0.301907</v>
      </c>
      <c r="J954" s="5" t="inlineStr">
        <is>
          <t>Cleaner sand</t>
        </is>
      </c>
      <c r="K954" s="11" t="n">
        <v>13.87951209333131</v>
      </c>
      <c r="L954" s="12" t="n">
        <v>2.211463044363237</v>
      </c>
      <c r="M954" s="12" t="n">
        <v>7.290315055575786</v>
      </c>
      <c r="N954" s="12" t="n">
        <v>10.94869760010228</v>
      </c>
      <c r="O954" s="12" t="n">
        <v>333.8526215835017</v>
      </c>
      <c r="P954" s="5" t="inlineStr">
        <is>
          <t>Caution</t>
        </is>
      </c>
      <c r="Q954" s="5" t="inlineStr">
        <is>
          <t>Turn Left</t>
        </is>
      </c>
      <c r="R954" s="12" t="n">
        <v>0.61</v>
      </c>
      <c r="S954" s="5" t="inlineStr">
        <is>
          <t>REDUCED</t>
        </is>
      </c>
      <c r="T954" s="5" t="inlineStr">
        <is>
          <t>DLS exceeds normal range</t>
        </is>
      </c>
    </row>
    <row r="955" s="17">
      <c r="A955" s="7" t="n">
        <v>8100</v>
      </c>
      <c r="B955" s="8" t="n">
        <v>56298.309625</v>
      </c>
      <c r="C955" s="9" t="n">
        <v>56.298309625</v>
      </c>
      <c r="D955" s="9" t="n">
        <v>132.08834105</v>
      </c>
      <c r="E955" s="9" t="n">
        <v>59.05131354</v>
      </c>
      <c r="F955" s="10" t="n">
        <v>0.08504370347852848</v>
      </c>
      <c r="G955" s="10" t="n">
        <v>0.1110387505304916</v>
      </c>
      <c r="H955" s="10" t="n">
        <v>0.9057944648643782</v>
      </c>
      <c r="I955" s="10" t="n">
        <v>0.795898</v>
      </c>
      <c r="J955" s="5" t="inlineStr">
        <is>
          <t>Cleaner sand</t>
        </is>
      </c>
      <c r="K955" s="11" t="n">
        <v>20.31399638260304</v>
      </c>
      <c r="L955" s="12" t="n">
        <v>1.1</v>
      </c>
      <c r="M955" s="12" t="n">
        <v>7.115975472482718</v>
      </c>
      <c r="N955" s="12" t="n">
        <v>9.476506075536815</v>
      </c>
      <c r="O955" s="12" t="n">
        <v>342.6042215969309</v>
      </c>
      <c r="P955" s="5" t="inlineStr">
        <is>
          <t>Caution</t>
        </is>
      </c>
      <c r="Q955" s="5" t="inlineStr">
        <is>
          <t>Turn Left</t>
        </is>
      </c>
      <c r="R955" s="12" t="n">
        <v>0.78</v>
      </c>
      <c r="S955" s="5" t="inlineStr">
        <is>
          <t>ACCEPTED</t>
        </is>
      </c>
      <c r="T955" s="5" t="inlineStr">
        <is>
          <t>DLS exceeds normal range</t>
        </is>
      </c>
    </row>
    <row r="956" s="17">
      <c r="A956" s="7" t="n">
        <v>8105</v>
      </c>
      <c r="B956" s="8" t="n">
        <v>72148.64045599999</v>
      </c>
      <c r="C956" s="9" t="n">
        <v>72.148640456</v>
      </c>
      <c r="D956" s="9" t="n">
        <v>122.96368644</v>
      </c>
      <c r="E956" s="9" t="n">
        <v>33.81832274</v>
      </c>
      <c r="F956" s="10" t="n">
        <v>0.09945042674956134</v>
      </c>
      <c r="G956" s="10" t="n">
        <v>0.240629814116883</v>
      </c>
      <c r="H956" s="10" t="n">
        <v>0.9229789640456969</v>
      </c>
      <c r="I956" s="10" t="n">
        <v>0.776015</v>
      </c>
      <c r="J956" s="5" t="inlineStr">
        <is>
          <t>Cleaner sand</t>
        </is>
      </c>
      <c r="K956" s="11" t="n">
        <v>21.70329923377508</v>
      </c>
      <c r="L956" s="12" t="n">
        <v>2.464909747095422</v>
      </c>
      <c r="M956" s="12" t="n">
        <v>6.293668307380839</v>
      </c>
      <c r="N956" s="12" t="n">
        <v>8.904418535724345</v>
      </c>
      <c r="O956" s="12" t="n">
        <v>330.6439124957068</v>
      </c>
      <c r="P956" s="5" t="inlineStr">
        <is>
          <t>Caution</t>
        </is>
      </c>
      <c r="Q956" s="5" t="inlineStr">
        <is>
          <t>Turn Left</t>
        </is>
      </c>
      <c r="R956" s="12" t="n">
        <v>0.9</v>
      </c>
      <c r="S956" s="5" t="inlineStr">
        <is>
          <t>ACCEPTED</t>
        </is>
      </c>
      <c r="T956" s="5" t="inlineStr">
        <is>
          <t>DLS exceeds normal range</t>
        </is>
      </c>
    </row>
    <row r="957" s="17">
      <c r="A957" s="7" t="n">
        <v>8110</v>
      </c>
      <c r="B957" s="8" t="n">
        <v>52108.952405</v>
      </c>
      <c r="C957" s="9" t="n">
        <v>52.108952405</v>
      </c>
      <c r="D957" s="9" t="n">
        <v>141.35423323</v>
      </c>
      <c r="E957" s="9" t="n">
        <v>74.44520634</v>
      </c>
      <c r="F957" s="10" t="n">
        <v>0.0427509852458189</v>
      </c>
      <c r="G957" s="10" t="n">
        <v>0.0595184706096477</v>
      </c>
      <c r="H957" s="10" t="n">
        <v>0.9398768371735622</v>
      </c>
      <c r="I957" s="10" t="n">
        <v>0.274422</v>
      </c>
      <c r="J957" s="5" t="inlineStr">
        <is>
          <t>Cleaner sand</t>
        </is>
      </c>
      <c r="K957" s="11" t="n">
        <v>19.21701421447171</v>
      </c>
      <c r="L957" s="12" t="n">
        <v>1.218695840022544</v>
      </c>
      <c r="M957" s="12" t="n">
        <v>6.429499624950747</v>
      </c>
      <c r="N957" s="12" t="n">
        <v>9.886572077589488</v>
      </c>
      <c r="O957" s="12" t="n">
        <v>337.312981866246</v>
      </c>
      <c r="P957" s="5" t="inlineStr">
        <is>
          <t>Caution</t>
        </is>
      </c>
      <c r="Q957" s="5" t="inlineStr">
        <is>
          <t>Turn Left</t>
        </is>
      </c>
      <c r="R957" s="12" t="n">
        <v>0.58</v>
      </c>
      <c r="S957" s="5" t="inlineStr">
        <is>
          <t>REDUCED</t>
        </is>
      </c>
      <c r="T957" s="5" t="inlineStr">
        <is>
          <t>DLS exceeds normal range</t>
        </is>
      </c>
    </row>
    <row r="958" s="17">
      <c r="A958" s="7" t="n">
        <v>8115</v>
      </c>
      <c r="B958" s="8" t="n">
        <v>62241.312501</v>
      </c>
      <c r="C958" s="9" t="n">
        <v>62.241312501</v>
      </c>
      <c r="D958" s="9" t="n">
        <v>139.33545598</v>
      </c>
      <c r="E958" s="9" t="n">
        <v>34.10199108</v>
      </c>
      <c r="F958" s="10" t="n">
        <v>0.1258176504638748</v>
      </c>
      <c r="G958" s="10" t="n">
        <v>0.1775976691911283</v>
      </c>
      <c r="H958" s="10" t="n">
        <v>0.9533008420986504</v>
      </c>
      <c r="I958" s="10" t="n">
        <v>0.597703</v>
      </c>
      <c r="J958" s="5" t="inlineStr">
        <is>
          <t>Cleaner sand</t>
        </is>
      </c>
      <c r="K958" s="11" t="n">
        <v>20.30600388264419</v>
      </c>
      <c r="L958" s="12" t="n">
        <v>1.972812043548108</v>
      </c>
      <c r="M958" s="12" t="n">
        <v>7.949151360197342</v>
      </c>
      <c r="N958" s="12" t="n">
        <v>10.10095763361158</v>
      </c>
      <c r="O958" s="12" t="n">
        <v>317.5416064466628</v>
      </c>
      <c r="P958" s="5" t="inlineStr">
        <is>
          <t>Caution</t>
        </is>
      </c>
      <c r="Q958" s="5" t="inlineStr">
        <is>
          <t>Turn Left</t>
        </is>
      </c>
      <c r="R958" s="12" t="n">
        <v>0.65</v>
      </c>
      <c r="S958" s="5" t="inlineStr">
        <is>
          <t>REDUCED</t>
        </is>
      </c>
      <c r="T958" s="5" t="inlineStr">
        <is>
          <t>DLS exceeds normal range</t>
        </is>
      </c>
    </row>
    <row r="959" s="17">
      <c r="A959" s="7" t="n">
        <v>8120</v>
      </c>
      <c r="B959" s="8" t="n">
        <v>56869.806669</v>
      </c>
      <c r="C959" s="9" t="n">
        <v>56.869806669</v>
      </c>
      <c r="D959" s="9" t="n">
        <v>122.01243136</v>
      </c>
      <c r="E959" s="9" t="n">
        <v>47.01008586</v>
      </c>
      <c r="F959" s="10" t="n">
        <v>0.06023321105564774</v>
      </c>
      <c r="G959" s="10" t="n">
        <v>0.367498585226844</v>
      </c>
      <c r="H959" s="10" t="n">
        <v>0.9150297131077245</v>
      </c>
      <c r="I959" s="10" t="n">
        <v>0.519473</v>
      </c>
      <c r="J959" s="5" t="inlineStr">
        <is>
          <t>Transition</t>
        </is>
      </c>
      <c r="K959" s="11" t="n">
        <v>19.43209566379529</v>
      </c>
      <c r="L959" s="12" t="n">
        <v>1.498976946882997</v>
      </c>
      <c r="M959" s="12" t="n">
        <v>8.149053553431884</v>
      </c>
      <c r="N959" s="12" t="n">
        <v>7.871635675764889</v>
      </c>
      <c r="O959" s="12" t="n">
        <v>325.9833026013659</v>
      </c>
      <c r="P959" s="5" t="inlineStr">
        <is>
          <t>Caution</t>
        </is>
      </c>
      <c r="Q959" s="5" t="inlineStr">
        <is>
          <t>Turn Left</t>
        </is>
      </c>
      <c r="R959" s="12" t="n">
        <v>0.53</v>
      </c>
      <c r="S959" s="5" t="inlineStr">
        <is>
          <t>REDUCED</t>
        </is>
      </c>
      <c r="T959" s="5" t="inlineStr">
        <is>
          <t>DLS exceeds normal range</t>
        </is>
      </c>
    </row>
    <row r="960" s="17">
      <c r="A960" s="7" t="n">
        <v>8125</v>
      </c>
      <c r="B960" s="8" t="n">
        <v>46342.199185</v>
      </c>
      <c r="C960" s="9" t="n">
        <v>46.342199185</v>
      </c>
      <c r="D960" s="9" t="n">
        <v>126.66650264</v>
      </c>
      <c r="E960" s="9" t="n">
        <v>51.70681954000001</v>
      </c>
      <c r="F960" s="10" t="n">
        <v>0.06287817218517418</v>
      </c>
      <c r="G960" s="10" t="n">
        <v>0.1137355612260494</v>
      </c>
      <c r="H960" s="10" t="n">
        <v>0.9677722751184714</v>
      </c>
      <c r="I960" s="10" t="n">
        <v>0.240857</v>
      </c>
      <c r="J960" s="5" t="inlineStr">
        <is>
          <t>Cleaner sand</t>
        </is>
      </c>
      <c r="K960" s="11" t="n">
        <v>17.60885502885447</v>
      </c>
      <c r="L960" s="12" t="n">
        <v>1.955561841230348</v>
      </c>
      <c r="M960" s="12" t="n">
        <v>6.809452566527855</v>
      </c>
      <c r="N960" s="12" t="n">
        <v>8.439632769110421</v>
      </c>
      <c r="O960" s="12" t="n">
        <v>318.0689253447584</v>
      </c>
      <c r="P960" s="5" t="inlineStr">
        <is>
          <t>Caution</t>
        </is>
      </c>
      <c r="Q960" s="5" t="inlineStr">
        <is>
          <t>Turn Left</t>
        </is>
      </c>
      <c r="R960" s="12" t="n">
        <v>0.5</v>
      </c>
      <c r="S960" s="5" t="inlineStr">
        <is>
          <t>REDUCED</t>
        </is>
      </c>
      <c r="T960" s="5" t="inlineStr">
        <is>
          <t>DLS exceeds normal range</t>
        </is>
      </c>
    </row>
    <row r="961" s="17">
      <c r="A961" s="7" t="n">
        <v>8130</v>
      </c>
      <c r="B961" s="8" t="n">
        <v>47391.656457</v>
      </c>
      <c r="C961" s="9" t="n">
        <v>47.391656457</v>
      </c>
      <c r="D961" s="9" t="n">
        <v>142.41119622</v>
      </c>
      <c r="E961" s="9" t="n">
        <v>47.03488922</v>
      </c>
      <c r="F961" s="10" t="n">
        <v>0.1333829283602936</v>
      </c>
      <c r="G961" s="10" t="n">
        <v>0.2438501631047031</v>
      </c>
      <c r="H961" s="10" t="n">
        <v>0.9155569361363194</v>
      </c>
      <c r="I961" s="10" t="n">
        <v>1.119337</v>
      </c>
      <c r="J961" s="5" t="inlineStr">
        <is>
          <t>Cleaner sand</t>
        </is>
      </c>
      <c r="K961" s="11" t="n">
        <v>17.67981419748753</v>
      </c>
      <c r="L961" s="12" t="n">
        <v>1.393384138964046</v>
      </c>
      <c r="M961" s="12" t="n">
        <v>7.036432924934782</v>
      </c>
      <c r="N961" s="12" t="n">
        <v>6.92160503093714</v>
      </c>
      <c r="O961" s="12" t="n">
        <v>329.6767736009356</v>
      </c>
      <c r="P961" s="5" t="inlineStr">
        <is>
          <t>Caution</t>
        </is>
      </c>
      <c r="Q961" s="5" t="inlineStr">
        <is>
          <t>Turn Left</t>
        </is>
      </c>
      <c r="R961" s="12" t="n">
        <v>0.83</v>
      </c>
      <c r="S961" s="5" t="inlineStr">
        <is>
          <t>ACCEPTED</t>
        </is>
      </c>
      <c r="T961" s="5" t="inlineStr">
        <is>
          <t>DLS exceeds normal range</t>
        </is>
      </c>
    </row>
    <row r="962" s="17">
      <c r="A962" s="7" t="n">
        <v>8135</v>
      </c>
      <c r="B962" s="8" t="n">
        <v>51913.194173</v>
      </c>
      <c r="C962" s="9" t="n">
        <v>51.913194173</v>
      </c>
      <c r="D962" s="9" t="n">
        <v>141.43370711</v>
      </c>
      <c r="E962" s="9" t="n">
        <v>67.51690252</v>
      </c>
      <c r="F962" s="10" t="n">
        <v>0.05311531967034441</v>
      </c>
      <c r="G962" s="10" t="n">
        <v>0.07587271346368293</v>
      </c>
      <c r="H962" s="10" t="n">
        <v>0.9124522672872863</v>
      </c>
      <c r="I962" s="10" t="n">
        <v>0.464758</v>
      </c>
      <c r="J962" s="5" t="inlineStr">
        <is>
          <t>Cleaner sand</t>
        </is>
      </c>
      <c r="K962" s="11" t="n">
        <v>18.70643697023895</v>
      </c>
      <c r="L962" s="12" t="n">
        <v>1.580231476024576</v>
      </c>
      <c r="M962" s="12" t="n">
        <v>6.275363184154234</v>
      </c>
      <c r="N962" s="12" t="n">
        <v>4.828645244733218</v>
      </c>
      <c r="O962" s="12" t="n">
        <v>320.2458552874845</v>
      </c>
      <c r="P962" s="5" t="inlineStr">
        <is>
          <t>Caution</t>
        </is>
      </c>
      <c r="Q962" s="5" t="inlineStr">
        <is>
          <t>Build</t>
        </is>
      </c>
      <c r="R962" s="12" t="n">
        <v>0.51</v>
      </c>
      <c r="S962" s="5" t="inlineStr">
        <is>
          <t>REDUCED</t>
        </is>
      </c>
      <c r="T962" s="5" t="inlineStr">
        <is>
          <t>DLS exceeds normal range</t>
        </is>
      </c>
    </row>
    <row r="963" s="17">
      <c r="A963" s="7" t="n">
        <v>8140</v>
      </c>
      <c r="B963" s="8" t="n">
        <v>45131.983174</v>
      </c>
      <c r="C963" s="9" t="n">
        <v>45.131983174</v>
      </c>
      <c r="D963" s="9" t="n">
        <v>142.86302121</v>
      </c>
      <c r="E963" s="9" t="n">
        <v>48.67297616</v>
      </c>
      <c r="F963" s="10" t="n">
        <v>0.03225516399173579</v>
      </c>
      <c r="G963" s="10" t="n">
        <v>0.07856774859020475</v>
      </c>
      <c r="H963" s="10" t="n">
        <v>0.9722465915824315</v>
      </c>
      <c r="I963" s="10" t="n">
        <v>0.136856</v>
      </c>
      <c r="J963" s="5" t="inlineStr">
        <is>
          <t>Cleaner sand</t>
        </is>
      </c>
      <c r="K963" s="11" t="n">
        <v>18.14565538108847</v>
      </c>
      <c r="L963" s="12" t="n">
        <v>1.680050395943903</v>
      </c>
      <c r="M963" s="12" t="n">
        <v>7.936418301132155</v>
      </c>
      <c r="N963" s="12" t="n">
        <v>8.115268801114667</v>
      </c>
      <c r="O963" s="12" t="n">
        <v>324.3934122980444</v>
      </c>
      <c r="P963" s="5" t="inlineStr">
        <is>
          <t>Caution</t>
        </is>
      </c>
      <c r="Q963" s="5" t="inlineStr">
        <is>
          <t>Turn Left</t>
        </is>
      </c>
      <c r="R963" s="12" t="n">
        <v>0.84</v>
      </c>
      <c r="S963" s="5" t="inlineStr">
        <is>
          <t>ACCEPTED</t>
        </is>
      </c>
      <c r="T963" s="5" t="inlineStr">
        <is>
          <t>DLS exceeds normal range</t>
        </is>
      </c>
    </row>
    <row r="964" s="17">
      <c r="A964" s="7" t="n">
        <v>8145</v>
      </c>
      <c r="B964" s="8" t="n">
        <v>52989.009412</v>
      </c>
      <c r="C964" s="9" t="n">
        <v>52.989009412</v>
      </c>
      <c r="D964" s="9" t="n">
        <v>153.48227789</v>
      </c>
      <c r="E964" s="9" t="n">
        <v>40.9525753</v>
      </c>
      <c r="F964" s="10" t="n">
        <v>0.1135945475871356</v>
      </c>
      <c r="G964" s="10" t="n">
        <v>0.2431774873787123</v>
      </c>
      <c r="H964" s="10" t="n">
        <v>0.8989050508935738</v>
      </c>
      <c r="I964" s="10" t="n">
        <v>1.188946</v>
      </c>
      <c r="J964" s="5" t="inlineStr">
        <is>
          <t>Cleaner sand</t>
        </is>
      </c>
      <c r="K964" s="11" t="n">
        <v>18.45810106909374</v>
      </c>
      <c r="L964" s="12" t="n">
        <v>1.168928146667078</v>
      </c>
      <c r="M964" s="12" t="n">
        <v>7.529438664350631</v>
      </c>
      <c r="N964" s="12" t="n">
        <v>8.424794956210619</v>
      </c>
      <c r="O964" s="12" t="n">
        <v>325.7764784868955</v>
      </c>
      <c r="P964" s="5" t="inlineStr">
        <is>
          <t>Caution</t>
        </is>
      </c>
      <c r="Q964" s="5" t="inlineStr">
        <is>
          <t>Turn Left</t>
        </is>
      </c>
      <c r="R964" s="12" t="n">
        <v>0.64</v>
      </c>
      <c r="S964" s="5" t="inlineStr">
        <is>
          <t>REDUCED</t>
        </is>
      </c>
      <c r="T964" s="5" t="inlineStr">
        <is>
          <t>DLS exceeds normal range</t>
        </is>
      </c>
    </row>
    <row r="965" s="17">
      <c r="A965" s="7" t="n">
        <v>8150</v>
      </c>
      <c r="B965" s="8" t="n">
        <v>66808.562219</v>
      </c>
      <c r="C965" s="9" t="n">
        <v>66.808562219</v>
      </c>
      <c r="D965" s="9" t="n">
        <v>118.10709883</v>
      </c>
      <c r="E965" s="9" t="n">
        <v>48.40437286</v>
      </c>
      <c r="F965" s="10" t="n">
        <v>0.1000301487140985</v>
      </c>
      <c r="G965" s="10" t="n">
        <v>0.3416468154136357</v>
      </c>
      <c r="H965" s="10" t="n">
        <v>0.8858729703392277</v>
      </c>
      <c r="I965" s="10" t="n">
        <v>1.158289</v>
      </c>
      <c r="J965" s="5" t="inlineStr">
        <is>
          <t>Transition</t>
        </is>
      </c>
      <c r="K965" s="11" t="n">
        <v>21.51229829253374</v>
      </c>
      <c r="L965" s="12" t="n">
        <v>2.023003929255862</v>
      </c>
      <c r="M965" s="12" t="n">
        <v>8.548705848380489</v>
      </c>
      <c r="N965" s="12" t="n">
        <v>7.752451557695091</v>
      </c>
      <c r="O965" s="12" t="n">
        <v>319.0748808064728</v>
      </c>
      <c r="P965" s="5" t="inlineStr">
        <is>
          <t>Caution</t>
        </is>
      </c>
      <c r="Q965" s="5" t="inlineStr">
        <is>
          <t>Turn Left</t>
        </is>
      </c>
      <c r="R965" s="12" t="n">
        <v>0.95</v>
      </c>
      <c r="S965" s="5" t="inlineStr">
        <is>
          <t>ACCEPTED</t>
        </is>
      </c>
      <c r="T965" s="5" t="inlineStr">
        <is>
          <t>DLS exceeds normal range</t>
        </is>
      </c>
    </row>
    <row r="966" s="17">
      <c r="A966" s="7" t="n">
        <v>8155</v>
      </c>
      <c r="B966" s="8" t="n">
        <v>44630.344444</v>
      </c>
      <c r="C966" s="9" t="n">
        <v>44.630344444</v>
      </c>
      <c r="D966" s="9" t="n">
        <v>134.88200912</v>
      </c>
      <c r="E966" s="9" t="n">
        <v>59.2558117</v>
      </c>
      <c r="F966" s="10" t="n">
        <v>0.03709304849763098</v>
      </c>
      <c r="G966" s="10" t="n">
        <v>0.05645088140426914</v>
      </c>
      <c r="H966" s="10" t="n">
        <v>1</v>
      </c>
      <c r="I966" s="10" t="n">
        <v>0.006726</v>
      </c>
      <c r="J966" s="5" t="inlineStr">
        <is>
          <t>Cleaner sand</t>
        </is>
      </c>
      <c r="K966" s="11" t="n">
        <v>16.63450494532175</v>
      </c>
      <c r="L966" s="12" t="n">
        <v>1.408525352428923</v>
      </c>
      <c r="M966" s="12" t="n">
        <v>6.2914345358946</v>
      </c>
      <c r="N966" s="12" t="n">
        <v>4.65588118560445</v>
      </c>
      <c r="O966" s="12" t="n">
        <v>312.0099169666071</v>
      </c>
      <c r="P966" s="5" t="inlineStr">
        <is>
          <t>Caution</t>
        </is>
      </c>
      <c r="Q966" s="5" t="inlineStr">
        <is>
          <t>Build</t>
        </is>
      </c>
      <c r="R966" s="12" t="n">
        <v>0.51</v>
      </c>
      <c r="S966" s="5" t="inlineStr">
        <is>
          <t>REDUCED</t>
        </is>
      </c>
      <c r="T966" s="5" t="inlineStr">
        <is>
          <t>DLS exceeds normal range</t>
        </is>
      </c>
    </row>
    <row r="967" s="17">
      <c r="A967" s="7" t="n">
        <v>8160</v>
      </c>
      <c r="B967" s="8" t="n">
        <v>44154.677464</v>
      </c>
      <c r="C967" s="9" t="n">
        <v>44.154677464</v>
      </c>
      <c r="D967" s="9" t="n">
        <v>133.17028135</v>
      </c>
      <c r="E967" s="9" t="n">
        <v>50.20580216</v>
      </c>
      <c r="F967" s="10" t="n">
        <v>0.1269275468862069</v>
      </c>
      <c r="G967" s="10" t="n">
        <v>0.3402090280963494</v>
      </c>
      <c r="H967" s="10" t="n">
        <v>0.9011713615052723</v>
      </c>
      <c r="I967" s="10" t="n">
        <v>1.235483</v>
      </c>
      <c r="J967" s="5" t="inlineStr">
        <is>
          <t>Transition</t>
        </is>
      </c>
      <c r="K967" s="11" t="n">
        <v>18.07687241022533</v>
      </c>
      <c r="L967" s="12" t="n">
        <v>1.547986041483391</v>
      </c>
      <c r="M967" s="12" t="n">
        <v>6.689782290406751</v>
      </c>
      <c r="N967" s="12" t="n">
        <v>6.51275387238846</v>
      </c>
      <c r="O967" s="12" t="n">
        <v>296.2858703178792</v>
      </c>
      <c r="P967" s="5" t="inlineStr">
        <is>
          <t>Caution</t>
        </is>
      </c>
      <c r="Q967" s="5" t="inlineStr">
        <is>
          <t>Build</t>
        </is>
      </c>
      <c r="R967" s="12" t="n">
        <v>0.45</v>
      </c>
      <c r="S967" s="5" t="inlineStr">
        <is>
          <t>REJECTED</t>
        </is>
      </c>
      <c r="T967" s="5" t="inlineStr">
        <is>
          <t>DLS exceeds normal range</t>
        </is>
      </c>
    </row>
    <row r="968" s="17">
      <c r="A968" s="7" t="n">
        <v>8165</v>
      </c>
      <c r="B968" s="8" t="n">
        <v>59081.097061</v>
      </c>
      <c r="C968" s="9" t="n">
        <v>59.081097061</v>
      </c>
      <c r="D968" s="9" t="n">
        <v>150.28865185</v>
      </c>
      <c r="E968" s="9" t="n">
        <v>37.94279072</v>
      </c>
      <c r="F968" s="10" t="n">
        <v>0.05748715675155773</v>
      </c>
      <c r="G968" s="10" t="n">
        <v>0.3402973717789677</v>
      </c>
      <c r="H968" s="10" t="n">
        <v>0.8915601213769763</v>
      </c>
      <c r="I968" s="10" t="n">
        <v>0.654069</v>
      </c>
      <c r="J968" s="5" t="inlineStr">
        <is>
          <t>Transition</t>
        </is>
      </c>
      <c r="K968" s="11" t="n">
        <v>18.70565426906867</v>
      </c>
      <c r="L968" s="12" t="n">
        <v>1.172768806441829</v>
      </c>
      <c r="M968" s="12" t="n">
        <v>7.175175599762982</v>
      </c>
      <c r="N968" s="12" t="n">
        <v>3.863552756224251</v>
      </c>
      <c r="O968" s="12" t="n">
        <v>303.107507009879</v>
      </c>
      <c r="P968" s="5" t="inlineStr">
        <is>
          <t>Caution</t>
        </is>
      </c>
      <c r="Q968" s="5" t="inlineStr">
        <is>
          <t>Build</t>
        </is>
      </c>
      <c r="R968" s="12" t="n">
        <v>0.44</v>
      </c>
      <c r="S968" s="5" t="inlineStr">
        <is>
          <t>REJECTED</t>
        </is>
      </c>
      <c r="T968" s="5" t="inlineStr">
        <is>
          <t>DLS exceeds normal range</t>
        </is>
      </c>
    </row>
    <row r="969" s="17">
      <c r="A969" s="7" t="n">
        <v>8170</v>
      </c>
      <c r="B969" s="8" t="n">
        <v>35462.998093</v>
      </c>
      <c r="C969" s="9" t="n">
        <v>35.462998093</v>
      </c>
      <c r="D969" s="9" t="n">
        <v>135.49828685</v>
      </c>
      <c r="E969" s="9" t="n">
        <v>76.84619422</v>
      </c>
      <c r="F969" s="10" t="n">
        <v>0.04946077417254895</v>
      </c>
      <c r="G969" s="10" t="n">
        <v>0.184861789119974</v>
      </c>
      <c r="H969" s="10" t="n">
        <v>0.9303972098889953</v>
      </c>
      <c r="I969" s="10" t="n">
        <v>0.377105</v>
      </c>
      <c r="J969" s="5" t="inlineStr">
        <is>
          <t>Cleaner sand</t>
        </is>
      </c>
      <c r="K969" s="11" t="n">
        <v>16.83910781711625</v>
      </c>
      <c r="L969" s="12" t="n">
        <v>1.1</v>
      </c>
      <c r="M969" s="12" t="n">
        <v>7.504775528405252</v>
      </c>
      <c r="N969" s="12" t="n">
        <v>8.306562997043876</v>
      </c>
      <c r="O969" s="12" t="n">
        <v>294.5592064551812</v>
      </c>
      <c r="P969" s="5" t="inlineStr">
        <is>
          <t>Caution</t>
        </is>
      </c>
      <c r="Q969" s="5" t="inlineStr">
        <is>
          <t>Build</t>
        </is>
      </c>
      <c r="R969" s="12" t="n">
        <v>0.86</v>
      </c>
      <c r="S969" s="5" t="inlineStr">
        <is>
          <t>ACCEPTED</t>
        </is>
      </c>
      <c r="T969" s="5" t="inlineStr">
        <is>
          <t>DLS exceeds normal range</t>
        </is>
      </c>
    </row>
    <row r="970" s="17">
      <c r="A970" s="7" t="n">
        <v>8175</v>
      </c>
      <c r="B970" s="8" t="n">
        <v>64437.013378</v>
      </c>
      <c r="C970" s="9" t="n">
        <v>64.437013378</v>
      </c>
      <c r="D970" s="9" t="n">
        <v>130.09840689</v>
      </c>
      <c r="E970" s="9" t="n">
        <v>33.19652248</v>
      </c>
      <c r="F970" s="10" t="n">
        <v>0.1107846118555884</v>
      </c>
      <c r="G970" s="10" t="n">
        <v>0.2857047727777023</v>
      </c>
      <c r="H970" s="10" t="n">
        <v>0.9289828351983364</v>
      </c>
      <c r="I970" s="10" t="n">
        <v>0.801574</v>
      </c>
      <c r="J970" s="5" t="inlineStr">
        <is>
          <t>Transition</t>
        </is>
      </c>
      <c r="K970" s="11" t="n">
        <v>20.3269574631469</v>
      </c>
      <c r="L970" s="12" t="n">
        <v>1.566396396325917</v>
      </c>
      <c r="M970" s="12" t="n">
        <v>6.812349770881017</v>
      </c>
      <c r="N970" s="12" t="n">
        <v>4.892627313142674</v>
      </c>
      <c r="O970" s="12" t="n">
        <v>293.1011652846022</v>
      </c>
      <c r="P970" s="5" t="inlineStr">
        <is>
          <t>Caution</t>
        </is>
      </c>
      <c r="Q970" s="5" t="inlineStr">
        <is>
          <t>Build</t>
        </is>
      </c>
      <c r="R970" s="12" t="n">
        <v>0.64</v>
      </c>
      <c r="S970" s="5" t="inlineStr">
        <is>
          <t>REDUCED</t>
        </is>
      </c>
      <c r="T970" s="5" t="inlineStr">
        <is>
          <t>DLS exceeds normal range</t>
        </is>
      </c>
    </row>
    <row r="971" s="17">
      <c r="A971" s="7" t="n">
        <v>8180</v>
      </c>
      <c r="B971" s="8" t="n">
        <v>71770.67243200001</v>
      </c>
      <c r="C971" s="9" t="n">
        <v>71.77067243200001</v>
      </c>
      <c r="D971" s="9" t="n">
        <v>149.29278321</v>
      </c>
      <c r="E971" s="9" t="n">
        <v>35.94964706</v>
      </c>
      <c r="F971" s="10" t="n">
        <v>0.09519392135253901</v>
      </c>
      <c r="G971" s="10" t="n">
        <v>0.3154444840043624</v>
      </c>
      <c r="H971" s="10" t="n">
        <v>0.9706824848935593</v>
      </c>
      <c r="I971" s="10" t="n">
        <v>0.283933</v>
      </c>
      <c r="J971" s="5" t="inlineStr">
        <is>
          <t>Transition</t>
        </is>
      </c>
      <c r="K971" s="11" t="n">
        <v>20.28515881615226</v>
      </c>
      <c r="L971" s="12" t="n">
        <v>2.842181556590329</v>
      </c>
      <c r="M971" s="12" t="n">
        <v>6.28355011693256</v>
      </c>
      <c r="N971" s="12" t="n">
        <v>7.715069674996831</v>
      </c>
      <c r="O971" s="12" t="n">
        <v>289.3549989625721</v>
      </c>
      <c r="P971" s="5" t="inlineStr">
        <is>
          <t>Caution</t>
        </is>
      </c>
      <c r="Q971" s="5" t="inlineStr">
        <is>
          <t>Build</t>
        </is>
      </c>
      <c r="R971" s="12" t="n">
        <v>0.4</v>
      </c>
      <c r="S971" s="5" t="inlineStr">
        <is>
          <t>REJECTED</t>
        </is>
      </c>
      <c r="T971" s="5" t="inlineStr">
        <is>
          <t>High vibration detected</t>
        </is>
      </c>
    </row>
    <row r="972" s="17">
      <c r="A972" s="7" t="n">
        <v>8185</v>
      </c>
      <c r="B972" s="8" t="n">
        <v>46018.073762</v>
      </c>
      <c r="C972" s="9" t="n">
        <v>46.018073762</v>
      </c>
      <c r="D972" s="9" t="n">
        <v>132.09679659</v>
      </c>
      <c r="E972" s="9" t="n">
        <v>65.91721290000001</v>
      </c>
      <c r="F972" s="10" t="n">
        <v>0.05336292695196181</v>
      </c>
      <c r="G972" s="10" t="n">
        <v>0.05363054580997588</v>
      </c>
      <c r="H972" s="10" t="n">
        <v>0.9402225876599068</v>
      </c>
      <c r="I972" s="10" t="n">
        <v>0.335242</v>
      </c>
      <c r="J972" s="5" t="inlineStr">
        <is>
          <t>Cleaner sand</t>
        </is>
      </c>
      <c r="K972" s="11" t="n">
        <v>17.10757848840917</v>
      </c>
      <c r="L972" s="12" t="n">
        <v>2.044456101070032</v>
      </c>
      <c r="M972" s="12" t="n">
        <v>7.68381544356835</v>
      </c>
      <c r="N972" s="12" t="n">
        <v>7.316135727100799</v>
      </c>
      <c r="O972" s="12" t="n">
        <v>279.7766259519237</v>
      </c>
      <c r="P972" s="5" t="inlineStr">
        <is>
          <t>Caution</t>
        </is>
      </c>
      <c r="Q972" s="5" t="inlineStr">
        <is>
          <t>Build</t>
        </is>
      </c>
      <c r="R972" s="12" t="n">
        <v>0.88</v>
      </c>
      <c r="S972" s="5" t="inlineStr">
        <is>
          <t>ACCEPTED</t>
        </is>
      </c>
      <c r="T972" s="5" t="inlineStr">
        <is>
          <t>DLS exceeds normal range</t>
        </is>
      </c>
    </row>
    <row r="973" s="17">
      <c r="A973" s="7" t="n">
        <v>8190</v>
      </c>
      <c r="B973" s="8" t="n">
        <v>68896.477397</v>
      </c>
      <c r="C973" s="9" t="n">
        <v>68.896477397</v>
      </c>
      <c r="D973" s="9" t="n">
        <v>141.11100327</v>
      </c>
      <c r="E973" s="9" t="n">
        <v>40.75742596</v>
      </c>
      <c r="F973" s="10" t="n">
        <v>0.09001348348340243</v>
      </c>
      <c r="G973" s="10" t="n">
        <v>0.1185340698716142</v>
      </c>
      <c r="H973" s="10" t="n">
        <v>0.9314198663331336</v>
      </c>
      <c r="I973" s="10" t="n">
        <v>0.6485</v>
      </c>
      <c r="J973" s="5" t="inlineStr">
        <is>
          <t>Cleaner sand</t>
        </is>
      </c>
      <c r="K973" s="11" t="n">
        <v>20.50625563387644</v>
      </c>
      <c r="L973" s="12" t="n">
        <v>1.650562413930146</v>
      </c>
      <c r="M973" s="12" t="n">
        <v>7.552103679026208</v>
      </c>
      <c r="N973" s="12" t="n">
        <v>5.054146036512811</v>
      </c>
      <c r="O973" s="12" t="n">
        <v>266.4054521424575</v>
      </c>
      <c r="P973" s="5" t="inlineStr">
        <is>
          <t>Caution</t>
        </is>
      </c>
      <c r="Q973" s="5" t="inlineStr">
        <is>
          <t>Build</t>
        </is>
      </c>
      <c r="R973" s="12" t="n">
        <v>0.88</v>
      </c>
      <c r="S973" s="5" t="inlineStr">
        <is>
          <t>ACCEPTED</t>
        </is>
      </c>
      <c r="T973" s="5" t="inlineStr">
        <is>
          <t>DLS exceeds normal range</t>
        </is>
      </c>
    </row>
    <row r="974" s="17">
      <c r="A974" s="7" t="n">
        <v>8195</v>
      </c>
      <c r="B974" s="8" t="n">
        <v>62856.775024</v>
      </c>
      <c r="C974" s="9" t="n">
        <v>62.856775024</v>
      </c>
      <c r="D974" s="9" t="n">
        <v>106.88344179</v>
      </c>
      <c r="E974" s="9" t="n">
        <v>32.39174168</v>
      </c>
      <c r="F974" s="10" t="n">
        <v>0.06220631573762253</v>
      </c>
      <c r="G974" s="10" t="n">
        <v>0.1873445788529016</v>
      </c>
      <c r="H974" s="10" t="n">
        <v>0.9560982272918528</v>
      </c>
      <c r="I974" s="10" t="n">
        <v>0.270259</v>
      </c>
      <c r="J974" s="5" t="inlineStr">
        <is>
          <t>Cleaner sand</t>
        </is>
      </c>
      <c r="K974" s="11" t="n">
        <v>20.91711895379288</v>
      </c>
      <c r="L974" s="12" t="n">
        <v>1.531183493687949</v>
      </c>
      <c r="M974" s="12" t="n">
        <v>6.23841784677276</v>
      </c>
      <c r="N974" s="12" t="n">
        <v>4.890701362659885</v>
      </c>
      <c r="O974" s="12" t="n">
        <v>275.638402861667</v>
      </c>
      <c r="P974" s="5" t="inlineStr">
        <is>
          <t>Caution</t>
        </is>
      </c>
      <c r="Q974" s="5" t="inlineStr">
        <is>
          <t>Build</t>
        </is>
      </c>
      <c r="R974" s="12" t="n">
        <v>0.84</v>
      </c>
      <c r="S974" s="5" t="inlineStr">
        <is>
          <t>ACCEPTED</t>
        </is>
      </c>
      <c r="T974" s="5" t="inlineStr">
        <is>
          <t>DLS exceeds normal range</t>
        </is>
      </c>
    </row>
    <row r="975" s="17">
      <c r="A975" s="7" t="n">
        <v>8200</v>
      </c>
      <c r="B975" s="8" t="n">
        <v>40914.010787</v>
      </c>
      <c r="C975" s="9" t="n">
        <v>40.914010787</v>
      </c>
      <c r="D975" s="9" t="n">
        <v>140.35577602</v>
      </c>
      <c r="E975" s="9" t="n">
        <v>50.6027207</v>
      </c>
      <c r="F975" s="10" t="n">
        <v>0.05745990287350701</v>
      </c>
      <c r="G975" s="10" t="n">
        <v>0.153515704599124</v>
      </c>
      <c r="H975" s="10" t="n">
        <v>0.961502614569971</v>
      </c>
      <c r="I975" s="10" t="n">
        <v>0.247276</v>
      </c>
      <c r="J975" s="5" t="inlineStr">
        <is>
          <t>Cleaner sand</t>
        </is>
      </c>
      <c r="K975" s="11" t="n">
        <v>15.38810252793826</v>
      </c>
      <c r="L975" s="12" t="n">
        <v>1.671008287477903</v>
      </c>
      <c r="M975" s="12" t="n">
        <v>8.051769125826679</v>
      </c>
      <c r="N975" s="12" t="n">
        <v>6.957211385108475</v>
      </c>
      <c r="O975" s="12" t="n">
        <v>280.5434690270972</v>
      </c>
      <c r="P975" s="5" t="inlineStr">
        <is>
          <t>Caution</t>
        </is>
      </c>
      <c r="Q975" s="5" t="inlineStr">
        <is>
          <t>Build</t>
        </is>
      </c>
      <c r="R975" s="12" t="n">
        <v>0.54</v>
      </c>
      <c r="S975" s="5" t="inlineStr">
        <is>
          <t>REDUCED</t>
        </is>
      </c>
      <c r="T975" s="5" t="inlineStr">
        <is>
          <t>DLS exceeds normal range</t>
        </is>
      </c>
    </row>
    <row r="976" s="17">
      <c r="A976" s="7" t="n">
        <v>8205</v>
      </c>
      <c r="B976" s="8" t="n">
        <v>44800.16617</v>
      </c>
      <c r="C976" s="9" t="n">
        <v>44.80016617</v>
      </c>
      <c r="D976" s="9" t="n">
        <v>144.5431534</v>
      </c>
      <c r="E976" s="9" t="n">
        <v>43.42189214</v>
      </c>
      <c r="F976" s="10" t="n">
        <v>0.08791431381808215</v>
      </c>
      <c r="G976" s="10" t="n">
        <v>0.2317692073784401</v>
      </c>
      <c r="H976" s="10" t="n">
        <v>0.9023644835978328</v>
      </c>
      <c r="I976" s="10" t="n">
        <v>0.859208</v>
      </c>
      <c r="J976" s="5" t="inlineStr">
        <is>
          <t>Cleaner sand</t>
        </is>
      </c>
      <c r="K976" s="11" t="n">
        <v>16.30929109452627</v>
      </c>
      <c r="L976" s="12" t="n">
        <v>1.928088366435853</v>
      </c>
      <c r="M976" s="12" t="n">
        <v>7.899287896860174</v>
      </c>
      <c r="N976" s="12" t="n">
        <v>5.542517159966506</v>
      </c>
      <c r="O976" s="12" t="n">
        <v>261.3775490267631</v>
      </c>
      <c r="P976" s="5" t="inlineStr">
        <is>
          <t>Caution</t>
        </is>
      </c>
      <c r="Q976" s="5" t="inlineStr">
        <is>
          <t>Build</t>
        </is>
      </c>
      <c r="R976" s="12" t="n">
        <v>0.61</v>
      </c>
      <c r="S976" s="5" t="inlineStr">
        <is>
          <t>REDUCED</t>
        </is>
      </c>
      <c r="T976" s="5" t="inlineStr">
        <is>
          <t>DLS exceeds normal range</t>
        </is>
      </c>
    </row>
    <row r="977" s="17">
      <c r="A977" s="7" t="n">
        <v>8210</v>
      </c>
      <c r="B977" s="8" t="n">
        <v>73804.84447700001</v>
      </c>
      <c r="C977" s="9" t="n">
        <v>73.804844477</v>
      </c>
      <c r="D977" s="9" t="n">
        <v>165.91635436</v>
      </c>
      <c r="E977" s="9" t="n">
        <v>39.12574732</v>
      </c>
      <c r="F977" s="10" t="n">
        <v>0.1016031166276875</v>
      </c>
      <c r="G977" s="10" t="n">
        <v>0.3773115171285104</v>
      </c>
      <c r="H977" s="10" t="n">
        <v>0.8864759886209066</v>
      </c>
      <c r="I977" s="10" t="n">
        <v>1.18149</v>
      </c>
      <c r="J977" s="5" t="inlineStr">
        <is>
          <t>Transition</t>
        </is>
      </c>
      <c r="K977" s="11" t="n">
        <v>20.20052141927381</v>
      </c>
      <c r="L977" s="12" t="n">
        <v>1.1</v>
      </c>
      <c r="M977" s="12" t="n">
        <v>7.066016743590277</v>
      </c>
      <c r="N977" s="12" t="n">
        <v>6.911776747608431</v>
      </c>
      <c r="O977" s="12" t="n">
        <v>271.2366673072073</v>
      </c>
      <c r="P977" s="5" t="inlineStr">
        <is>
          <t>Caution</t>
        </is>
      </c>
      <c r="Q977" s="5" t="inlineStr">
        <is>
          <t>Build</t>
        </is>
      </c>
      <c r="R977" s="12" t="n">
        <v>0.8100000000000001</v>
      </c>
      <c r="S977" s="5" t="inlineStr">
        <is>
          <t>ACCEPTED</t>
        </is>
      </c>
      <c r="T977" s="5" t="inlineStr">
        <is>
          <t>DLS exceeds normal range</t>
        </is>
      </c>
    </row>
    <row r="978" s="17">
      <c r="A978" s="7" t="n">
        <v>8215</v>
      </c>
      <c r="B978" s="8" t="n">
        <v>35400.500325</v>
      </c>
      <c r="C978" s="9" t="n">
        <v>35.400500325</v>
      </c>
      <c r="D978" s="9" t="n">
        <v>125.00231167</v>
      </c>
      <c r="E978" s="9" t="n">
        <v>57.71421498</v>
      </c>
      <c r="F978" s="10" t="n">
        <v>0.04583168951127464</v>
      </c>
      <c r="G978" s="10" t="n">
        <v>0.2065882024348022</v>
      </c>
      <c r="H978" s="10" t="n">
        <v>0.9327296351374862</v>
      </c>
      <c r="I978" s="10" t="n">
        <v>0.318933</v>
      </c>
      <c r="J978" s="5" t="inlineStr">
        <is>
          <t>Cleaner sand</t>
        </is>
      </c>
      <c r="K978" s="11" t="n">
        <v>14.57436637378701</v>
      </c>
      <c r="L978" s="12" t="n">
        <v>2.206017630387747</v>
      </c>
      <c r="M978" s="12" t="n">
        <v>7.017445326107056</v>
      </c>
      <c r="N978" s="12" t="n">
        <v>6.289279149252049</v>
      </c>
      <c r="O978" s="12" t="n">
        <v>286.2850978178364</v>
      </c>
      <c r="P978" s="5" t="inlineStr">
        <is>
          <t>Caution</t>
        </is>
      </c>
      <c r="Q978" s="5" t="inlineStr">
        <is>
          <t>Build</t>
        </is>
      </c>
      <c r="R978" s="12" t="n">
        <v>0.67</v>
      </c>
      <c r="S978" s="5" t="inlineStr">
        <is>
          <t>REDUCED</t>
        </is>
      </c>
      <c r="T978" s="5" t="inlineStr">
        <is>
          <t>DLS exceeds normal range</t>
        </is>
      </c>
    </row>
    <row r="979" s="17">
      <c r="A979" s="7" t="n">
        <v>8220</v>
      </c>
      <c r="B979" s="8" t="n">
        <v>57017.226114</v>
      </c>
      <c r="C979" s="9" t="n">
        <v>57.017226114</v>
      </c>
      <c r="D979" s="9" t="n">
        <v>126.56402532</v>
      </c>
      <c r="E979" s="9" t="n">
        <v>30</v>
      </c>
      <c r="F979" s="10" t="n">
        <v>0.1066819093176943</v>
      </c>
      <c r="G979" s="10" t="n">
        <v>0.2949450182488946</v>
      </c>
      <c r="H979" s="10" t="n">
        <v>0.9107654179042891</v>
      </c>
      <c r="I979" s="10" t="n">
        <v>0.9863229999999999</v>
      </c>
      <c r="J979" s="5" t="inlineStr">
        <is>
          <t>Transition</t>
        </is>
      </c>
      <c r="K979" s="11" t="n">
        <v>16.57857674217642</v>
      </c>
      <c r="L979" s="12" t="n">
        <v>2.01053684456621</v>
      </c>
      <c r="M979" s="12" t="n">
        <v>7.391937937524584</v>
      </c>
      <c r="N979" s="12" t="n">
        <v>4.739857382993982</v>
      </c>
      <c r="O979" s="12" t="n">
        <v>273.7088066482976</v>
      </c>
      <c r="P979" s="5" t="inlineStr">
        <is>
          <t>Caution</t>
        </is>
      </c>
      <c r="Q979" s="5" t="inlineStr">
        <is>
          <t>Build</t>
        </is>
      </c>
      <c r="R979" s="12" t="n">
        <v>0.48</v>
      </c>
      <c r="S979" s="5" t="inlineStr">
        <is>
          <t>REJECTED</t>
        </is>
      </c>
      <c r="T979" s="5" t="inlineStr">
        <is>
          <t>DLS exceeds normal range</t>
        </is>
      </c>
    </row>
    <row r="980" s="17">
      <c r="A980" s="7" t="n">
        <v>8225</v>
      </c>
      <c r="B980" s="8" t="n">
        <v>71006.415679</v>
      </c>
      <c r="C980" s="9" t="n">
        <v>71.006415679</v>
      </c>
      <c r="D980" s="9" t="n">
        <v>166.8905036</v>
      </c>
      <c r="E980" s="9" t="n">
        <v>34.21541348</v>
      </c>
      <c r="F980" s="10" t="n">
        <v>0.1083231059690922</v>
      </c>
      <c r="G980" s="10" t="n">
        <v>0.2888060807343578</v>
      </c>
      <c r="H980" s="10" t="n">
        <v>0.871361765584562</v>
      </c>
      <c r="I980" s="10" t="n">
        <v>1.436534</v>
      </c>
      <c r="J980" s="5" t="inlineStr">
        <is>
          <t>Transition</t>
        </is>
      </c>
      <c r="K980" s="11" t="n">
        <v>19.99146774938919</v>
      </c>
      <c r="L980" s="12" t="n">
        <v>2.011911005596888</v>
      </c>
      <c r="M980" s="12" t="n">
        <v>6.253991480218989</v>
      </c>
      <c r="N980" s="12" t="n">
        <v>4.294163201435789</v>
      </c>
      <c r="O980" s="12" t="n">
        <v>276.1139782247486</v>
      </c>
      <c r="P980" s="5" t="inlineStr">
        <is>
          <t>Caution</t>
        </is>
      </c>
      <c r="Q980" s="5" t="inlineStr">
        <is>
          <t>Build</t>
        </is>
      </c>
      <c r="R980" s="12" t="n">
        <v>0.53</v>
      </c>
      <c r="S980" s="5" t="inlineStr">
        <is>
          <t>REDUCED</t>
        </is>
      </c>
      <c r="T980" s="5" t="inlineStr">
        <is>
          <t>DLS exceeds normal range</t>
        </is>
      </c>
    </row>
    <row r="981" s="17">
      <c r="A981" s="7" t="n">
        <v>8230</v>
      </c>
      <c r="B981" s="8" t="n">
        <v>39334.059313</v>
      </c>
      <c r="C981" s="9" t="n">
        <v>39.334059313</v>
      </c>
      <c r="D981" s="9" t="n">
        <v>134.44129654</v>
      </c>
      <c r="E981" s="9" t="n">
        <v>56.57590164</v>
      </c>
      <c r="F981" s="10" t="n">
        <v>0.05657526279597594</v>
      </c>
      <c r="G981" s="10" t="n">
        <v>0.1287830845735148</v>
      </c>
      <c r="H981" s="10" t="n">
        <v>0.9512043202180397</v>
      </c>
      <c r="I981" s="10" t="n">
        <v>0.325087</v>
      </c>
      <c r="J981" s="5" t="inlineStr">
        <is>
          <t>Cleaner sand</t>
        </is>
      </c>
      <c r="K981" s="11" t="n">
        <v>16.5105539178342</v>
      </c>
      <c r="L981" s="12" t="n">
        <v>1.874853112016766</v>
      </c>
      <c r="M981" s="12" t="n">
        <v>6.961779221715197</v>
      </c>
      <c r="N981" s="12" t="n">
        <v>7.626869453838825</v>
      </c>
      <c r="O981" s="12" t="n">
        <v>259.8058808107074</v>
      </c>
      <c r="P981" s="5" t="inlineStr">
        <is>
          <t>Caution</t>
        </is>
      </c>
      <c r="Q981" s="5" t="inlineStr">
        <is>
          <t>Build</t>
        </is>
      </c>
      <c r="R981" s="12" t="n">
        <v>0.93</v>
      </c>
      <c r="S981" s="5" t="inlineStr">
        <is>
          <t>ACCEPTED</t>
        </is>
      </c>
      <c r="T981" s="5" t="inlineStr">
        <is>
          <t>DLS exceeds normal range</t>
        </is>
      </c>
    </row>
    <row r="982" s="17">
      <c r="A982" s="7" t="n">
        <v>8235</v>
      </c>
      <c r="B982" s="8" t="n">
        <v>56217.446758</v>
      </c>
      <c r="C982" s="9" t="n">
        <v>56.217446758</v>
      </c>
      <c r="D982" s="9" t="n">
        <v>152.48545988</v>
      </c>
      <c r="E982" s="9" t="n">
        <v>62.11620704</v>
      </c>
      <c r="F982" s="10" t="n">
        <v>0.108684975303149</v>
      </c>
      <c r="G982" s="10" t="n">
        <v>0.1004219512306632</v>
      </c>
      <c r="H982" s="10" t="n">
        <v>0.9058623136926317</v>
      </c>
      <c r="I982" s="10" t="n">
        <v>1.051587</v>
      </c>
      <c r="J982" s="5" t="inlineStr">
        <is>
          <t>Cleaner sand</t>
        </is>
      </c>
      <c r="K982" s="11" t="n">
        <v>19.64115950712466</v>
      </c>
      <c r="L982" s="12" t="n">
        <v>1.669612162270055</v>
      </c>
      <c r="M982" s="12" t="n">
        <v>5.209985563048264</v>
      </c>
      <c r="N982" s="12" t="n">
        <v>6.7405631650643</v>
      </c>
      <c r="O982" s="12" t="n">
        <v>263.8126319827046</v>
      </c>
      <c r="P982" s="5" t="inlineStr">
        <is>
          <t>Normal</t>
        </is>
      </c>
      <c r="Q982" s="5" t="inlineStr">
        <is>
          <t>Build</t>
        </is>
      </c>
      <c r="R982" s="12" t="n">
        <v>0.48</v>
      </c>
      <c r="S982" s="5" t="inlineStr">
        <is>
          <t>REJECTED</t>
        </is>
      </c>
      <c r="T982" s="5" t="inlineStr">
        <is>
          <t>Normal operation</t>
        </is>
      </c>
    </row>
    <row r="983" s="17">
      <c r="A983" s="7" t="n">
        <v>8240</v>
      </c>
      <c r="B983" s="8" t="n">
        <v>74684.934074</v>
      </c>
      <c r="C983" s="9" t="n">
        <v>74.684934074</v>
      </c>
      <c r="D983" s="9" t="n">
        <v>153.51322462</v>
      </c>
      <c r="E983" s="9" t="n">
        <v>48.13227554</v>
      </c>
      <c r="F983" s="10" t="n">
        <v>0.08961438095988045</v>
      </c>
      <c r="G983" s="10" t="n">
        <v>0.2098715034462431</v>
      </c>
      <c r="H983" s="10" t="n">
        <v>0.8728114547427526</v>
      </c>
      <c r="I983" s="10" t="n">
        <v>1.134544</v>
      </c>
      <c r="J983" s="5" t="inlineStr">
        <is>
          <t>Cleaner sand</t>
        </is>
      </c>
      <c r="K983" s="11" t="n">
        <v>22.67738722251881</v>
      </c>
      <c r="L983" s="12" t="n">
        <v>1.989702005623742</v>
      </c>
      <c r="M983" s="12" t="n">
        <v>7.626933923503214</v>
      </c>
      <c r="N983" s="12" t="n">
        <v>6.889979777804021</v>
      </c>
      <c r="O983" s="12" t="n">
        <v>241.1788074688706</v>
      </c>
      <c r="P983" s="5" t="inlineStr">
        <is>
          <t>Caution</t>
        </is>
      </c>
      <c r="Q983" s="5" t="inlineStr">
        <is>
          <t>Build</t>
        </is>
      </c>
      <c r="R983" s="12" t="n">
        <v>0.8</v>
      </c>
      <c r="S983" s="5" t="inlineStr">
        <is>
          <t>ACCEPTED</t>
        </is>
      </c>
      <c r="T983" s="5" t="inlineStr">
        <is>
          <t>DLS exceeds normal range</t>
        </is>
      </c>
    </row>
    <row r="984" s="17">
      <c r="A984" s="7" t="n">
        <v>8245</v>
      </c>
      <c r="B984" s="8" t="n">
        <v>50816.543079</v>
      </c>
      <c r="C984" s="9" t="n">
        <v>50.81654307900001</v>
      </c>
      <c r="D984" s="9" t="n">
        <v>133.47328747</v>
      </c>
      <c r="E984" s="9" t="n">
        <v>65.60037555999999</v>
      </c>
      <c r="F984" s="10" t="n">
        <v>0.04112083375693455</v>
      </c>
      <c r="G984" s="10" t="n">
        <v>0.202335818267005</v>
      </c>
      <c r="H984" s="10" t="n">
        <v>0.9929885679972623</v>
      </c>
      <c r="I984" s="10" t="n">
        <v>0.06841</v>
      </c>
      <c r="J984" s="5" t="inlineStr">
        <is>
          <t>Cleaner sand</t>
        </is>
      </c>
      <c r="K984" s="11" t="n">
        <v>16.89504021387149</v>
      </c>
      <c r="L984" s="12" t="n">
        <v>1.949988925533275</v>
      </c>
      <c r="M984" s="12" t="n">
        <v>5.670190892520067</v>
      </c>
      <c r="N984" s="12" t="n">
        <v>8.652027835112577</v>
      </c>
      <c r="O984" s="12" t="n">
        <v>238.3049467374436</v>
      </c>
      <c r="P984" s="5" t="inlineStr">
        <is>
          <t>Normal</t>
        </is>
      </c>
      <c r="Q984" s="5" t="inlineStr">
        <is>
          <t>Build</t>
        </is>
      </c>
      <c r="R984" s="12" t="n">
        <v>0.66</v>
      </c>
      <c r="S984" s="5" t="inlineStr">
        <is>
          <t>REDUCED</t>
        </is>
      </c>
      <c r="T984" s="5" t="inlineStr">
        <is>
          <t>Normal operation</t>
        </is>
      </c>
    </row>
    <row r="985" s="17">
      <c r="A985" s="7" t="n">
        <v>8250</v>
      </c>
      <c r="B985" s="8" t="n">
        <v>35742.296475</v>
      </c>
      <c r="C985" s="9" t="n">
        <v>35.742296475</v>
      </c>
      <c r="D985" s="9" t="n">
        <v>116.81050529</v>
      </c>
      <c r="E985" s="9" t="n">
        <v>30</v>
      </c>
      <c r="F985" s="10" t="n">
        <v>0.1350529490651406</v>
      </c>
      <c r="G985" s="10" t="n">
        <v>0.1727087095289191</v>
      </c>
      <c r="H985" s="10" t="n">
        <v>0.8747700525031386</v>
      </c>
      <c r="I985" s="10" t="n">
        <v>1.739826</v>
      </c>
      <c r="J985" s="5" t="inlineStr">
        <is>
          <t>Cleaner sand</t>
        </is>
      </c>
      <c r="K985" s="11" t="n">
        <v>15.04182504087667</v>
      </c>
      <c r="L985" s="12" t="n">
        <v>1.486520051638898</v>
      </c>
      <c r="M985" s="12" t="n">
        <v>8.115476875935681</v>
      </c>
      <c r="N985" s="12" t="n">
        <v>9.411288108411098</v>
      </c>
      <c r="O985" s="12" t="n">
        <v>213.7466552543414</v>
      </c>
      <c r="P985" s="5" t="inlineStr">
        <is>
          <t>Caution</t>
        </is>
      </c>
      <c r="Q985" s="5" t="inlineStr">
        <is>
          <t>Turn Right</t>
        </is>
      </c>
      <c r="R985" s="12" t="n">
        <v>0.8100000000000001</v>
      </c>
      <c r="S985" s="5" t="inlineStr">
        <is>
          <t>ACCEPTED</t>
        </is>
      </c>
      <c r="T985" s="5" t="inlineStr">
        <is>
          <t>DLS exceeds normal range</t>
        </is>
      </c>
    </row>
    <row r="986" s="17">
      <c r="A986" s="7" t="n">
        <v>8255</v>
      </c>
      <c r="B986" s="8" t="n">
        <v>57019.885368</v>
      </c>
      <c r="C986" s="9" t="n">
        <v>57.019885368</v>
      </c>
      <c r="D986" s="9" t="n">
        <v>120.55707447</v>
      </c>
      <c r="E986" s="9" t="n">
        <v>49.07729684</v>
      </c>
      <c r="F986" s="10" t="n">
        <v>0.08593183874184733</v>
      </c>
      <c r="G986" s="10" t="n">
        <v>0.3394086871640037</v>
      </c>
      <c r="H986" s="10" t="n">
        <v>0.8927310261613444</v>
      </c>
      <c r="I986" s="10" t="n">
        <v>0.906619</v>
      </c>
      <c r="J986" s="5" t="inlineStr">
        <is>
          <t>Transition</t>
        </is>
      </c>
      <c r="K986" s="11" t="n">
        <v>18.99934262403687</v>
      </c>
      <c r="L986" s="12" t="n">
        <v>1.378935131280518</v>
      </c>
      <c r="M986" s="12" t="n">
        <v>6.641740401740036</v>
      </c>
      <c r="N986" s="12" t="n">
        <v>7.669913315516848</v>
      </c>
      <c r="O986" s="12" t="n">
        <v>249.4596962400853</v>
      </c>
      <c r="P986" s="5" t="inlineStr">
        <is>
          <t>Caution</t>
        </is>
      </c>
      <c r="Q986" s="5" t="inlineStr">
        <is>
          <t>Build</t>
        </is>
      </c>
      <c r="R986" s="12" t="n">
        <v>0.76</v>
      </c>
      <c r="S986" s="5" t="inlineStr">
        <is>
          <t>ACCEPTED</t>
        </is>
      </c>
      <c r="T986" s="5" t="inlineStr">
        <is>
          <t>DLS exceeds normal range</t>
        </is>
      </c>
    </row>
    <row r="987" s="17">
      <c r="A987" s="7" t="n">
        <v>8260</v>
      </c>
      <c r="B987" s="8" t="n">
        <v>32684.199187</v>
      </c>
      <c r="C987" s="9" t="n">
        <v>32.684199187</v>
      </c>
      <c r="D987" s="9" t="n">
        <v>144.91934297</v>
      </c>
      <c r="E987" s="9" t="n">
        <v>76.03030816</v>
      </c>
      <c r="F987" s="10" t="n">
        <v>0.03630861077723286</v>
      </c>
      <c r="G987" s="10" t="n">
        <v>0.2378880899662218</v>
      </c>
      <c r="H987" s="10" t="n">
        <v>0.8840379344886748</v>
      </c>
      <c r="I987" s="10" t="n">
        <v>0.459331</v>
      </c>
      <c r="J987" s="5" t="inlineStr">
        <is>
          <t>Cleaner sand</t>
        </is>
      </c>
      <c r="K987" s="11" t="n">
        <v>13.36872147934135</v>
      </c>
      <c r="L987" s="12" t="n">
        <v>1.709909584678373</v>
      </c>
      <c r="M987" s="12" t="n">
        <v>6.729338735033705</v>
      </c>
      <c r="N987" s="12" t="n">
        <v>7.719851438802643</v>
      </c>
      <c r="O987" s="12" t="n">
        <v>249.542596607895</v>
      </c>
      <c r="P987" s="5" t="inlineStr">
        <is>
          <t>Caution</t>
        </is>
      </c>
      <c r="Q987" s="5" t="inlineStr">
        <is>
          <t>Build</t>
        </is>
      </c>
      <c r="R987" s="12" t="n">
        <v>0.64</v>
      </c>
      <c r="S987" s="5" t="inlineStr">
        <is>
          <t>REDUCED</t>
        </is>
      </c>
      <c r="T987" s="5" t="inlineStr">
        <is>
          <t>DLS exceeds normal range</t>
        </is>
      </c>
    </row>
    <row r="988" s="17">
      <c r="A988" s="7" t="n">
        <v>8265</v>
      </c>
      <c r="B988" s="8" t="n">
        <v>38582.214731</v>
      </c>
      <c r="C988" s="9" t="n">
        <v>38.582214731</v>
      </c>
      <c r="D988" s="9" t="n">
        <v>131.37950316</v>
      </c>
      <c r="E988" s="9" t="n">
        <v>50.72216518</v>
      </c>
      <c r="F988" s="10" t="n">
        <v>0.03439300126529819</v>
      </c>
      <c r="G988" s="10" t="n">
        <v>0.05795230914970992</v>
      </c>
      <c r="H988" s="10" t="n">
        <v>0.9804910606550762</v>
      </c>
      <c r="I988" s="10" t="n">
        <v>0.063501</v>
      </c>
      <c r="J988" s="5" t="inlineStr">
        <is>
          <t>Cleaner sand</t>
        </is>
      </c>
      <c r="K988" s="11" t="n">
        <v>17.11525708474557</v>
      </c>
      <c r="L988" s="12" t="n">
        <v>2.419019874232642</v>
      </c>
      <c r="M988" s="12" t="n">
        <v>6.389061895521051</v>
      </c>
      <c r="N988" s="12" t="n">
        <v>8.951224005331794</v>
      </c>
      <c r="O988" s="12" t="n">
        <v>225.2398466123595</v>
      </c>
      <c r="P988" s="5" t="inlineStr">
        <is>
          <t>Caution</t>
        </is>
      </c>
      <c r="Q988" s="5" t="inlineStr">
        <is>
          <t>Turn Right</t>
        </is>
      </c>
      <c r="R988" s="12" t="n">
        <v>0.59</v>
      </c>
      <c r="S988" s="5" t="inlineStr">
        <is>
          <t>REDUCED</t>
        </is>
      </c>
      <c r="T988" s="5" t="inlineStr">
        <is>
          <t>DLS exceeds normal range</t>
        </is>
      </c>
    </row>
    <row r="989" s="17">
      <c r="A989" s="7" t="n">
        <v>8270</v>
      </c>
      <c r="B989" s="8" t="n">
        <v>74597.52881800001</v>
      </c>
      <c r="C989" s="9" t="n">
        <v>74.597528818</v>
      </c>
      <c r="D989" s="9" t="n">
        <v>102.8464815</v>
      </c>
      <c r="E989" s="9" t="n">
        <v>30</v>
      </c>
      <c r="F989" s="10" t="n">
        <v>0.04075580764087807</v>
      </c>
      <c r="G989" s="10" t="n">
        <v>0.209956461390014</v>
      </c>
      <c r="H989" s="10" t="n">
        <v>0.947160234450346</v>
      </c>
      <c r="I989" s="10" t="n">
        <v>0.229188</v>
      </c>
      <c r="J989" s="5" t="inlineStr">
        <is>
          <t>Cleaner sand</t>
        </is>
      </c>
      <c r="K989" s="11" t="n">
        <v>23.11321623442474</v>
      </c>
      <c r="L989" s="12" t="n">
        <v>1.1</v>
      </c>
      <c r="M989" s="12" t="n">
        <v>6.653135970630631</v>
      </c>
      <c r="N989" s="12" t="n">
        <v>6.67543012617256</v>
      </c>
      <c r="O989" s="12" t="n">
        <v>224.9654578215021</v>
      </c>
      <c r="P989" s="5" t="inlineStr">
        <is>
          <t>Caution</t>
        </is>
      </c>
      <c r="Q989" s="5" t="inlineStr">
        <is>
          <t>Build</t>
        </is>
      </c>
      <c r="R989" s="12" t="n">
        <v>0.8100000000000001</v>
      </c>
      <c r="S989" s="5" t="inlineStr">
        <is>
          <t>ACCEPTED</t>
        </is>
      </c>
      <c r="T989" s="5" t="inlineStr">
        <is>
          <t>DLS exceeds normal range</t>
        </is>
      </c>
    </row>
    <row r="990" s="17">
      <c r="A990" s="7" t="n">
        <v>8275</v>
      </c>
      <c r="B990" s="8" t="n">
        <v>47962.447928</v>
      </c>
      <c r="C990" s="9" t="n">
        <v>47.962447928</v>
      </c>
      <c r="D990" s="9" t="n">
        <v>129.50068627</v>
      </c>
      <c r="E990" s="9" t="n">
        <v>60.8044391</v>
      </c>
      <c r="F990" s="10" t="n">
        <v>0.05678594665253388</v>
      </c>
      <c r="G990" s="10" t="n">
        <v>0.1742907372059728</v>
      </c>
      <c r="H990" s="10" t="n">
        <v>0.95268631701546</v>
      </c>
      <c r="I990" s="10" t="n">
        <v>0.305401</v>
      </c>
      <c r="J990" s="5" t="inlineStr">
        <is>
          <t>Cleaner sand</t>
        </is>
      </c>
      <c r="K990" s="11" t="n">
        <v>17.11612235961822</v>
      </c>
      <c r="L990" s="12" t="n">
        <v>1.1</v>
      </c>
      <c r="M990" s="12" t="n">
        <v>8.010452055453479</v>
      </c>
      <c r="N990" s="12" t="n">
        <v>8.867953642452276</v>
      </c>
      <c r="O990" s="12" t="n">
        <v>216.8104511691577</v>
      </c>
      <c r="P990" s="5" t="inlineStr">
        <is>
          <t>Caution</t>
        </is>
      </c>
      <c r="Q990" s="5" t="inlineStr">
        <is>
          <t>Turn Right</t>
        </is>
      </c>
      <c r="R990" s="12" t="n">
        <v>0.58</v>
      </c>
      <c r="S990" s="5" t="inlineStr">
        <is>
          <t>REDUCED</t>
        </is>
      </c>
      <c r="T990" s="5" t="inlineStr">
        <is>
          <t>DLS exceeds normal range</t>
        </is>
      </c>
    </row>
    <row r="991" s="17">
      <c r="A991" s="7" t="n">
        <v>8280</v>
      </c>
      <c r="B991" s="8" t="n">
        <v>59399.495621</v>
      </c>
      <c r="C991" s="9" t="n">
        <v>59.399495621</v>
      </c>
      <c r="D991" s="9" t="n">
        <v>135.35491832</v>
      </c>
      <c r="E991" s="9" t="n">
        <v>64.61501272000001</v>
      </c>
      <c r="F991" s="10" t="n">
        <v>0.1464743262888049</v>
      </c>
      <c r="G991" s="10" t="n">
        <v>0.1644011150145371</v>
      </c>
      <c r="H991" s="10" t="n">
        <v>0.9195762208171926</v>
      </c>
      <c r="I991" s="10" t="n">
        <v>1.221643</v>
      </c>
      <c r="J991" s="5" t="inlineStr">
        <is>
          <t>Cleaner sand</t>
        </is>
      </c>
      <c r="K991" s="11" t="n">
        <v>19.46749279128626</v>
      </c>
      <c r="L991" s="12" t="n">
        <v>1.740732812205893</v>
      </c>
      <c r="M991" s="12" t="n">
        <v>4.877182351636851</v>
      </c>
      <c r="N991" s="12" t="n">
        <v>9.433714739147351</v>
      </c>
      <c r="O991" s="12" t="n">
        <v>225.1397678043793</v>
      </c>
      <c r="P991" s="5" t="inlineStr">
        <is>
          <t>Normal</t>
        </is>
      </c>
      <c r="Q991" s="5" t="inlineStr">
        <is>
          <t>Turn Right</t>
        </is>
      </c>
      <c r="R991" s="12" t="n">
        <v>0.83</v>
      </c>
      <c r="S991" s="5" t="inlineStr">
        <is>
          <t>ACCEPTED</t>
        </is>
      </c>
      <c r="T991" s="5" t="inlineStr">
        <is>
          <t>Normal operation</t>
        </is>
      </c>
    </row>
    <row r="992" s="17">
      <c r="A992" s="7" t="n">
        <v>8285</v>
      </c>
      <c r="B992" s="8" t="n">
        <v>71460.19854700001</v>
      </c>
      <c r="C992" s="9" t="n">
        <v>71.460198547</v>
      </c>
      <c r="D992" s="9" t="n">
        <v>119.34275511</v>
      </c>
      <c r="E992" s="9" t="n">
        <v>33.09450546</v>
      </c>
      <c r="F992" s="10" t="n">
        <v>0.07429630098654985</v>
      </c>
      <c r="G992" s="10" t="n">
        <v>0.2659384351157331</v>
      </c>
      <c r="H992" s="10" t="n">
        <v>0.9765320098327512</v>
      </c>
      <c r="I992" s="10" t="n">
        <v>0.205673</v>
      </c>
      <c r="J992" s="5" t="inlineStr">
        <is>
          <t>Transition</t>
        </is>
      </c>
      <c r="K992" s="11" t="n">
        <v>21.86721386417288</v>
      </c>
      <c r="L992" s="12" t="n">
        <v>1.684934973909449</v>
      </c>
      <c r="M992" s="12" t="n">
        <v>7.88054681612785</v>
      </c>
      <c r="N992" s="12" t="n">
        <v>9.738970551219733</v>
      </c>
      <c r="O992" s="12" t="n">
        <v>229.6557466461927</v>
      </c>
      <c r="P992" s="5" t="inlineStr">
        <is>
          <t>Caution</t>
        </is>
      </c>
      <c r="Q992" s="5" t="inlineStr">
        <is>
          <t>Turn Right</t>
        </is>
      </c>
      <c r="R992" s="12" t="n">
        <v>0.77</v>
      </c>
      <c r="S992" s="5" t="inlineStr">
        <is>
          <t>ACCEPTED</t>
        </is>
      </c>
      <c r="T992" s="5" t="inlineStr">
        <is>
          <t>DLS exceeds normal range</t>
        </is>
      </c>
    </row>
    <row r="993" s="17">
      <c r="A993" s="7" t="n">
        <v>8290</v>
      </c>
      <c r="B993" s="8" t="n">
        <v>34396.843903</v>
      </c>
      <c r="C993" s="9" t="n">
        <v>34.396843903</v>
      </c>
      <c r="D993" s="9" t="n">
        <v>120.94736116</v>
      </c>
      <c r="E993" s="9" t="n">
        <v>70.41582802000001</v>
      </c>
      <c r="F993" s="10" t="n">
        <v>0.06690539656707623</v>
      </c>
      <c r="G993" s="10" t="n">
        <v>0.1564610700196218</v>
      </c>
      <c r="H993" s="10" t="n">
        <v>0.9349668846419081</v>
      </c>
      <c r="I993" s="10" t="n">
        <v>0.445755</v>
      </c>
      <c r="J993" s="5" t="inlineStr">
        <is>
          <t>Cleaner sand</t>
        </is>
      </c>
      <c r="K993" s="11" t="n">
        <v>12.80034370261011</v>
      </c>
      <c r="L993" s="12" t="n">
        <v>1.7449374155415</v>
      </c>
      <c r="M993" s="12" t="n">
        <v>7.120682017380162</v>
      </c>
      <c r="N993" s="12" t="n">
        <v>6.475301071521874</v>
      </c>
      <c r="O993" s="12" t="n">
        <v>198.2095045479296</v>
      </c>
      <c r="P993" s="5" t="inlineStr">
        <is>
          <t>Caution</t>
        </is>
      </c>
      <c r="Q993" s="5" t="inlineStr">
        <is>
          <t>Build</t>
        </is>
      </c>
      <c r="R993" s="12" t="n">
        <v>0.72</v>
      </c>
      <c r="S993" s="5" t="inlineStr">
        <is>
          <t>ACCEPTED</t>
        </is>
      </c>
      <c r="T993" s="5" t="inlineStr">
        <is>
          <t>DLS exceeds normal range</t>
        </is>
      </c>
    </row>
    <row r="994" s="17">
      <c r="A994" s="7" t="n">
        <v>8295</v>
      </c>
      <c r="B994" s="8" t="n">
        <v>54451.221925</v>
      </c>
      <c r="C994" s="9" t="n">
        <v>54.451221925</v>
      </c>
      <c r="D994" s="9" t="n">
        <v>147.90121852</v>
      </c>
      <c r="E994" s="9" t="n">
        <v>34.13672792</v>
      </c>
      <c r="F994" s="10" t="n">
        <v>0.1411506776767703</v>
      </c>
      <c r="G994" s="10" t="n">
        <v>0.2584328561458995</v>
      </c>
      <c r="H994" s="10" t="n">
        <v>0.8987219101155279</v>
      </c>
      <c r="I994" s="10" t="n">
        <v>1.461784</v>
      </c>
      <c r="J994" s="5" t="inlineStr">
        <is>
          <t>Transition</t>
        </is>
      </c>
      <c r="K994" s="11" t="n">
        <v>18.28333502116358</v>
      </c>
      <c r="L994" s="12" t="n">
        <v>1.779537066975165</v>
      </c>
      <c r="M994" s="12" t="n">
        <v>5.875678713340069</v>
      </c>
      <c r="N994" s="12" t="n">
        <v>8.141726038521735</v>
      </c>
      <c r="O994" s="12" t="n">
        <v>217.1082057030986</v>
      </c>
      <c r="P994" s="5" t="inlineStr">
        <is>
          <t>Normal</t>
        </is>
      </c>
      <c r="Q994" s="5" t="inlineStr">
        <is>
          <t>Turn Right</t>
        </is>
      </c>
      <c r="R994" s="12" t="n">
        <v>0.6</v>
      </c>
      <c r="S994" s="5" t="inlineStr">
        <is>
          <t>REDUCED</t>
        </is>
      </c>
      <c r="T994" s="5" t="inlineStr">
        <is>
          <t>Normal operation</t>
        </is>
      </c>
    </row>
    <row r="995" s="17">
      <c r="A995" s="7" t="n">
        <v>8300</v>
      </c>
      <c r="B995" s="8" t="n">
        <v>67095.04938700001</v>
      </c>
      <c r="C995" s="9" t="n">
        <v>67.095049387</v>
      </c>
      <c r="D995" s="9" t="n">
        <v>114.46343726</v>
      </c>
      <c r="E995" s="9" t="n">
        <v>50.83452568</v>
      </c>
      <c r="F995" s="10" t="n">
        <v>0.07498793187307443</v>
      </c>
      <c r="G995" s="10" t="n">
        <v>0.3739987284340834</v>
      </c>
      <c r="H995" s="10" t="n">
        <v>0.8904154542847157</v>
      </c>
      <c r="I995" s="10" t="n">
        <v>0.814774</v>
      </c>
      <c r="J995" s="5" t="inlineStr">
        <is>
          <t>Transition</t>
        </is>
      </c>
      <c r="K995" s="11" t="n">
        <v>20.17400147297733</v>
      </c>
      <c r="L995" s="12" t="n">
        <v>1.550630895228945</v>
      </c>
      <c r="M995" s="12" t="n">
        <v>5.971823586246834</v>
      </c>
      <c r="N995" s="12" t="n">
        <v>8.128153965101115</v>
      </c>
      <c r="O995" s="12" t="n">
        <v>207.7772400322652</v>
      </c>
      <c r="P995" s="5" t="inlineStr">
        <is>
          <t>Normal</t>
        </is>
      </c>
      <c r="Q995" s="5" t="inlineStr">
        <is>
          <t>Turn Right</t>
        </is>
      </c>
      <c r="R995" s="12" t="n">
        <v>0.51</v>
      </c>
      <c r="S995" s="5" t="inlineStr">
        <is>
          <t>REDUCED</t>
        </is>
      </c>
      <c r="T995" s="5" t="inlineStr">
        <is>
          <t>Normal operation</t>
        </is>
      </c>
    </row>
    <row r="996" s="17">
      <c r="A996" s="7" t="n">
        <v>8305</v>
      </c>
      <c r="B996" s="8" t="n">
        <v>36422.005986</v>
      </c>
      <c r="C996" s="9" t="n">
        <v>36.42200598599999</v>
      </c>
      <c r="D996" s="9" t="n">
        <v>122.66559792</v>
      </c>
      <c r="E996" s="9" t="n">
        <v>71.37029326</v>
      </c>
      <c r="F996" s="10" t="n">
        <v>0.04717472022620864</v>
      </c>
      <c r="G996" s="10" t="n">
        <v>0.1024900607911321</v>
      </c>
      <c r="H996" s="10" t="n">
        <v>0.9435228016389231</v>
      </c>
      <c r="I996" s="10" t="n">
        <v>0.292963</v>
      </c>
      <c r="J996" s="5" t="inlineStr">
        <is>
          <t>Cleaner sand</t>
        </is>
      </c>
      <c r="K996" s="11" t="n">
        <v>14.212929666219</v>
      </c>
      <c r="L996" s="12" t="n">
        <v>2.39003308491502</v>
      </c>
      <c r="M996" s="12" t="n">
        <v>8.163710674466023</v>
      </c>
      <c r="N996" s="12" t="n">
        <v>9.53815753900188</v>
      </c>
      <c r="O996" s="12" t="n">
        <v>209.3688750069925</v>
      </c>
      <c r="P996" s="5" t="inlineStr">
        <is>
          <t>Caution</t>
        </is>
      </c>
      <c r="Q996" s="5" t="inlineStr">
        <is>
          <t>Turn Right</t>
        </is>
      </c>
      <c r="R996" s="12" t="n">
        <v>0.79</v>
      </c>
      <c r="S996" s="5" t="inlineStr">
        <is>
          <t>ACCEPTED</t>
        </is>
      </c>
      <c r="T996" s="5" t="inlineStr">
        <is>
          <t>DLS exceeds normal range</t>
        </is>
      </c>
    </row>
    <row r="997" s="17">
      <c r="A997" s="7" t="n">
        <v>8310</v>
      </c>
      <c r="B997" s="8" t="n">
        <v>37391.50999</v>
      </c>
      <c r="C997" s="9" t="n">
        <v>37.39150999</v>
      </c>
      <c r="D997" s="9" t="n">
        <v>148.20832947</v>
      </c>
      <c r="E997" s="9" t="n">
        <v>63.84127384</v>
      </c>
      <c r="F997" s="10" t="n">
        <v>0.1285747942711575</v>
      </c>
      <c r="G997" s="10" t="n">
        <v>0.2984186246491526</v>
      </c>
      <c r="H997" s="10" t="n">
        <v>0.9064821440951281</v>
      </c>
      <c r="I997" s="10" t="n">
        <v>1.234872</v>
      </c>
      <c r="J997" s="5" t="inlineStr">
        <is>
          <t>Transition</t>
        </is>
      </c>
      <c r="K997" s="11" t="n">
        <v>15.11176213694788</v>
      </c>
      <c r="L997" s="12" t="n">
        <v>1.1</v>
      </c>
      <c r="M997" s="12" t="n">
        <v>6.056459413661869</v>
      </c>
      <c r="N997" s="12" t="n">
        <v>10.17168075646654</v>
      </c>
      <c r="O997" s="12" t="n">
        <v>210.68350014</v>
      </c>
      <c r="P997" s="5" t="inlineStr">
        <is>
          <t>Caution</t>
        </is>
      </c>
      <c r="Q997" s="5" t="inlineStr">
        <is>
          <t>Turn Right</t>
        </is>
      </c>
      <c r="R997" s="12" t="n">
        <v>0.45</v>
      </c>
      <c r="S997" s="5" t="inlineStr">
        <is>
          <t>REJECTED</t>
        </is>
      </c>
      <c r="T997" s="5" t="inlineStr">
        <is>
          <t>DLS exceeds normal range</t>
        </is>
      </c>
    </row>
    <row r="998" s="17">
      <c r="A998" s="7" t="n">
        <v>8315</v>
      </c>
      <c r="B998" s="8" t="n">
        <v>65999.871935</v>
      </c>
      <c r="C998" s="9" t="n">
        <v>65.999871935</v>
      </c>
      <c r="D998" s="9" t="n">
        <v>120.6836412</v>
      </c>
      <c r="E998" s="9" t="n">
        <v>45.05078933999999</v>
      </c>
      <c r="F998" s="10" t="n">
        <v>0.09682923564304401</v>
      </c>
      <c r="G998" s="10" t="n">
        <v>0.2794475534456721</v>
      </c>
      <c r="H998" s="10" t="n">
        <v>0.9044347986066901</v>
      </c>
      <c r="I998" s="10" t="n">
        <v>0.941103</v>
      </c>
      <c r="J998" s="5" t="inlineStr">
        <is>
          <t>Transition</t>
        </is>
      </c>
      <c r="K998" s="11" t="n">
        <v>22.45224542908808</v>
      </c>
      <c r="L998" s="12" t="n">
        <v>1.254036457857679</v>
      </c>
      <c r="M998" s="12" t="n">
        <v>5.880199733798841</v>
      </c>
      <c r="N998" s="12" t="n">
        <v>11.63084463694621</v>
      </c>
      <c r="O998" s="12" t="n">
        <v>202.2441450111928</v>
      </c>
      <c r="P998" s="5" t="inlineStr">
        <is>
          <t>Normal</t>
        </is>
      </c>
      <c r="Q998" s="5" t="inlineStr">
        <is>
          <t>Turn Right</t>
        </is>
      </c>
      <c r="R998" s="12" t="n">
        <v>0.93</v>
      </c>
      <c r="S998" s="5" t="inlineStr">
        <is>
          <t>ACCEPTED</t>
        </is>
      </c>
      <c r="T998" s="5" t="inlineStr">
        <is>
          <t>Normal operation</t>
        </is>
      </c>
    </row>
    <row r="999" s="17">
      <c r="A999" s="7" t="n">
        <v>8320</v>
      </c>
      <c r="B999" s="8" t="n">
        <v>37509.35299</v>
      </c>
      <c r="C999" s="9" t="n">
        <v>37.50935299</v>
      </c>
      <c r="D999" s="9" t="n">
        <v>140.84060357</v>
      </c>
      <c r="E999" s="9" t="n">
        <v>46.17092328</v>
      </c>
      <c r="F999" s="10" t="n">
        <v>0.06257275044750488</v>
      </c>
      <c r="G999" s="10" t="n">
        <v>0.05722233602082813</v>
      </c>
      <c r="H999" s="10" t="n">
        <v>0.9544255653672959</v>
      </c>
      <c r="I999" s="10" t="n">
        <v>0.333176</v>
      </c>
      <c r="J999" s="5" t="inlineStr">
        <is>
          <t>Cleaner sand</t>
        </is>
      </c>
      <c r="K999" s="11" t="n">
        <v>16.05537916738183</v>
      </c>
      <c r="L999" s="12" t="n">
        <v>1.609405167526967</v>
      </c>
      <c r="M999" s="12" t="n">
        <v>7.702494224255645</v>
      </c>
      <c r="N999" s="12" t="n">
        <v>9.180074287286216</v>
      </c>
      <c r="O999" s="12" t="n">
        <v>201.302701071088</v>
      </c>
      <c r="P999" s="5" t="inlineStr">
        <is>
          <t>Caution</t>
        </is>
      </c>
      <c r="Q999" s="5" t="inlineStr">
        <is>
          <t>Turn Right</t>
        </is>
      </c>
      <c r="R999" s="12" t="n">
        <v>0.9399999999999999</v>
      </c>
      <c r="S999" s="5" t="inlineStr">
        <is>
          <t>ACCEPTED</t>
        </is>
      </c>
      <c r="T999" s="5" t="inlineStr">
        <is>
          <t>DLS exceeds normal range</t>
        </is>
      </c>
    </row>
    <row r="1000" s="17">
      <c r="A1000" s="7" t="n">
        <v>8325</v>
      </c>
      <c r="B1000" s="8" t="n">
        <v>41005.149207</v>
      </c>
      <c r="C1000" s="9" t="n">
        <v>41.005149207</v>
      </c>
      <c r="D1000" s="9" t="n">
        <v>152.95186692</v>
      </c>
      <c r="E1000" s="9" t="n">
        <v>48.37816976</v>
      </c>
      <c r="F1000" s="10" t="n">
        <v>0.08897727688044144</v>
      </c>
      <c r="G1000" s="10" t="n">
        <v>0.2423909076224194</v>
      </c>
      <c r="H1000" s="10" t="n">
        <v>0.9543830008825271</v>
      </c>
      <c r="I1000" s="10" t="n">
        <v>0.41005</v>
      </c>
      <c r="J1000" s="5" t="inlineStr">
        <is>
          <t>Cleaner sand</t>
        </is>
      </c>
      <c r="K1000" s="11" t="n">
        <v>15.48630984393906</v>
      </c>
      <c r="L1000" s="12" t="n">
        <v>1.1</v>
      </c>
      <c r="M1000" s="12" t="n">
        <v>7.052995243397272</v>
      </c>
      <c r="N1000" s="12" t="n">
        <v>9.315093468460995</v>
      </c>
      <c r="O1000" s="12" t="n">
        <v>198.5972887444859</v>
      </c>
      <c r="P1000" s="5" t="inlineStr">
        <is>
          <t>Caution</t>
        </is>
      </c>
      <c r="Q1000" s="5" t="inlineStr">
        <is>
          <t>Turn Right</t>
        </is>
      </c>
      <c r="R1000" s="12" t="n">
        <v>0.47</v>
      </c>
      <c r="S1000" s="5" t="inlineStr">
        <is>
          <t>REJECTED</t>
        </is>
      </c>
      <c r="T1000" s="5" t="inlineStr">
        <is>
          <t>DLS exceeds normal range</t>
        </is>
      </c>
    </row>
    <row r="1001" s="17">
      <c r="A1001" s="7" t="n">
        <v>8330</v>
      </c>
      <c r="B1001" s="8" t="n">
        <v>47134.377044</v>
      </c>
      <c r="C1001" s="9" t="n">
        <v>47.134377044</v>
      </c>
      <c r="D1001" s="9" t="n">
        <v>138.09171981</v>
      </c>
      <c r="E1001" s="9" t="n">
        <v>45.09931284</v>
      </c>
      <c r="F1001" s="10" t="n">
        <v>0.03835298685473706</v>
      </c>
      <c r="G1001" s="10" t="n">
        <v>0.08794027407853475</v>
      </c>
      <c r="H1001" s="10" t="n">
        <v>0.9442899646143804</v>
      </c>
      <c r="I1001" s="10" t="n">
        <v>0.210266</v>
      </c>
      <c r="J1001" s="5" t="inlineStr">
        <is>
          <t>Cleaner sand</t>
        </is>
      </c>
      <c r="K1001" s="11" t="n">
        <v>17.75736917061472</v>
      </c>
      <c r="L1001" s="12" t="n">
        <v>1.573831341828285</v>
      </c>
      <c r="M1001" s="12" t="n">
        <v>6.021071434305017</v>
      </c>
      <c r="N1001" s="12" t="n">
        <v>11.59491964530362</v>
      </c>
      <c r="O1001" s="12" t="n">
        <v>209.0264769333042</v>
      </c>
      <c r="P1001" s="5" t="inlineStr">
        <is>
          <t>Caution</t>
        </is>
      </c>
      <c r="Q1001" s="5" t="inlineStr">
        <is>
          <t>Turn Right</t>
        </is>
      </c>
      <c r="R1001" s="12" t="n">
        <v>0.46</v>
      </c>
      <c r="S1001" s="5" t="inlineStr">
        <is>
          <t>REJECTED</t>
        </is>
      </c>
      <c r="T1001" s="5" t="inlineStr">
        <is>
          <t>DLS exceeds normal range</t>
        </is>
      </c>
    </row>
    <row r="1002" s="17">
      <c r="A1002" s="7" t="n">
        <v>8335</v>
      </c>
      <c r="B1002" s="8" t="n">
        <v>34715.089698</v>
      </c>
      <c r="C1002" s="9" t="n">
        <v>34.715089698</v>
      </c>
      <c r="D1002" s="9" t="n">
        <v>131.68705806</v>
      </c>
      <c r="E1002" s="9" t="n">
        <v>61.9360063</v>
      </c>
      <c r="F1002" s="10" t="n">
        <v>0.06758827693974652</v>
      </c>
      <c r="G1002" s="10" t="n">
        <v>0.2209018265504599</v>
      </c>
      <c r="H1002" s="10" t="n">
        <v>0.9234486815334673</v>
      </c>
      <c r="I1002" s="10" t="n">
        <v>0.538636</v>
      </c>
      <c r="J1002" s="5" t="inlineStr">
        <is>
          <t>Cleaner sand</t>
        </is>
      </c>
      <c r="K1002" s="11" t="n">
        <v>16.29996629199685</v>
      </c>
      <c r="L1002" s="12" t="n">
        <v>2.474120381206729</v>
      </c>
      <c r="M1002" s="12" t="n">
        <v>6.933720144139275</v>
      </c>
      <c r="N1002" s="12" t="n">
        <v>10.62430434534891</v>
      </c>
      <c r="O1002" s="12" t="n">
        <v>202.2921651790344</v>
      </c>
      <c r="P1002" s="5" t="inlineStr">
        <is>
          <t>Caution</t>
        </is>
      </c>
      <c r="Q1002" s="5" t="inlineStr">
        <is>
          <t>Turn Right</t>
        </is>
      </c>
      <c r="R1002" s="12" t="n">
        <v>0.63</v>
      </c>
      <c r="S1002" s="5" t="inlineStr">
        <is>
          <t>REDUCED</t>
        </is>
      </c>
      <c r="T1002" s="5" t="inlineStr">
        <is>
          <t>DLS exceeds normal range</t>
        </is>
      </c>
    </row>
    <row r="1003" s="17">
      <c r="A1003" s="7" t="n">
        <v>8340</v>
      </c>
      <c r="B1003" s="8" t="n">
        <v>39682.39986</v>
      </c>
      <c r="C1003" s="9" t="n">
        <v>39.68239986</v>
      </c>
      <c r="D1003" s="9" t="n">
        <v>145.85072958</v>
      </c>
      <c r="E1003" s="9" t="n">
        <v>52.31620172</v>
      </c>
      <c r="F1003" s="10" t="n">
        <v>0.1562390379969485</v>
      </c>
      <c r="G1003" s="10" t="n">
        <v>0.1584915864928622</v>
      </c>
      <c r="H1003" s="10" t="n">
        <v>0.9414914639036882</v>
      </c>
      <c r="I1003" s="10" t="n">
        <v>0.928557</v>
      </c>
      <c r="J1003" s="5" t="inlineStr">
        <is>
          <t>Cleaner sand</t>
        </is>
      </c>
      <c r="K1003" s="11" t="n">
        <v>16.73884030472868</v>
      </c>
      <c r="L1003" s="12" t="n">
        <v>1.670234379265021</v>
      </c>
      <c r="M1003" s="12" t="n">
        <v>5.928576330918531</v>
      </c>
      <c r="N1003" s="12" t="n">
        <v>12.02510959430215</v>
      </c>
      <c r="O1003" s="12" t="n">
        <v>199.2892273620275</v>
      </c>
      <c r="P1003" s="5" t="inlineStr">
        <is>
          <t>Normal</t>
        </is>
      </c>
      <c r="Q1003" s="5" t="inlineStr">
        <is>
          <t>Turn Right</t>
        </is>
      </c>
      <c r="R1003" s="12" t="n">
        <v>0.93</v>
      </c>
      <c r="S1003" s="5" t="inlineStr">
        <is>
          <t>ACCEPTED</t>
        </is>
      </c>
      <c r="T1003" s="5" t="inlineStr">
        <is>
          <t>Normal operation</t>
        </is>
      </c>
    </row>
    <row r="1004" s="17">
      <c r="A1004" s="7" t="n">
        <v>8345</v>
      </c>
      <c r="B1004" s="8" t="n">
        <v>57311.423737</v>
      </c>
      <c r="C1004" s="9" t="n">
        <v>57.311423737</v>
      </c>
      <c r="D1004" s="9" t="n">
        <v>121.67556893</v>
      </c>
      <c r="E1004" s="9" t="n">
        <v>30</v>
      </c>
      <c r="F1004" s="10" t="n">
        <v>0.1150930099738742</v>
      </c>
      <c r="G1004" s="10" t="n">
        <v>0.3442026924143794</v>
      </c>
      <c r="H1004" s="10" t="n">
        <v>0.876925522912081</v>
      </c>
      <c r="I1004" s="10" t="n">
        <v>1.453372</v>
      </c>
      <c r="J1004" s="5" t="inlineStr">
        <is>
          <t>Transition</t>
        </is>
      </c>
      <c r="K1004" s="11" t="n">
        <v>19.11619574418333</v>
      </c>
      <c r="L1004" s="12" t="n">
        <v>1.773043443802155</v>
      </c>
      <c r="M1004" s="12" t="n">
        <v>7.618344703550025</v>
      </c>
      <c r="N1004" s="12" t="n">
        <v>10.89091733816885</v>
      </c>
      <c r="O1004" s="12" t="n">
        <v>183.5532929625949</v>
      </c>
      <c r="P1004" s="5" t="inlineStr">
        <is>
          <t>Caution</t>
        </is>
      </c>
      <c r="Q1004" s="5" t="inlineStr">
        <is>
          <t>Turn Right</t>
        </is>
      </c>
      <c r="R1004" s="12" t="n">
        <v>0.62</v>
      </c>
      <c r="S1004" s="5" t="inlineStr">
        <is>
          <t>REDUCED</t>
        </is>
      </c>
      <c r="T1004" s="5" t="inlineStr">
        <is>
          <t>DLS exceeds normal range</t>
        </is>
      </c>
    </row>
    <row r="1005" s="17">
      <c r="A1005" s="7" t="n">
        <v>8350</v>
      </c>
      <c r="B1005" s="8" t="n">
        <v>55687.481091</v>
      </c>
      <c r="C1005" s="9" t="n">
        <v>55.687481091</v>
      </c>
      <c r="D1005" s="9" t="n">
        <v>128.414928</v>
      </c>
      <c r="E1005" s="9" t="n">
        <v>49.66384858</v>
      </c>
      <c r="F1005" s="10" t="n">
        <v>0.05207690483079997</v>
      </c>
      <c r="G1005" s="10" t="n">
        <v>0.08760496730661542</v>
      </c>
      <c r="H1005" s="10" t="n">
        <v>0.9917552116408638</v>
      </c>
      <c r="I1005" s="10" t="n">
        <v>0.075909</v>
      </c>
      <c r="J1005" s="5" t="inlineStr">
        <is>
          <t>Cleaner sand</t>
        </is>
      </c>
      <c r="K1005" s="11" t="n">
        <v>18.11095042308253</v>
      </c>
      <c r="L1005" s="12" t="n">
        <v>1.1</v>
      </c>
      <c r="M1005" s="12" t="n">
        <v>7.575045020454686</v>
      </c>
      <c r="N1005" s="12" t="n">
        <v>9.149727634427073</v>
      </c>
      <c r="O1005" s="12" t="n">
        <v>191.8594463015679</v>
      </c>
      <c r="P1005" s="5" t="inlineStr">
        <is>
          <t>Caution</t>
        </is>
      </c>
      <c r="Q1005" s="5" t="inlineStr">
        <is>
          <t>Turn Right</t>
        </is>
      </c>
      <c r="R1005" s="12" t="n">
        <v>0.6</v>
      </c>
      <c r="S1005" s="5" t="inlineStr">
        <is>
          <t>REDUCED</t>
        </is>
      </c>
      <c r="T1005" s="5" t="inlineStr">
        <is>
          <t>DLS exceeds normal range</t>
        </is>
      </c>
    </row>
    <row r="1006" s="17">
      <c r="A1006" s="7" t="n">
        <v>8355</v>
      </c>
      <c r="B1006" s="8" t="n">
        <v>58787.662951</v>
      </c>
      <c r="C1006" s="9" t="n">
        <v>58.787662951</v>
      </c>
      <c r="D1006" s="9" t="n">
        <v>113.83567147</v>
      </c>
      <c r="E1006" s="9" t="n">
        <v>51.4083994</v>
      </c>
      <c r="F1006" s="10" t="n">
        <v>0.08632440164899616</v>
      </c>
      <c r="G1006" s="10" t="n">
        <v>0.1804003089583631</v>
      </c>
      <c r="H1006" s="10" t="n">
        <v>0.9679395722620324</v>
      </c>
      <c r="I1006" s="10" t="n">
        <v>0.271379</v>
      </c>
      <c r="J1006" s="5" t="inlineStr">
        <is>
          <t>Cleaner sand</t>
        </is>
      </c>
      <c r="K1006" s="11" t="n">
        <v>20.02630100583688</v>
      </c>
      <c r="L1006" s="12" t="n">
        <v>1.357982910060656</v>
      </c>
      <c r="M1006" s="12" t="n">
        <v>7.139566208432005</v>
      </c>
      <c r="N1006" s="12" t="n">
        <v>9.059320682041438</v>
      </c>
      <c r="O1006" s="12" t="n">
        <v>204.2192082517998</v>
      </c>
      <c r="P1006" s="5" t="inlineStr">
        <is>
          <t>Caution</t>
        </is>
      </c>
      <c r="Q1006" s="5" t="inlineStr">
        <is>
          <t>Turn Right</t>
        </is>
      </c>
      <c r="R1006" s="12" t="n">
        <v>0.79</v>
      </c>
      <c r="S1006" s="5" t="inlineStr">
        <is>
          <t>ACCEPTED</t>
        </is>
      </c>
      <c r="T1006" s="5" t="inlineStr">
        <is>
          <t>DLS exceeds normal range</t>
        </is>
      </c>
    </row>
    <row r="1007" s="17">
      <c r="A1007" s="7" t="n">
        <v>8360</v>
      </c>
      <c r="B1007" s="8" t="n">
        <v>72597.619035</v>
      </c>
      <c r="C1007" s="9" t="n">
        <v>72.59761903499999</v>
      </c>
      <c r="D1007" s="9" t="n">
        <v>118.50427016</v>
      </c>
      <c r="E1007" s="9" t="n">
        <v>30</v>
      </c>
      <c r="F1007" s="10" t="n">
        <v>0.05462798203744686</v>
      </c>
      <c r="G1007" s="10" t="n">
        <v>0.3234966335981965</v>
      </c>
      <c r="H1007" s="10" t="n">
        <v>0.9886572715874199</v>
      </c>
      <c r="I1007" s="10" t="n">
        <v>0.096431</v>
      </c>
      <c r="J1007" s="5" t="inlineStr">
        <is>
          <t>Transition</t>
        </is>
      </c>
      <c r="K1007" s="11" t="n">
        <v>22.26151266829074</v>
      </c>
      <c r="L1007" s="12" t="n">
        <v>1.476153773641271</v>
      </c>
      <c r="M1007" s="12" t="n">
        <v>6.991056233037458</v>
      </c>
      <c r="N1007" s="12" t="n">
        <v>8.91382992397426</v>
      </c>
      <c r="O1007" s="12" t="n">
        <v>195.4028136388165</v>
      </c>
      <c r="P1007" s="5" t="inlineStr">
        <is>
          <t>Caution</t>
        </is>
      </c>
      <c r="Q1007" s="5" t="inlineStr">
        <is>
          <t>Turn Right</t>
        </is>
      </c>
      <c r="R1007" s="12" t="n">
        <v>0.5</v>
      </c>
      <c r="S1007" s="5" t="inlineStr">
        <is>
          <t>REDUCED</t>
        </is>
      </c>
      <c r="T1007" s="5" t="inlineStr">
        <is>
          <t>DLS exceeds normal range</t>
        </is>
      </c>
    </row>
    <row r="1008" s="17">
      <c r="A1008" s="7" t="n">
        <v>8365</v>
      </c>
      <c r="B1008" s="8" t="n">
        <v>47260.35495</v>
      </c>
      <c r="C1008" s="9" t="n">
        <v>47.26035495</v>
      </c>
      <c r="D1008" s="9" t="n">
        <v>130.39700083</v>
      </c>
      <c r="E1008" s="9" t="n">
        <v>71.16136874</v>
      </c>
      <c r="F1008" s="10" t="n">
        <v>0.06369153208608178</v>
      </c>
      <c r="G1008" s="10" t="n">
        <v>0.121389193354816</v>
      </c>
      <c r="H1008" s="10" t="n">
        <v>0.945207280301553</v>
      </c>
      <c r="I1008" s="10" t="n">
        <v>0.385564</v>
      </c>
      <c r="J1008" s="5" t="inlineStr">
        <is>
          <t>Cleaner sand</t>
        </is>
      </c>
      <c r="K1008" s="11" t="n">
        <v>18.10314967071363</v>
      </c>
      <c r="L1008" s="12" t="n">
        <v>1.504319602589445</v>
      </c>
      <c r="M1008" s="12" t="n">
        <v>8.098197965628486</v>
      </c>
      <c r="N1008" s="12" t="n">
        <v>5.054439011483583</v>
      </c>
      <c r="O1008" s="12" t="n">
        <v>201.6211626034686</v>
      </c>
      <c r="P1008" s="5" t="inlineStr">
        <is>
          <t>Caution</t>
        </is>
      </c>
      <c r="Q1008" s="5" t="inlineStr">
        <is>
          <t>Build</t>
        </is>
      </c>
      <c r="R1008" s="12" t="n">
        <v>0.6</v>
      </c>
      <c r="S1008" s="5" t="inlineStr">
        <is>
          <t>REDUCED</t>
        </is>
      </c>
      <c r="T1008" s="5" t="inlineStr">
        <is>
          <t>DLS exceeds normal range</t>
        </is>
      </c>
    </row>
    <row r="1009" s="17">
      <c r="A1009" s="7" t="n">
        <v>8370</v>
      </c>
      <c r="B1009" s="8" t="n">
        <v>49255.115332</v>
      </c>
      <c r="C1009" s="9" t="n">
        <v>49.255115332</v>
      </c>
      <c r="D1009" s="9" t="n">
        <v>150.2869102</v>
      </c>
      <c r="E1009" s="9" t="n">
        <v>37.50679672</v>
      </c>
      <c r="F1009" s="10" t="n">
        <v>0.1452639671075917</v>
      </c>
      <c r="G1009" s="10" t="n">
        <v>0.2181727345049633</v>
      </c>
      <c r="H1009" s="10" t="n">
        <v>0.9428410806405862</v>
      </c>
      <c r="I1009" s="10" t="n">
        <v>0.870552</v>
      </c>
      <c r="J1009" s="5" t="inlineStr">
        <is>
          <t>Cleaner sand</t>
        </is>
      </c>
      <c r="K1009" s="11" t="n">
        <v>18.21000782713837</v>
      </c>
      <c r="L1009" s="12" t="n">
        <v>2.288005459551846</v>
      </c>
      <c r="M1009" s="12" t="n">
        <v>6.676271385906564</v>
      </c>
      <c r="N1009" s="12" t="n">
        <v>6.126490748905866</v>
      </c>
      <c r="O1009" s="12" t="n">
        <v>212.8976346516844</v>
      </c>
      <c r="P1009" s="5" t="inlineStr">
        <is>
          <t>Caution</t>
        </is>
      </c>
      <c r="Q1009" s="5" t="inlineStr">
        <is>
          <t>Build</t>
        </is>
      </c>
      <c r="R1009" s="12" t="n">
        <v>0.5600000000000001</v>
      </c>
      <c r="S1009" s="5" t="inlineStr">
        <is>
          <t>REDUCED</t>
        </is>
      </c>
      <c r="T1009" s="5" t="inlineStr">
        <is>
          <t>DLS exceeds normal range</t>
        </is>
      </c>
    </row>
    <row r="1010" s="17">
      <c r="A1010" s="7" t="n">
        <v>8375</v>
      </c>
      <c r="B1010" s="8" t="n">
        <v>57646.91473</v>
      </c>
      <c r="C1010" s="9" t="n">
        <v>57.64691473</v>
      </c>
      <c r="D1010" s="9" t="n">
        <v>103.85309373</v>
      </c>
      <c r="E1010" s="9" t="n">
        <v>48.61983688</v>
      </c>
      <c r="F1010" s="10" t="n">
        <v>0.09536595926115393</v>
      </c>
      <c r="G1010" s="10" t="n">
        <v>0.3091942577637891</v>
      </c>
      <c r="H1010" s="10" t="n">
        <v>0.9140937862989964</v>
      </c>
      <c r="I1010" s="10" t="n">
        <v>0.845066</v>
      </c>
      <c r="J1010" s="5" t="inlineStr">
        <is>
          <t>Transition</t>
        </is>
      </c>
      <c r="K1010" s="11" t="n">
        <v>20.16782213883164</v>
      </c>
      <c r="L1010" s="12" t="n">
        <v>1.933268619755311</v>
      </c>
      <c r="M1010" s="12" t="n">
        <v>5.718053504324654</v>
      </c>
      <c r="N1010" s="12" t="n">
        <v>7.373028915290186</v>
      </c>
      <c r="O1010" s="12" t="n">
        <v>206.0313044257876</v>
      </c>
      <c r="P1010" s="5" t="inlineStr">
        <is>
          <t>Normal</t>
        </is>
      </c>
      <c r="Q1010" s="5" t="inlineStr">
        <is>
          <t>Turn Right</t>
        </is>
      </c>
      <c r="R1010" s="12" t="n">
        <v>0.73</v>
      </c>
      <c r="S1010" s="5" t="inlineStr">
        <is>
          <t>ACCEPTED</t>
        </is>
      </c>
      <c r="T1010" s="5" t="inlineStr">
        <is>
          <t>Normal operation</t>
        </is>
      </c>
    </row>
    <row r="1011" s="17">
      <c r="A1011" s="7" t="n">
        <v>8380</v>
      </c>
      <c r="B1011" s="8" t="n">
        <v>44772.327679</v>
      </c>
      <c r="C1011" s="9" t="n">
        <v>44.772327679</v>
      </c>
      <c r="D1011" s="9" t="n">
        <v>122.57674645</v>
      </c>
      <c r="E1011" s="9" t="n">
        <v>52.08523888000001</v>
      </c>
      <c r="F1011" s="10" t="n">
        <v>0.03437226787074828</v>
      </c>
      <c r="G1011" s="10" t="n">
        <v>0.169642287600743</v>
      </c>
      <c r="H1011" s="10" t="n">
        <v>0.9741394855813117</v>
      </c>
      <c r="I1011" s="10" t="n">
        <v>0.113021</v>
      </c>
      <c r="J1011" s="5" t="inlineStr">
        <is>
          <t>Cleaner sand</t>
        </is>
      </c>
      <c r="K1011" s="11" t="n">
        <v>16.2151192156248</v>
      </c>
      <c r="L1011" s="12" t="n">
        <v>1.115385601100854</v>
      </c>
      <c r="M1011" s="12" t="n">
        <v>7.009918900077335</v>
      </c>
      <c r="N1011" s="12" t="n">
        <v>6.45243831610324</v>
      </c>
      <c r="O1011" s="12" t="n">
        <v>197.1943935505152</v>
      </c>
      <c r="P1011" s="5" t="inlineStr">
        <is>
          <t>Caution</t>
        </is>
      </c>
      <c r="Q1011" s="5" t="inlineStr">
        <is>
          <t>Turn Right</t>
        </is>
      </c>
      <c r="R1011" s="12" t="n">
        <v>0.49</v>
      </c>
      <c r="S1011" s="5" t="inlineStr">
        <is>
          <t>REJECTED</t>
        </is>
      </c>
      <c r="T1011" s="5" t="inlineStr">
        <is>
          <t>DLS exceeds normal range</t>
        </is>
      </c>
    </row>
    <row r="1012" s="17">
      <c r="A1012" s="7" t="n">
        <v>8385</v>
      </c>
      <c r="B1012" s="8" t="n">
        <v>47371.923388</v>
      </c>
      <c r="C1012" s="9" t="n">
        <v>47.37192338800001</v>
      </c>
      <c r="D1012" s="9" t="n">
        <v>122.0404207</v>
      </c>
      <c r="E1012" s="9" t="n">
        <v>30.35435246</v>
      </c>
      <c r="F1012" s="10" t="n">
        <v>0.09895846753241394</v>
      </c>
      <c r="G1012" s="10" t="n">
        <v>0.2770609111372595</v>
      </c>
      <c r="H1012" s="10" t="n">
        <v>0.9332907775340779</v>
      </c>
      <c r="I1012" s="10" t="n">
        <v>0.687666</v>
      </c>
      <c r="J1012" s="5" t="inlineStr">
        <is>
          <t>Transition</t>
        </is>
      </c>
      <c r="K1012" s="11" t="n">
        <v>18.54587036494997</v>
      </c>
      <c r="L1012" s="12" t="n">
        <v>1.780787341431682</v>
      </c>
      <c r="M1012" s="12" t="n">
        <v>8.305721737343662</v>
      </c>
      <c r="N1012" s="12" t="n">
        <v>7.255634787473697</v>
      </c>
      <c r="O1012" s="12" t="n">
        <v>191.9735002826966</v>
      </c>
      <c r="P1012" s="5" t="inlineStr">
        <is>
          <t>Caution</t>
        </is>
      </c>
      <c r="Q1012" s="5" t="inlineStr">
        <is>
          <t>Turn Right</t>
        </is>
      </c>
      <c r="R1012" s="12" t="n">
        <v>0.7</v>
      </c>
      <c r="S1012" s="5" t="inlineStr">
        <is>
          <t>ACCEPTED</t>
        </is>
      </c>
      <c r="T1012" s="5" t="inlineStr">
        <is>
          <t>DLS exceeds normal range</t>
        </is>
      </c>
    </row>
    <row r="1013" s="17">
      <c r="A1013" s="7" t="n">
        <v>8390</v>
      </c>
      <c r="B1013" s="8" t="n">
        <v>55399.450616</v>
      </c>
      <c r="C1013" s="9" t="n">
        <v>55.399450616</v>
      </c>
      <c r="D1013" s="9" t="n">
        <v>158.31595085</v>
      </c>
      <c r="E1013" s="9" t="n">
        <v>30</v>
      </c>
      <c r="F1013" s="10" t="n">
        <v>0.0651610291009834</v>
      </c>
      <c r="G1013" s="10" t="n">
        <v>0.2957669524642389</v>
      </c>
      <c r="H1013" s="10" t="n">
        <v>0.8965362853368354</v>
      </c>
      <c r="I1013" s="10" t="n">
        <v>0.701883</v>
      </c>
      <c r="J1013" s="5" t="inlineStr">
        <is>
          <t>Transition</t>
        </is>
      </c>
      <c r="K1013" s="11" t="n">
        <v>18.90251177191633</v>
      </c>
      <c r="L1013" s="12" t="n">
        <v>1.904128656763425</v>
      </c>
      <c r="M1013" s="12" t="n">
        <v>5.811379088215498</v>
      </c>
      <c r="N1013" s="12" t="n">
        <v>5.377466656823562</v>
      </c>
      <c r="O1013" s="12" t="n">
        <v>180</v>
      </c>
      <c r="P1013" s="5" t="inlineStr">
        <is>
          <t>Normal</t>
        </is>
      </c>
      <c r="Q1013" s="5" t="inlineStr">
        <is>
          <t>Turn Right</t>
        </is>
      </c>
      <c r="R1013" s="12" t="n">
        <v>0.87</v>
      </c>
      <c r="S1013" s="5" t="inlineStr">
        <is>
          <t>ACCEPTED</t>
        </is>
      </c>
      <c r="T1013" s="5" t="inlineStr">
        <is>
          <t>Normal operation</t>
        </is>
      </c>
    </row>
    <row r="1014" s="17">
      <c r="A1014" s="7" t="n">
        <v>8395</v>
      </c>
      <c r="B1014" s="8" t="n">
        <v>41848.665411</v>
      </c>
      <c r="C1014" s="9" t="n">
        <v>41.848665411</v>
      </c>
      <c r="D1014" s="9" t="n">
        <v>137.54378306</v>
      </c>
      <c r="E1014" s="9" t="n">
        <v>55.46496318000001</v>
      </c>
      <c r="F1014" s="10" t="n">
        <v>0.04305646717197593</v>
      </c>
      <c r="G1014" s="10" t="n">
        <v>0.1399137625701639</v>
      </c>
      <c r="H1014" s="10" t="n">
        <v>0.9146070072491235</v>
      </c>
      <c r="I1014" s="10" t="n">
        <v>0.351471</v>
      </c>
      <c r="J1014" s="5" t="inlineStr">
        <is>
          <t>Cleaner sand</t>
        </is>
      </c>
      <c r="K1014" s="11" t="n">
        <v>18.28789057891913</v>
      </c>
      <c r="L1014" s="12" t="n">
        <v>2.218673028875421</v>
      </c>
      <c r="M1014" s="12" t="n">
        <v>6.320078222070953</v>
      </c>
      <c r="N1014" s="12" t="n">
        <v>5.015690580101475</v>
      </c>
      <c r="O1014" s="12" t="n">
        <v>197.6394656906928</v>
      </c>
      <c r="P1014" s="5" t="inlineStr">
        <is>
          <t>Caution</t>
        </is>
      </c>
      <c r="Q1014" s="5" t="inlineStr">
        <is>
          <t>Build</t>
        </is>
      </c>
      <c r="R1014" s="12" t="n">
        <v>0.68</v>
      </c>
      <c r="S1014" s="5" t="inlineStr">
        <is>
          <t>REDUCED</t>
        </is>
      </c>
      <c r="T1014" s="5" t="inlineStr">
        <is>
          <t>DLS exceeds normal range</t>
        </is>
      </c>
    </row>
    <row r="1015" s="17">
      <c r="A1015" s="7" t="n">
        <v>8400</v>
      </c>
      <c r="B1015" s="8" t="n">
        <v>50608.056852</v>
      </c>
      <c r="C1015" s="9" t="n">
        <v>50.608056852</v>
      </c>
      <c r="D1015" s="9" t="n">
        <v>137.94607006</v>
      </c>
      <c r="E1015" s="9" t="n">
        <v>40.06512866</v>
      </c>
      <c r="F1015" s="10" t="n">
        <v>0.1073878723430067</v>
      </c>
      <c r="G1015" s="10" t="n">
        <v>0.2189034652878047</v>
      </c>
      <c r="H1015" s="10" t="n">
        <v>0.9428944286379256</v>
      </c>
      <c r="I1015" s="10" t="n">
        <v>0.620009</v>
      </c>
      <c r="J1015" s="5" t="inlineStr">
        <is>
          <t>Cleaner sand</t>
        </is>
      </c>
      <c r="K1015" s="11" t="n">
        <v>17.13448341285115</v>
      </c>
      <c r="L1015" s="12" t="n">
        <v>2.434464936418503</v>
      </c>
      <c r="M1015" s="12" t="n">
        <v>6.928227112653129</v>
      </c>
      <c r="N1015" s="12" t="n">
        <v>8.011677526606494</v>
      </c>
      <c r="O1015" s="12" t="n">
        <v>197.4759154618637</v>
      </c>
      <c r="P1015" s="5" t="inlineStr">
        <is>
          <t>Caution</t>
        </is>
      </c>
      <c r="Q1015" s="5" t="inlineStr">
        <is>
          <t>Turn Right</t>
        </is>
      </c>
      <c r="R1015" s="12" t="n">
        <v>0.78</v>
      </c>
      <c r="S1015" s="5" t="inlineStr">
        <is>
          <t>ACCEPTED</t>
        </is>
      </c>
      <c r="T1015" s="5" t="inlineStr">
        <is>
          <t>DLS exceeds normal range</t>
        </is>
      </c>
    </row>
    <row r="1016" s="17">
      <c r="A1016" s="7" t="n">
        <v>8405</v>
      </c>
      <c r="B1016" s="8" t="n">
        <v>65490.290108</v>
      </c>
      <c r="C1016" s="9" t="n">
        <v>65.490290108</v>
      </c>
      <c r="D1016" s="9" t="n">
        <v>155.26289987</v>
      </c>
      <c r="E1016" s="9" t="n">
        <v>31.8164428</v>
      </c>
      <c r="F1016" s="10" t="n">
        <v>0.1196123223234763</v>
      </c>
      <c r="G1016" s="10" t="n">
        <v>0.2803784268119796</v>
      </c>
      <c r="H1016" s="10" t="n">
        <v>0.8989431958480736</v>
      </c>
      <c r="I1016" s="10" t="n">
        <v>1.21575</v>
      </c>
      <c r="J1016" s="5" t="inlineStr">
        <is>
          <t>Transition</t>
        </is>
      </c>
      <c r="K1016" s="11" t="n">
        <v>22.29679958673374</v>
      </c>
      <c r="L1016" s="12" t="n">
        <v>1.162603846004344</v>
      </c>
      <c r="M1016" s="12" t="n">
        <v>6.537529286215659</v>
      </c>
      <c r="N1016" s="12" t="n">
        <v>7.837102624970033</v>
      </c>
      <c r="O1016" s="12" t="n">
        <v>206.2422315490995</v>
      </c>
      <c r="P1016" s="5" t="inlineStr">
        <is>
          <t>Caution</t>
        </is>
      </c>
      <c r="Q1016" s="5" t="inlineStr">
        <is>
          <t>Turn Right</t>
        </is>
      </c>
      <c r="R1016" s="12" t="n">
        <v>0.44</v>
      </c>
      <c r="S1016" s="5" t="inlineStr">
        <is>
          <t>REJECTED</t>
        </is>
      </c>
      <c r="T1016" s="5" t="inlineStr">
        <is>
          <t>DLS exceeds normal range</t>
        </is>
      </c>
    </row>
    <row r="1017" s="17">
      <c r="A1017" s="7" t="n">
        <v>8410</v>
      </c>
      <c r="B1017" s="8" t="n">
        <v>49707.442211</v>
      </c>
      <c r="C1017" s="9" t="n">
        <v>49.707442211</v>
      </c>
      <c r="D1017" s="9" t="n">
        <v>127.18746772</v>
      </c>
      <c r="E1017" s="9" t="n">
        <v>64.21153253999999</v>
      </c>
      <c r="F1017" s="10" t="n">
        <v>0.06913916568126291</v>
      </c>
      <c r="G1017" s="10" t="n">
        <v>0.04053519087387253</v>
      </c>
      <c r="H1017" s="10" t="n">
        <v>1</v>
      </c>
      <c r="I1017" s="10" t="n">
        <v>0.012243</v>
      </c>
      <c r="J1017" s="5" t="inlineStr">
        <is>
          <t>Cleaner sand</t>
        </is>
      </c>
      <c r="K1017" s="11" t="n">
        <v>17.8559395044038</v>
      </c>
      <c r="L1017" s="12" t="n">
        <v>1.262679819506934</v>
      </c>
      <c r="M1017" s="12" t="n">
        <v>5.780155179171587</v>
      </c>
      <c r="N1017" s="12" t="n">
        <v>7.821338586297158</v>
      </c>
      <c r="O1017" s="12" t="n">
        <v>202.5871171291741</v>
      </c>
      <c r="P1017" s="5" t="inlineStr">
        <is>
          <t>Normal</t>
        </is>
      </c>
      <c r="Q1017" s="5" t="inlineStr">
        <is>
          <t>Turn Right</t>
        </is>
      </c>
      <c r="R1017" s="12" t="n">
        <v>0.65</v>
      </c>
      <c r="S1017" s="5" t="inlineStr">
        <is>
          <t>REDUCED</t>
        </is>
      </c>
      <c r="T1017" s="5" t="inlineStr">
        <is>
          <t>Normal operation</t>
        </is>
      </c>
    </row>
    <row r="1018" s="17">
      <c r="A1018" s="7" t="n">
        <v>8415</v>
      </c>
      <c r="B1018" s="8" t="n">
        <v>56217.215658</v>
      </c>
      <c r="C1018" s="9" t="n">
        <v>56.217215658</v>
      </c>
      <c r="D1018" s="9" t="n">
        <v>142.57172854</v>
      </c>
      <c r="E1018" s="9" t="n">
        <v>46.9604447</v>
      </c>
      <c r="F1018" s="10" t="n">
        <v>0.1421681094305049</v>
      </c>
      <c r="G1018" s="10" t="n">
        <v>0.2233847018848345</v>
      </c>
      <c r="H1018" s="10" t="n">
        <v>0.8977468986465348</v>
      </c>
      <c r="I1018" s="10" t="n">
        <v>1.465008</v>
      </c>
      <c r="J1018" s="5" t="inlineStr">
        <is>
          <t>Cleaner sand</t>
        </is>
      </c>
      <c r="K1018" s="11" t="n">
        <v>18.20389884057139</v>
      </c>
      <c r="L1018" s="12" t="n">
        <v>1.1</v>
      </c>
      <c r="M1018" s="12" t="n">
        <v>7.448592175438504</v>
      </c>
      <c r="N1018" s="12" t="n">
        <v>8.572787077072022</v>
      </c>
      <c r="O1018" s="12" t="n">
        <v>202.8897095288891</v>
      </c>
      <c r="P1018" s="5" t="inlineStr">
        <is>
          <t>Caution</t>
        </is>
      </c>
      <c r="Q1018" s="5" t="inlineStr">
        <is>
          <t>Turn Right</t>
        </is>
      </c>
      <c r="R1018" s="12" t="n">
        <v>0.45</v>
      </c>
      <c r="S1018" s="5" t="inlineStr">
        <is>
          <t>REJECTED</t>
        </is>
      </c>
      <c r="T1018" s="5" t="inlineStr">
        <is>
          <t>DLS exceeds normal range</t>
        </is>
      </c>
    </row>
    <row r="1019" s="17">
      <c r="A1019" s="7" t="n">
        <v>8420</v>
      </c>
      <c r="B1019" s="8" t="n">
        <v>63754.977042</v>
      </c>
      <c r="C1019" s="9" t="n">
        <v>63.754977042</v>
      </c>
      <c r="D1019" s="9" t="n">
        <v>157.0415753</v>
      </c>
      <c r="E1019" s="9" t="n">
        <v>40.5942763</v>
      </c>
      <c r="F1019" s="10" t="n">
        <v>0.1133837381718444</v>
      </c>
      <c r="G1019" s="10" t="n">
        <v>0.2612214274918404</v>
      </c>
      <c r="H1019" s="10" t="n">
        <v>0.9585577958565745</v>
      </c>
      <c r="I1019" s="10" t="n">
        <v>0.462268</v>
      </c>
      <c r="J1019" s="5" t="inlineStr">
        <is>
          <t>Transition</t>
        </is>
      </c>
      <c r="K1019" s="11" t="n">
        <v>19.7577883472021</v>
      </c>
      <c r="L1019" s="12" t="n">
        <v>1.545330269037579</v>
      </c>
      <c r="M1019" s="12" t="n">
        <v>8.392010273854122</v>
      </c>
      <c r="N1019" s="12" t="n">
        <v>8.87688853203994</v>
      </c>
      <c r="O1019" s="12" t="n">
        <v>190.4409417822534</v>
      </c>
      <c r="P1019" s="5" t="inlineStr">
        <is>
          <t>Caution</t>
        </is>
      </c>
      <c r="Q1019" s="5" t="inlineStr">
        <is>
          <t>Turn Right</t>
        </is>
      </c>
      <c r="R1019" s="12" t="n">
        <v>0.73</v>
      </c>
      <c r="S1019" s="5" t="inlineStr">
        <is>
          <t>ACCEPTED</t>
        </is>
      </c>
      <c r="T1019" s="5" t="inlineStr">
        <is>
          <t>DLS exceeds normal range</t>
        </is>
      </c>
    </row>
    <row r="1020" s="17">
      <c r="A1020" s="7" t="n">
        <v>8425</v>
      </c>
      <c r="B1020" s="8" t="n">
        <v>39657.072325</v>
      </c>
      <c r="C1020" s="9" t="n">
        <v>39.657072325</v>
      </c>
      <c r="D1020" s="9" t="n">
        <v>144.78256539</v>
      </c>
      <c r="E1020" s="9" t="n">
        <v>67.02853020000001</v>
      </c>
      <c r="F1020" s="10" t="n">
        <v>0.07303637849725436</v>
      </c>
      <c r="G1020" s="10" t="n">
        <v>0.1854681577241296</v>
      </c>
      <c r="H1020" s="10" t="n">
        <v>0.9516698078790892</v>
      </c>
      <c r="I1020" s="10" t="n">
        <v>0.371132</v>
      </c>
      <c r="J1020" s="5" t="inlineStr">
        <is>
          <t>Cleaner sand</t>
        </is>
      </c>
      <c r="K1020" s="11" t="n">
        <v>15.48920103217855</v>
      </c>
      <c r="L1020" s="12" t="n">
        <v>1.888515603478704</v>
      </c>
      <c r="M1020" s="12" t="n">
        <v>6.677519633618727</v>
      </c>
      <c r="N1020" s="12" t="n">
        <v>10.51325257524909</v>
      </c>
      <c r="O1020" s="12" t="n">
        <v>201.144279457956</v>
      </c>
      <c r="P1020" s="5" t="inlineStr">
        <is>
          <t>Caution</t>
        </is>
      </c>
      <c r="Q1020" s="5" t="inlineStr">
        <is>
          <t>Turn Right</t>
        </is>
      </c>
      <c r="R1020" s="12" t="n">
        <v>0.55</v>
      </c>
      <c r="S1020" s="5" t="inlineStr">
        <is>
          <t>REDUCED</t>
        </is>
      </c>
      <c r="T1020" s="5" t="inlineStr">
        <is>
          <t>DLS exceeds normal range</t>
        </is>
      </c>
    </row>
    <row r="1021" s="17">
      <c r="A1021" s="7" t="n">
        <v>8430</v>
      </c>
      <c r="B1021" s="8" t="n">
        <v>67364.01489400001</v>
      </c>
      <c r="C1021" s="9" t="n">
        <v>67.36401489400001</v>
      </c>
      <c r="D1021" s="9" t="n">
        <v>113.76612841</v>
      </c>
      <c r="E1021" s="9" t="n">
        <v>36.40339898000001</v>
      </c>
      <c r="F1021" s="10" t="n">
        <v>0.1182549124108934</v>
      </c>
      <c r="G1021" s="10" t="n">
        <v>0.1694190680100562</v>
      </c>
      <c r="H1021" s="10" t="n">
        <v>0.9023131620670138</v>
      </c>
      <c r="I1021" s="10" t="n">
        <v>1.138043</v>
      </c>
      <c r="J1021" s="5" t="inlineStr">
        <is>
          <t>Cleaner sand</t>
        </is>
      </c>
      <c r="K1021" s="11" t="n">
        <v>21.32962024100951</v>
      </c>
      <c r="L1021" s="12" t="n">
        <v>2.14379391312866</v>
      </c>
      <c r="M1021" s="12" t="n">
        <v>5.781762590333553</v>
      </c>
      <c r="N1021" s="12" t="n">
        <v>10.91531517029664</v>
      </c>
      <c r="O1021" s="12" t="n">
        <v>217.7803308046817</v>
      </c>
      <c r="P1021" s="5" t="inlineStr">
        <is>
          <t>Normal</t>
        </is>
      </c>
      <c r="Q1021" s="5" t="inlineStr">
        <is>
          <t>Turn Right</t>
        </is>
      </c>
      <c r="R1021" s="12" t="n">
        <v>0.5600000000000001</v>
      </c>
      <c r="S1021" s="5" t="inlineStr">
        <is>
          <t>REDUCED</t>
        </is>
      </c>
      <c r="T1021" s="5" t="inlineStr">
        <is>
          <t>Normal operation</t>
        </is>
      </c>
    </row>
    <row r="1022" s="17">
      <c r="A1022" s="7" t="n">
        <v>8435</v>
      </c>
      <c r="B1022" s="8" t="n">
        <v>60580.794561</v>
      </c>
      <c r="C1022" s="9" t="n">
        <v>60.580794561</v>
      </c>
      <c r="D1022" s="9" t="n">
        <v>153.46416473</v>
      </c>
      <c r="E1022" s="9" t="n">
        <v>53.4000646</v>
      </c>
      <c r="F1022" s="10" t="n">
        <v>0.04928025165131941</v>
      </c>
      <c r="G1022" s="10" t="n">
        <v>0.3600679678089976</v>
      </c>
      <c r="H1022" s="10" t="n">
        <v>0.9278579802517771</v>
      </c>
      <c r="I1022" s="10" t="n">
        <v>0.403814</v>
      </c>
      <c r="J1022" s="5" t="inlineStr">
        <is>
          <t>Transition</t>
        </is>
      </c>
      <c r="K1022" s="11" t="n">
        <v>20.18070886324942</v>
      </c>
      <c r="L1022" s="12" t="n">
        <v>1.622783998415164</v>
      </c>
      <c r="M1022" s="12" t="n">
        <v>5.250018580111043</v>
      </c>
      <c r="N1022" s="12" t="n">
        <v>10.32686362067223</v>
      </c>
      <c r="O1022" s="12" t="n">
        <v>232.7963005980669</v>
      </c>
      <c r="P1022" s="5" t="inlineStr">
        <is>
          <t>Normal</t>
        </is>
      </c>
      <c r="Q1022" s="5" t="inlineStr">
        <is>
          <t>Turn Right</t>
        </is>
      </c>
      <c r="R1022" s="12" t="n">
        <v>0.44</v>
      </c>
      <c r="S1022" s="5" t="inlineStr">
        <is>
          <t>REJECTED</t>
        </is>
      </c>
      <c r="T1022" s="5" t="inlineStr">
        <is>
          <t>Normal operation</t>
        </is>
      </c>
    </row>
    <row r="1023" s="17">
      <c r="A1023" s="7" t="n">
        <v>8440</v>
      </c>
      <c r="B1023" s="8" t="n">
        <v>35672.366026</v>
      </c>
      <c r="C1023" s="9" t="n">
        <v>35.67236602600001</v>
      </c>
      <c r="D1023" s="9" t="n">
        <v>142.33080712</v>
      </c>
      <c r="E1023" s="9" t="n">
        <v>42.08664514</v>
      </c>
      <c r="F1023" s="10" t="n">
        <v>0.04206141183257893</v>
      </c>
      <c r="G1023" s="10" t="n">
        <v>0.088855037938408</v>
      </c>
      <c r="H1023" s="10" t="n">
        <v>0.963623627143348</v>
      </c>
      <c r="I1023" s="10" t="n">
        <v>0.201756</v>
      </c>
      <c r="J1023" s="5" t="inlineStr">
        <is>
          <t>Cleaner sand</t>
        </is>
      </c>
      <c r="K1023" s="11" t="n">
        <v>14.50297467112883</v>
      </c>
      <c r="L1023" s="12" t="n">
        <v>1.503274713605126</v>
      </c>
      <c r="M1023" s="12" t="n">
        <v>6.679505637702183</v>
      </c>
      <c r="N1023" s="12" t="n">
        <v>11.10646414955673</v>
      </c>
      <c r="O1023" s="12" t="n">
        <v>217.431167355704</v>
      </c>
      <c r="P1023" s="5" t="inlineStr">
        <is>
          <t>Caution</t>
        </is>
      </c>
      <c r="Q1023" s="5" t="inlineStr">
        <is>
          <t>Turn Right</t>
        </is>
      </c>
      <c r="R1023" s="12" t="n">
        <v>0.57</v>
      </c>
      <c r="S1023" s="5" t="inlineStr">
        <is>
          <t>REDUCED</t>
        </is>
      </c>
      <c r="T1023" s="5" t="inlineStr">
        <is>
          <t>DLS exceeds normal range</t>
        </is>
      </c>
    </row>
    <row r="1024" s="17">
      <c r="A1024" s="7" t="n">
        <v>8445</v>
      </c>
      <c r="B1024" s="8" t="n">
        <v>56582.908532</v>
      </c>
      <c r="C1024" s="9" t="n">
        <v>56.582908532</v>
      </c>
      <c r="D1024" s="9" t="n">
        <v>138.36011832</v>
      </c>
      <c r="E1024" s="9" t="n">
        <v>45.14621274</v>
      </c>
      <c r="F1024" s="10" t="n">
        <v>0.1387889752003236</v>
      </c>
      <c r="G1024" s="10" t="n">
        <v>0.2256924091912129</v>
      </c>
      <c r="H1024" s="10" t="n">
        <v>0.9125699307675218</v>
      </c>
      <c r="I1024" s="10" t="n">
        <v>1.223044</v>
      </c>
      <c r="J1024" s="5" t="inlineStr">
        <is>
          <t>Cleaner sand</t>
        </is>
      </c>
      <c r="K1024" s="11" t="n">
        <v>18.89822108026353</v>
      </c>
      <c r="L1024" s="12" t="n">
        <v>1.734361416201883</v>
      </c>
      <c r="M1024" s="12" t="n">
        <v>7.339933722136856</v>
      </c>
      <c r="N1024" s="12" t="n">
        <v>11.06274498597226</v>
      </c>
      <c r="O1024" s="12" t="n">
        <v>224.5913430253456</v>
      </c>
      <c r="P1024" s="5" t="inlineStr">
        <is>
          <t>Caution</t>
        </is>
      </c>
      <c r="Q1024" s="5" t="inlineStr">
        <is>
          <t>Turn Right</t>
        </is>
      </c>
      <c r="R1024" s="12" t="n">
        <v>0.68</v>
      </c>
      <c r="S1024" s="5" t="inlineStr">
        <is>
          <t>REDUCED</t>
        </is>
      </c>
      <c r="T1024" s="5" t="inlineStr">
        <is>
          <t>DLS exceeds normal range</t>
        </is>
      </c>
    </row>
    <row r="1025" s="17">
      <c r="A1025" s="7" t="n">
        <v>8450</v>
      </c>
      <c r="B1025" s="8" t="n">
        <v>56489.701068</v>
      </c>
      <c r="C1025" s="9" t="n">
        <v>56.489701068</v>
      </c>
      <c r="D1025" s="9" t="n">
        <v>159.44064695</v>
      </c>
      <c r="E1025" s="9" t="n">
        <v>34.64029976</v>
      </c>
      <c r="F1025" s="10" t="n">
        <v>0.1018090235980547</v>
      </c>
      <c r="G1025" s="10" t="n">
        <v>0.3121279071471292</v>
      </c>
      <c r="H1025" s="10" t="n">
        <v>0.9199451535370123</v>
      </c>
      <c r="I1025" s="10" t="n">
        <v>0.817513</v>
      </c>
      <c r="J1025" s="5" t="inlineStr">
        <is>
          <t>Transition</t>
        </is>
      </c>
      <c r="K1025" s="11" t="n">
        <v>21.04770316271653</v>
      </c>
      <c r="L1025" s="12" t="n">
        <v>1.250779978201289</v>
      </c>
      <c r="M1025" s="12" t="n">
        <v>6.820443264618291</v>
      </c>
      <c r="N1025" s="12" t="n">
        <v>10.18248626877024</v>
      </c>
      <c r="O1025" s="12" t="n">
        <v>233.8738538755954</v>
      </c>
      <c r="P1025" s="5" t="inlineStr">
        <is>
          <t>Caution</t>
        </is>
      </c>
      <c r="Q1025" s="5" t="inlineStr">
        <is>
          <t>Turn Right</t>
        </is>
      </c>
      <c r="R1025" s="12" t="n">
        <v>0.72</v>
      </c>
      <c r="S1025" s="5" t="inlineStr">
        <is>
          <t>ACCEPTED</t>
        </is>
      </c>
      <c r="T1025" s="5" t="inlineStr">
        <is>
          <t>DLS exceeds normal range</t>
        </is>
      </c>
    </row>
    <row r="1026" s="17">
      <c r="A1026" s="7" t="n">
        <v>8455</v>
      </c>
      <c r="B1026" s="8" t="n">
        <v>45008.573486</v>
      </c>
      <c r="C1026" s="9" t="n">
        <v>45.008573486</v>
      </c>
      <c r="D1026" s="9" t="n">
        <v>126.25000241</v>
      </c>
      <c r="E1026" s="9" t="n">
        <v>47.2382484</v>
      </c>
      <c r="F1026" s="10" t="n">
        <v>0.06393023009533977</v>
      </c>
      <c r="G1026" s="10" t="n">
        <v>0.05514840743813323</v>
      </c>
      <c r="H1026" s="10" t="n">
        <v>0.9265385851245244</v>
      </c>
      <c r="I1026" s="10" t="n">
        <v>0.45489</v>
      </c>
      <c r="J1026" s="5" t="inlineStr">
        <is>
          <t>Cleaner sand</t>
        </is>
      </c>
      <c r="K1026" s="11" t="n">
        <v>18.52134831046225</v>
      </c>
      <c r="L1026" s="12" t="n">
        <v>2.683873973630439</v>
      </c>
      <c r="M1026" s="12" t="n">
        <v>6.421634538069968</v>
      </c>
      <c r="N1026" s="12" t="n">
        <v>12.15308425039746</v>
      </c>
      <c r="O1026" s="12" t="n">
        <v>219.3960355234719</v>
      </c>
      <c r="P1026" s="5" t="inlineStr">
        <is>
          <t>Caution</t>
        </is>
      </c>
      <c r="Q1026" s="5" t="inlineStr">
        <is>
          <t>Hold</t>
        </is>
      </c>
      <c r="R1026" s="12" t="n">
        <v>0.44</v>
      </c>
      <c r="S1026" s="5" t="inlineStr">
        <is>
          <t>REJECTED</t>
        </is>
      </c>
      <c r="T1026" s="5" t="inlineStr">
        <is>
          <t>High vibration detected</t>
        </is>
      </c>
    </row>
    <row r="1027" s="17">
      <c r="A1027" s="7" t="n">
        <v>8460</v>
      </c>
      <c r="B1027" s="8" t="n">
        <v>35849.190009</v>
      </c>
      <c r="C1027" s="9" t="n">
        <v>35.849190009</v>
      </c>
      <c r="D1027" s="9" t="n">
        <v>128.44130546</v>
      </c>
      <c r="E1027" s="9" t="n">
        <v>62.21160256</v>
      </c>
      <c r="F1027" s="10" t="n">
        <v>0.07434268811332755</v>
      </c>
      <c r="G1027" s="10" t="n">
        <v>0.1188961569042127</v>
      </c>
      <c r="H1027" s="10" t="n">
        <v>0.9296814983653996</v>
      </c>
      <c r="I1027" s="10" t="n">
        <v>0.51013</v>
      </c>
      <c r="J1027" s="5" t="inlineStr">
        <is>
          <t>Cleaner sand</t>
        </is>
      </c>
      <c r="K1027" s="11" t="n">
        <v>15.54552009937306</v>
      </c>
      <c r="L1027" s="12" t="n">
        <v>1.1</v>
      </c>
      <c r="M1027" s="12" t="n">
        <v>5.935161269667078</v>
      </c>
      <c r="N1027" s="12" t="n">
        <v>9.744249836088475</v>
      </c>
      <c r="O1027" s="12" t="n">
        <v>234.4397594986866</v>
      </c>
      <c r="P1027" s="5" t="inlineStr">
        <is>
          <t>Normal</t>
        </is>
      </c>
      <c r="Q1027" s="5" t="inlineStr">
        <is>
          <t>Turn Right</t>
        </is>
      </c>
      <c r="R1027" s="12" t="n">
        <v>0.76</v>
      </c>
      <c r="S1027" s="5" t="inlineStr">
        <is>
          <t>ACCEPTED</t>
        </is>
      </c>
      <c r="T1027" s="5" t="inlineStr">
        <is>
          <t>Normal operation</t>
        </is>
      </c>
    </row>
    <row r="1028" s="17">
      <c r="A1028" s="7" t="n">
        <v>8465</v>
      </c>
      <c r="B1028" s="8" t="n">
        <v>57133.340942</v>
      </c>
      <c r="C1028" s="9" t="n">
        <v>57.133340942</v>
      </c>
      <c r="D1028" s="9" t="n">
        <v>166.37819213</v>
      </c>
      <c r="E1028" s="9" t="n">
        <v>38.15172261999999</v>
      </c>
      <c r="F1028" s="10" t="n">
        <v>0.1169102197235304</v>
      </c>
      <c r="G1028" s="10" t="n">
        <v>0.2684803270805454</v>
      </c>
      <c r="H1028" s="10" t="n">
        <v>0.9018675463543859</v>
      </c>
      <c r="I1028" s="10" t="n">
        <v>1.162069</v>
      </c>
      <c r="J1028" s="5" t="inlineStr">
        <is>
          <t>Transition</t>
        </is>
      </c>
      <c r="K1028" s="11" t="n">
        <v>19.06181557504872</v>
      </c>
      <c r="L1028" s="12" t="n">
        <v>1.750522883658905</v>
      </c>
      <c r="M1028" s="12" t="n">
        <v>5.515642230719476</v>
      </c>
      <c r="N1028" s="12" t="n">
        <v>13.31469569618535</v>
      </c>
      <c r="O1028" s="12" t="n">
        <v>226.7344557463746</v>
      </c>
      <c r="P1028" s="5" t="inlineStr">
        <is>
          <t>Normal</t>
        </is>
      </c>
      <c r="Q1028" s="5" t="inlineStr">
        <is>
          <t>Turn Right</t>
        </is>
      </c>
      <c r="R1028" s="12" t="n">
        <v>0.67</v>
      </c>
      <c r="S1028" s="5" t="inlineStr">
        <is>
          <t>REDUCED</t>
        </is>
      </c>
      <c r="T1028" s="5" t="inlineStr">
        <is>
          <t>Normal operation</t>
        </is>
      </c>
    </row>
    <row r="1029" s="17">
      <c r="A1029" s="7" t="n">
        <v>8470</v>
      </c>
      <c r="B1029" s="8" t="n">
        <v>44373.953113</v>
      </c>
      <c r="C1029" s="9" t="n">
        <v>44.37395311300001</v>
      </c>
      <c r="D1029" s="9" t="n">
        <v>140.79941184</v>
      </c>
      <c r="E1029" s="9" t="n">
        <v>43.181897</v>
      </c>
      <c r="F1029" s="10" t="n">
        <v>0.04510095905358676</v>
      </c>
      <c r="G1029" s="10" t="n">
        <v>0.1806009762845809</v>
      </c>
      <c r="H1029" s="10" t="n">
        <v>0.9396547367626474</v>
      </c>
      <c r="I1029" s="10" t="n">
        <v>0.317993</v>
      </c>
      <c r="J1029" s="5" t="inlineStr">
        <is>
          <t>Cleaner sand</t>
        </is>
      </c>
      <c r="K1029" s="11" t="n">
        <v>16.79711605560186</v>
      </c>
      <c r="L1029" s="12" t="n">
        <v>2.651567047422523</v>
      </c>
      <c r="M1029" s="12" t="n">
        <v>7.039743452893831</v>
      </c>
      <c r="N1029" s="12" t="n">
        <v>10.77930010909999</v>
      </c>
      <c r="O1029" s="12" t="n">
        <v>246.2464858845724</v>
      </c>
      <c r="P1029" s="5" t="inlineStr">
        <is>
          <t>Caution</t>
        </is>
      </c>
      <c r="Q1029" s="5" t="inlineStr">
        <is>
          <t>Hold</t>
        </is>
      </c>
      <c r="R1029" s="12" t="n">
        <v>0.7</v>
      </c>
      <c r="S1029" s="5" t="inlineStr">
        <is>
          <t>ACCEPTED</t>
        </is>
      </c>
      <c r="T1029" s="5" t="inlineStr">
        <is>
          <t>High vibration detected</t>
        </is>
      </c>
    </row>
    <row r="1030" s="17">
      <c r="A1030" s="7" t="n">
        <v>8475</v>
      </c>
      <c r="B1030" s="8" t="n">
        <v>38736.735034</v>
      </c>
      <c r="C1030" s="9" t="n">
        <v>38.736735034</v>
      </c>
      <c r="D1030" s="9" t="n">
        <v>128.71249061</v>
      </c>
      <c r="E1030" s="9" t="n">
        <v>54.58102778</v>
      </c>
      <c r="F1030" s="10" t="n">
        <v>0.151562879170641</v>
      </c>
      <c r="G1030" s="10" t="n">
        <v>0.2586242871451984</v>
      </c>
      <c r="H1030" s="10" t="n">
        <v>0.8822871838998947</v>
      </c>
      <c r="I1030" s="10" t="n">
        <v>1.777637</v>
      </c>
      <c r="J1030" s="5" t="inlineStr">
        <is>
          <t>Transition</t>
        </is>
      </c>
      <c r="K1030" s="11" t="n">
        <v>16.25379638122857</v>
      </c>
      <c r="L1030" s="12" t="n">
        <v>1.663331923834399</v>
      </c>
      <c r="M1030" s="12" t="n">
        <v>7.085304811644555</v>
      </c>
      <c r="N1030" s="12" t="n">
        <v>13.09126745622418</v>
      </c>
      <c r="O1030" s="12" t="n">
        <v>242.6520877952334</v>
      </c>
      <c r="P1030" s="5" t="inlineStr">
        <is>
          <t>Caution</t>
        </is>
      </c>
      <c r="Q1030" s="5" t="inlineStr">
        <is>
          <t>Drop</t>
        </is>
      </c>
      <c r="R1030" s="12" t="n">
        <v>0.86</v>
      </c>
      <c r="S1030" s="5" t="inlineStr">
        <is>
          <t>ACCEPTED</t>
        </is>
      </c>
      <c r="T1030" s="5" t="inlineStr">
        <is>
          <t>DLS exceeds normal range</t>
        </is>
      </c>
    </row>
    <row r="1031" s="17">
      <c r="A1031" s="7" t="n">
        <v>8480</v>
      </c>
      <c r="B1031" s="8" t="n">
        <v>71658.29470100001</v>
      </c>
      <c r="C1031" s="9" t="n">
        <v>71.658294701</v>
      </c>
      <c r="D1031" s="9" t="n">
        <v>104.26083107</v>
      </c>
      <c r="E1031" s="9" t="n">
        <v>40.23981572</v>
      </c>
      <c r="F1031" s="10" t="n">
        <v>0.05692436502233333</v>
      </c>
      <c r="G1031" s="10" t="n">
        <v>0.2670761758938496</v>
      </c>
      <c r="H1031" s="10" t="n">
        <v>0.9970417948331893</v>
      </c>
      <c r="I1031" s="10" t="n">
        <v>0.025846</v>
      </c>
      <c r="J1031" s="5" t="inlineStr">
        <is>
          <t>Transition</t>
        </is>
      </c>
      <c r="K1031" s="11" t="n">
        <v>20.67247265795695</v>
      </c>
      <c r="L1031" s="12" t="n">
        <v>1.566880872849268</v>
      </c>
      <c r="M1031" s="12" t="n">
        <v>5.099825849163487</v>
      </c>
      <c r="N1031" s="12" t="n">
        <v>12.00856629003215</v>
      </c>
      <c r="O1031" s="12" t="n">
        <v>247.7328675474778</v>
      </c>
      <c r="P1031" s="5" t="inlineStr">
        <is>
          <t>Normal</t>
        </is>
      </c>
      <c r="Q1031" s="5" t="inlineStr">
        <is>
          <t>Drop</t>
        </is>
      </c>
      <c r="R1031" s="12" t="n">
        <v>0.59</v>
      </c>
      <c r="S1031" s="5" t="inlineStr">
        <is>
          <t>REDUCED</t>
        </is>
      </c>
      <c r="T1031" s="5" t="inlineStr">
        <is>
          <t>WOB outside preferred band</t>
        </is>
      </c>
    </row>
    <row r="1032" s="17">
      <c r="A1032" s="7" t="n">
        <v>8485</v>
      </c>
      <c r="B1032" s="8" t="n">
        <v>38105.258316</v>
      </c>
      <c r="C1032" s="9" t="n">
        <v>38.105258316</v>
      </c>
      <c r="D1032" s="9" t="n">
        <v>137.22949378</v>
      </c>
      <c r="E1032" s="9" t="n">
        <v>67.32190979999999</v>
      </c>
      <c r="F1032" s="10" t="n">
        <v>0.03600045608466892</v>
      </c>
      <c r="G1032" s="10" t="n">
        <v>0.273038894968364</v>
      </c>
      <c r="H1032" s="10" t="n">
        <v>0.8663402441966996</v>
      </c>
      <c r="I1032" s="10" t="n">
        <v>0.470655</v>
      </c>
      <c r="J1032" s="5" t="inlineStr">
        <is>
          <t>Transition</t>
        </is>
      </c>
      <c r="K1032" s="11" t="n">
        <v>15.26675964573894</v>
      </c>
      <c r="L1032" s="12" t="n">
        <v>1.484851742822891</v>
      </c>
      <c r="M1032" s="12" t="n">
        <v>7.590181254654102</v>
      </c>
      <c r="N1032" s="12" t="n">
        <v>14.21421536657805</v>
      </c>
      <c r="O1032" s="12" t="n">
        <v>240.5924687993625</v>
      </c>
      <c r="P1032" s="5" t="inlineStr">
        <is>
          <t>Caution</t>
        </is>
      </c>
      <c r="Q1032" s="5" t="inlineStr">
        <is>
          <t>Drop</t>
        </is>
      </c>
      <c r="R1032" s="12" t="n">
        <v>0.5</v>
      </c>
      <c r="S1032" s="5" t="inlineStr">
        <is>
          <t>REDUCED</t>
        </is>
      </c>
      <c r="T1032" s="5" t="inlineStr">
        <is>
          <t>DLS exceeds normal range</t>
        </is>
      </c>
    </row>
    <row r="1033" s="17">
      <c r="A1033" s="7" t="n">
        <v>8490</v>
      </c>
      <c r="B1033" s="8" t="n">
        <v>43388.003581</v>
      </c>
      <c r="C1033" s="9" t="n">
        <v>43.388003581</v>
      </c>
      <c r="D1033" s="9" t="n">
        <v>118.62367222</v>
      </c>
      <c r="E1033" s="9" t="n">
        <v>30.72314172</v>
      </c>
      <c r="F1033" s="10" t="n">
        <v>0.1207544347236827</v>
      </c>
      <c r="G1033" s="10" t="n">
        <v>0.233377667785108</v>
      </c>
      <c r="H1033" s="10" t="n">
        <v>0.8801925681787253</v>
      </c>
      <c r="I1033" s="10" t="n">
        <v>1.481318</v>
      </c>
      <c r="J1033" s="5" t="inlineStr">
        <is>
          <t>Cleaner sand</t>
        </is>
      </c>
      <c r="K1033" s="11" t="n">
        <v>14.8271632130208</v>
      </c>
      <c r="L1033" s="12" t="n">
        <v>1.57160807593642</v>
      </c>
      <c r="M1033" s="12" t="n">
        <v>6.759246875108412</v>
      </c>
      <c r="N1033" s="12" t="n">
        <v>13.8382501474702</v>
      </c>
      <c r="O1033" s="12" t="n">
        <v>259.2078573489479</v>
      </c>
      <c r="P1033" s="5" t="inlineStr">
        <is>
          <t>Caution</t>
        </is>
      </c>
      <c r="Q1033" s="5" t="inlineStr">
        <is>
          <t>Drop</t>
        </is>
      </c>
      <c r="R1033" s="12" t="n">
        <v>0.7</v>
      </c>
      <c r="S1033" s="5" t="inlineStr">
        <is>
          <t>ACCEPTED</t>
        </is>
      </c>
      <c r="T1033" s="5" t="inlineStr">
        <is>
          <t>DLS exceeds normal range</t>
        </is>
      </c>
    </row>
    <row r="1034" s="17">
      <c r="A1034" s="7" t="n">
        <v>8495</v>
      </c>
      <c r="B1034" s="8" t="n">
        <v>56895.235358</v>
      </c>
      <c r="C1034" s="9" t="n">
        <v>56.895235358</v>
      </c>
      <c r="D1034" s="9" t="n">
        <v>110.28879783</v>
      </c>
      <c r="E1034" s="9" t="n">
        <v>42.55856252</v>
      </c>
      <c r="F1034" s="10" t="n">
        <v>0.08079997187590715</v>
      </c>
      <c r="G1034" s="10" t="n">
        <v>0.3551328793975345</v>
      </c>
      <c r="H1034" s="10" t="n">
        <v>0.8852652431474658</v>
      </c>
      <c r="I1034" s="10" t="n">
        <v>0.959501</v>
      </c>
      <c r="J1034" s="5" t="inlineStr">
        <is>
          <t>Transition</t>
        </is>
      </c>
      <c r="K1034" s="11" t="n">
        <v>19.37924245309808</v>
      </c>
      <c r="L1034" s="12" t="n">
        <v>2.3326957525915</v>
      </c>
      <c r="M1034" s="12" t="n">
        <v>7.401126091221428</v>
      </c>
      <c r="N1034" s="12" t="n">
        <v>12.19671344815929</v>
      </c>
      <c r="O1034" s="12" t="n">
        <v>276.7417312536902</v>
      </c>
      <c r="P1034" s="5" t="inlineStr">
        <is>
          <t>Caution</t>
        </is>
      </c>
      <c r="Q1034" s="5" t="inlineStr">
        <is>
          <t>Drop</t>
        </is>
      </c>
      <c r="R1034" s="12" t="n">
        <v>0.92</v>
      </c>
      <c r="S1034" s="5" t="inlineStr">
        <is>
          <t>ACCEPTED</t>
        </is>
      </c>
      <c r="T1034" s="5" t="inlineStr">
        <is>
          <t>DLS exceeds normal range</t>
        </is>
      </c>
    </row>
    <row r="1035" s="17">
      <c r="A1035" s="7" t="n">
        <v>8500</v>
      </c>
      <c r="B1035" s="8" t="n">
        <v>41828.942666</v>
      </c>
      <c r="C1035" s="9" t="n">
        <v>41.828942666</v>
      </c>
      <c r="D1035" s="9" t="n">
        <v>134.36971814</v>
      </c>
      <c r="E1035" s="9" t="n">
        <v>51.79842666</v>
      </c>
      <c r="F1035" s="10" t="n">
        <v>0.06301170874498273</v>
      </c>
      <c r="G1035" s="10" t="n">
        <v>0.1784148974541278</v>
      </c>
      <c r="H1035" s="10" t="n">
        <v>0.9445284156846647</v>
      </c>
      <c r="I1035" s="10" t="n">
        <v>0.377127</v>
      </c>
      <c r="J1035" s="5" t="inlineStr">
        <is>
          <t>Cleaner sand</t>
        </is>
      </c>
      <c r="K1035" s="11" t="n">
        <v>16.8561982066489</v>
      </c>
      <c r="L1035" s="12" t="n">
        <v>1.1</v>
      </c>
      <c r="M1035" s="12" t="n">
        <v>5.188990535774076</v>
      </c>
      <c r="N1035" s="12" t="n">
        <v>15.20434896669078</v>
      </c>
      <c r="O1035" s="12" t="n">
        <v>249.5994461792612</v>
      </c>
      <c r="P1035" s="5" t="inlineStr">
        <is>
          <t>Normal</t>
        </is>
      </c>
      <c r="Q1035" s="5" t="inlineStr">
        <is>
          <t>Drop</t>
        </is>
      </c>
      <c r="R1035" s="12" t="n">
        <v>0.68</v>
      </c>
      <c r="S1035" s="5" t="inlineStr">
        <is>
          <t>REDUCED</t>
        </is>
      </c>
      <c r="T1035" s="5" t="inlineStr">
        <is>
          <t>Normal operation</t>
        </is>
      </c>
    </row>
    <row r="1036" s="17">
      <c r="A1036" s="7" t="n">
        <v>8505</v>
      </c>
      <c r="B1036" s="8" t="n">
        <v>59888.170001</v>
      </c>
      <c r="C1036" s="9" t="n">
        <v>59.888170001</v>
      </c>
      <c r="D1036" s="9" t="n">
        <v>151.9084205</v>
      </c>
      <c r="E1036" s="9" t="n">
        <v>30</v>
      </c>
      <c r="F1036" s="10" t="n">
        <v>0.159348077983217</v>
      </c>
      <c r="G1036" s="10" t="n">
        <v>0.2556526353753299</v>
      </c>
      <c r="H1036" s="10" t="n">
        <v>0.8581971702833147</v>
      </c>
      <c r="I1036" s="10" t="n">
        <v>2.253216</v>
      </c>
      <c r="J1036" s="5" t="inlineStr">
        <is>
          <t>Transition</t>
        </is>
      </c>
      <c r="K1036" s="11" t="n">
        <v>19.04729827699546</v>
      </c>
      <c r="L1036" s="12" t="n">
        <v>2.411382513635199</v>
      </c>
      <c r="M1036" s="12" t="n">
        <v>5.151058899249044</v>
      </c>
      <c r="N1036" s="12" t="n">
        <v>14.29368568907942</v>
      </c>
      <c r="O1036" s="12" t="n">
        <v>260.0806510192999</v>
      </c>
      <c r="P1036" s="5" t="inlineStr">
        <is>
          <t>Normal</t>
        </is>
      </c>
      <c r="Q1036" s="5" t="inlineStr">
        <is>
          <t>Drop</t>
        </is>
      </c>
      <c r="R1036" s="12" t="n">
        <v>0.86</v>
      </c>
      <c r="S1036" s="5" t="inlineStr">
        <is>
          <t>ACCEPTED</t>
        </is>
      </c>
      <c r="T1036" s="5" t="inlineStr">
        <is>
          <t>Normal operation</t>
        </is>
      </c>
    </row>
    <row r="1037" s="17">
      <c r="A1037" s="7" t="n">
        <v>8510</v>
      </c>
      <c r="B1037" s="8" t="n">
        <v>73922.70017700001</v>
      </c>
      <c r="C1037" s="9" t="n">
        <v>73.92270017700001</v>
      </c>
      <c r="D1037" s="9" t="n">
        <v>166.8158517</v>
      </c>
      <c r="E1037" s="9" t="n">
        <v>32.6481893</v>
      </c>
      <c r="F1037" s="10" t="n">
        <v>0.0424528453812084</v>
      </c>
      <c r="G1037" s="10" t="n">
        <v>0.2645909283778806</v>
      </c>
      <c r="H1037" s="10" t="n">
        <v>0.8882326297827419</v>
      </c>
      <c r="I1037" s="10" t="n">
        <v>0.508948</v>
      </c>
      <c r="J1037" s="5" t="inlineStr">
        <is>
          <t>Transition</t>
        </is>
      </c>
      <c r="K1037" s="11" t="n">
        <v>23.68572512559502</v>
      </c>
      <c r="L1037" s="12" t="n">
        <v>1.1</v>
      </c>
      <c r="M1037" s="12" t="n">
        <v>6.105352655580036</v>
      </c>
      <c r="N1037" s="12" t="n">
        <v>16.57801668861446</v>
      </c>
      <c r="O1037" s="12" t="n">
        <v>269.5984883164077</v>
      </c>
      <c r="P1037" s="5" t="inlineStr">
        <is>
          <t>Caution</t>
        </is>
      </c>
      <c r="Q1037" s="5" t="inlineStr">
        <is>
          <t>Drop</t>
        </is>
      </c>
      <c r="R1037" s="12" t="n">
        <v>0.82</v>
      </c>
      <c r="S1037" s="5" t="inlineStr">
        <is>
          <t>ACCEPTED</t>
        </is>
      </c>
      <c r="T1037" s="5" t="inlineStr">
        <is>
          <t>DLS exceeds normal range</t>
        </is>
      </c>
    </row>
    <row r="1038" s="17">
      <c r="A1038" s="7" t="n">
        <v>8515</v>
      </c>
      <c r="B1038" s="8" t="n">
        <v>40611.216032</v>
      </c>
      <c r="C1038" s="9" t="n">
        <v>40.61121603199999</v>
      </c>
      <c r="D1038" s="9" t="n">
        <v>142.08970129</v>
      </c>
      <c r="E1038" s="9" t="n">
        <v>78.18683518</v>
      </c>
      <c r="F1038" s="10" t="n">
        <v>0.06197598617748124</v>
      </c>
      <c r="G1038" s="10" t="n">
        <v>0.1146034393372378</v>
      </c>
      <c r="H1038" s="10" t="n">
        <v>0.9623006175471179</v>
      </c>
      <c r="I1038" s="10" t="n">
        <v>0.253102</v>
      </c>
      <c r="J1038" s="5" t="inlineStr">
        <is>
          <t>Cleaner sand</t>
        </is>
      </c>
      <c r="K1038" s="11" t="n">
        <v>14.75927034027625</v>
      </c>
      <c r="L1038" s="12" t="n">
        <v>1.529340358675137</v>
      </c>
      <c r="M1038" s="12" t="n">
        <v>6.607351191078648</v>
      </c>
      <c r="N1038" s="12" t="n">
        <v>15.821792599507</v>
      </c>
      <c r="O1038" s="12" t="n">
        <v>278.9439070624493</v>
      </c>
      <c r="P1038" s="5" t="inlineStr">
        <is>
          <t>Caution</t>
        </is>
      </c>
      <c r="Q1038" s="5" t="inlineStr">
        <is>
          <t>Drop</t>
        </is>
      </c>
      <c r="R1038" s="12" t="n">
        <v>0.6899999999999999</v>
      </c>
      <c r="S1038" s="5" t="inlineStr">
        <is>
          <t>REDUCED</t>
        </is>
      </c>
      <c r="T1038" s="5" t="inlineStr">
        <is>
          <t>DLS exceeds normal range</t>
        </is>
      </c>
    </row>
    <row r="1039" s="17">
      <c r="A1039" s="7" t="n">
        <v>8520</v>
      </c>
      <c r="B1039" s="8" t="n">
        <v>69804.417332</v>
      </c>
      <c r="C1039" s="9" t="n">
        <v>69.804417332</v>
      </c>
      <c r="D1039" s="9" t="n">
        <v>131.35406824</v>
      </c>
      <c r="E1039" s="9" t="n">
        <v>62.89187866</v>
      </c>
      <c r="F1039" s="10" t="n">
        <v>0.1422512707894104</v>
      </c>
      <c r="G1039" s="10" t="n">
        <v>0.2297973805843924</v>
      </c>
      <c r="H1039" s="10" t="n">
        <v>0.9172774768596824</v>
      </c>
      <c r="I1039" s="10" t="n">
        <v>1.164772</v>
      </c>
      <c r="J1039" s="5" t="inlineStr">
        <is>
          <t>Cleaner sand</t>
        </is>
      </c>
      <c r="K1039" s="11" t="n">
        <v>19.88992220113121</v>
      </c>
      <c r="L1039" s="12" t="n">
        <v>1.449670234053656</v>
      </c>
      <c r="M1039" s="12" t="n">
        <v>7.622594810238423</v>
      </c>
      <c r="N1039" s="12" t="n">
        <v>16.72165973775186</v>
      </c>
      <c r="O1039" s="12" t="n">
        <v>269.2638566281432</v>
      </c>
      <c r="P1039" s="5" t="inlineStr">
        <is>
          <t>Caution</t>
        </is>
      </c>
      <c r="Q1039" s="5" t="inlineStr">
        <is>
          <t>Drop</t>
        </is>
      </c>
      <c r="R1039" s="12" t="n">
        <v>0.76</v>
      </c>
      <c r="S1039" s="5" t="inlineStr">
        <is>
          <t>ACCEPTED</t>
        </is>
      </c>
      <c r="T1039" s="5" t="inlineStr">
        <is>
          <t>DLS exceeds normal range</t>
        </is>
      </c>
    </row>
    <row r="1040" s="17">
      <c r="A1040" s="7" t="n">
        <v>8525</v>
      </c>
      <c r="B1040" s="8" t="n">
        <v>54135.447535</v>
      </c>
      <c r="C1040" s="9" t="n">
        <v>54.135447535</v>
      </c>
      <c r="D1040" s="9" t="n">
        <v>138.44246763</v>
      </c>
      <c r="E1040" s="9" t="n">
        <v>57.28758947999999</v>
      </c>
      <c r="F1040" s="10" t="n">
        <v>0.05400766567264012</v>
      </c>
      <c r="G1040" s="10" t="n">
        <v>0.04843826591349322</v>
      </c>
      <c r="H1040" s="10" t="n">
        <v>0.9907554028931832</v>
      </c>
      <c r="I1040" s="10" t="n">
        <v>0.093107</v>
      </c>
      <c r="J1040" s="5" t="inlineStr">
        <is>
          <t>Cleaner sand</t>
        </is>
      </c>
      <c r="K1040" s="11" t="n">
        <v>18.69688648269608</v>
      </c>
      <c r="L1040" s="12" t="n">
        <v>1.948391102187653</v>
      </c>
      <c r="M1040" s="12" t="n">
        <v>6.730540045419628</v>
      </c>
      <c r="N1040" s="12" t="n">
        <v>15.35031606782277</v>
      </c>
      <c r="O1040" s="12" t="n">
        <v>250.2793716064282</v>
      </c>
      <c r="P1040" s="5" t="inlineStr">
        <is>
          <t>Caution</t>
        </is>
      </c>
      <c r="Q1040" s="5" t="inlineStr">
        <is>
          <t>Drop</t>
        </is>
      </c>
      <c r="R1040" s="12" t="n">
        <v>0.62</v>
      </c>
      <c r="S1040" s="5" t="inlineStr">
        <is>
          <t>REDUCED</t>
        </is>
      </c>
      <c r="T1040" s="5" t="inlineStr">
        <is>
          <t>DLS exceeds normal range</t>
        </is>
      </c>
    </row>
    <row r="1041" s="17">
      <c r="A1041" s="7" t="n">
        <v>8530</v>
      </c>
      <c r="B1041" s="8" t="n">
        <v>57012.416649</v>
      </c>
      <c r="C1041" s="9" t="n">
        <v>57.012416649</v>
      </c>
      <c r="D1041" s="9" t="n">
        <v>129.33968951</v>
      </c>
      <c r="E1041" s="9" t="n">
        <v>67.34150452</v>
      </c>
      <c r="F1041" s="10" t="n">
        <v>0.03615578137327199</v>
      </c>
      <c r="G1041" s="10" t="n">
        <v>0.2858575819299911</v>
      </c>
      <c r="H1041" s="10" t="n">
        <v>0.8749314392075328</v>
      </c>
      <c r="I1041" s="10" t="n">
        <v>0.460875</v>
      </c>
      <c r="J1041" s="5" t="inlineStr">
        <is>
          <t>Transition</t>
        </is>
      </c>
      <c r="K1041" s="11" t="n">
        <v>20.04866980679012</v>
      </c>
      <c r="L1041" s="12" t="n">
        <v>1.1</v>
      </c>
      <c r="M1041" s="12" t="n">
        <v>5.951492233569752</v>
      </c>
      <c r="N1041" s="12" t="n">
        <v>16.21656706108216</v>
      </c>
      <c r="O1041" s="12" t="n">
        <v>295.9117282865849</v>
      </c>
      <c r="P1041" s="5" t="inlineStr">
        <is>
          <t>Normal</t>
        </is>
      </c>
      <c r="Q1041" s="5" t="inlineStr">
        <is>
          <t>Drop</t>
        </is>
      </c>
      <c r="R1041" s="12" t="n">
        <v>0.6899999999999999</v>
      </c>
      <c r="S1041" s="5" t="inlineStr">
        <is>
          <t>REDUCED</t>
        </is>
      </c>
      <c r="T1041" s="5" t="inlineStr">
        <is>
          <t>Normal operation</t>
        </is>
      </c>
    </row>
    <row r="1042" s="17">
      <c r="A1042" s="7" t="n">
        <v>8535</v>
      </c>
      <c r="B1042" s="8" t="n">
        <v>46376.183733</v>
      </c>
      <c r="C1042" s="9" t="n">
        <v>46.376183733</v>
      </c>
      <c r="D1042" s="9" t="n">
        <v>140.83758471</v>
      </c>
      <c r="E1042" s="9" t="n">
        <v>37.41880498</v>
      </c>
      <c r="F1042" s="10" t="n">
        <v>0.1042156643669031</v>
      </c>
      <c r="G1042" s="10" t="n">
        <v>0.2907153434203837</v>
      </c>
      <c r="H1042" s="10" t="n">
        <v>0.9693544965746377</v>
      </c>
      <c r="I1042" s="10" t="n">
        <v>0.312997</v>
      </c>
      <c r="J1042" s="5" t="inlineStr">
        <is>
          <t>Transition</t>
        </is>
      </c>
      <c r="K1042" s="11" t="n">
        <v>18.7292659334384</v>
      </c>
      <c r="L1042" s="12" t="n">
        <v>1.886464606380152</v>
      </c>
      <c r="M1042" s="12" t="n">
        <v>5.304293139751269</v>
      </c>
      <c r="N1042" s="12" t="n">
        <v>16.77401198760145</v>
      </c>
      <c r="O1042" s="12" t="n">
        <v>293.5838992296388</v>
      </c>
      <c r="P1042" s="5" t="inlineStr">
        <is>
          <t>Normal</t>
        </is>
      </c>
      <c r="Q1042" s="5" t="inlineStr">
        <is>
          <t>Drop</t>
        </is>
      </c>
      <c r="R1042" s="12" t="n">
        <v>0.68</v>
      </c>
      <c r="S1042" s="5" t="inlineStr">
        <is>
          <t>REDUCED</t>
        </is>
      </c>
      <c r="T1042" s="5" t="inlineStr">
        <is>
          <t>Normal operation</t>
        </is>
      </c>
    </row>
    <row r="1043" s="17">
      <c r="A1043" s="7" t="n">
        <v>8540</v>
      </c>
      <c r="B1043" s="8" t="n">
        <v>71256.60376899999</v>
      </c>
      <c r="C1043" s="9" t="n">
        <v>71.25660376899999</v>
      </c>
      <c r="D1043" s="9" t="n">
        <v>105.77737793</v>
      </c>
      <c r="E1043" s="9" t="n">
        <v>47.458771</v>
      </c>
      <c r="F1043" s="10" t="n">
        <v>0.1076334779433239</v>
      </c>
      <c r="G1043" s="10" t="n">
        <v>0.1801627940648355</v>
      </c>
      <c r="H1043" s="10" t="n">
        <v>0.9444266987711736</v>
      </c>
      <c r="I1043" s="10" t="n">
        <v>0.6347159999999999</v>
      </c>
      <c r="J1043" s="5" t="inlineStr">
        <is>
          <t>Cleaner sand</t>
        </is>
      </c>
      <c r="K1043" s="11" t="n">
        <v>21.16250131055446</v>
      </c>
      <c r="L1043" s="12" t="n">
        <v>2.651911715410558</v>
      </c>
      <c r="M1043" s="12" t="n">
        <v>7.088932471066368</v>
      </c>
      <c r="N1043" s="12" t="n">
        <v>18.87149869144337</v>
      </c>
      <c r="O1043" s="12" t="n">
        <v>272.1464063948795</v>
      </c>
      <c r="P1043" s="5" t="inlineStr">
        <is>
          <t>Caution</t>
        </is>
      </c>
      <c r="Q1043" s="5" t="inlineStr">
        <is>
          <t>Drop</t>
        </is>
      </c>
      <c r="R1043" s="12" t="n">
        <v>0.79</v>
      </c>
      <c r="S1043" s="5" t="inlineStr">
        <is>
          <t>ACCEPTED</t>
        </is>
      </c>
      <c r="T1043" s="5" t="inlineStr">
        <is>
          <t>High vibration detected</t>
        </is>
      </c>
    </row>
    <row r="1044" s="17">
      <c r="A1044" s="7" t="n">
        <v>8545</v>
      </c>
      <c r="B1044" s="8" t="n">
        <v>49212.155739</v>
      </c>
      <c r="C1044" s="9" t="n">
        <v>49.212155739</v>
      </c>
      <c r="D1044" s="9" t="n">
        <v>141.16063688</v>
      </c>
      <c r="E1044" s="9" t="n">
        <v>42.0048198</v>
      </c>
      <c r="F1044" s="10" t="n">
        <v>0.03872529104731078</v>
      </c>
      <c r="G1044" s="10" t="n">
        <v>0.0646856458250302</v>
      </c>
      <c r="H1044" s="10" t="n">
        <v>1</v>
      </c>
      <c r="I1044" s="10" t="n">
        <v>0.006493</v>
      </c>
      <c r="J1044" s="5" t="inlineStr">
        <is>
          <t>Cleaner sand</t>
        </is>
      </c>
      <c r="K1044" s="11" t="n">
        <v>18.64561566065136</v>
      </c>
      <c r="L1044" s="12" t="n">
        <v>1.1</v>
      </c>
      <c r="M1044" s="12" t="n">
        <v>5.312504795178403</v>
      </c>
      <c r="N1044" s="12" t="n">
        <v>20.13906772279766</v>
      </c>
      <c r="O1044" s="12" t="n">
        <v>287.0246525522791</v>
      </c>
      <c r="P1044" s="5" t="inlineStr">
        <is>
          <t>Normal</t>
        </is>
      </c>
      <c r="Q1044" s="5" t="inlineStr">
        <is>
          <t>Drop</t>
        </is>
      </c>
      <c r="R1044" s="12" t="n">
        <v>0.63</v>
      </c>
      <c r="S1044" s="5" t="inlineStr">
        <is>
          <t>REDUCED</t>
        </is>
      </c>
      <c r="T1044" s="5" t="inlineStr">
        <is>
          <t>Normal operation</t>
        </is>
      </c>
    </row>
    <row r="1045" s="17">
      <c r="A1045" s="7" t="n">
        <v>8550</v>
      </c>
      <c r="B1045" s="8" t="n">
        <v>52010.166597</v>
      </c>
      <c r="C1045" s="9" t="n">
        <v>52.010166597</v>
      </c>
      <c r="D1045" s="9" t="n">
        <v>120.36793811</v>
      </c>
      <c r="E1045" s="9" t="n">
        <v>46.7153631</v>
      </c>
      <c r="F1045" s="10" t="n">
        <v>0.1312534442341873</v>
      </c>
      <c r="G1045" s="10" t="n">
        <v>0.222436838978709</v>
      </c>
      <c r="H1045" s="10" t="n">
        <v>0.9547920590318441</v>
      </c>
      <c r="I1045" s="10" t="n">
        <v>0.6259439999999999</v>
      </c>
      <c r="J1045" s="5" t="inlineStr">
        <is>
          <t>Cleaner sand</t>
        </is>
      </c>
      <c r="K1045" s="11" t="n">
        <v>18.04304106685904</v>
      </c>
      <c r="L1045" s="12" t="n">
        <v>1.752956022129094</v>
      </c>
      <c r="M1045" s="12" t="n">
        <v>7.366176091822329</v>
      </c>
      <c r="N1045" s="12" t="n">
        <v>16.80102758778617</v>
      </c>
      <c r="O1045" s="12" t="n">
        <v>312.2236291469177</v>
      </c>
      <c r="P1045" s="5" t="inlineStr">
        <is>
          <t>Caution</t>
        </is>
      </c>
      <c r="Q1045" s="5" t="inlineStr">
        <is>
          <t>Drop</t>
        </is>
      </c>
      <c r="R1045" s="12" t="n">
        <v>0.45</v>
      </c>
      <c r="S1045" s="5" t="inlineStr">
        <is>
          <t>REJECTED</t>
        </is>
      </c>
      <c r="T1045" s="5" t="inlineStr">
        <is>
          <t>DLS exceeds normal range</t>
        </is>
      </c>
    </row>
    <row r="1046" s="17">
      <c r="A1046" s="7" t="n">
        <v>8555</v>
      </c>
      <c r="B1046" s="8" t="n">
        <v>67134.975639</v>
      </c>
      <c r="C1046" s="9" t="n">
        <v>67.13497563899999</v>
      </c>
      <c r="D1046" s="9" t="n">
        <v>112.17958771</v>
      </c>
      <c r="E1046" s="9" t="n">
        <v>34.851517</v>
      </c>
      <c r="F1046" s="10" t="n">
        <v>0.09818081404928813</v>
      </c>
      <c r="G1046" s="10" t="n">
        <v>0.2422678249081436</v>
      </c>
      <c r="H1046" s="10" t="n">
        <v>0.9400315142544085</v>
      </c>
      <c r="I1046" s="10" t="n">
        <v>0.5865089999999999</v>
      </c>
      <c r="J1046" s="5" t="inlineStr">
        <is>
          <t>Cleaner sand</t>
        </is>
      </c>
      <c r="K1046" s="11" t="n">
        <v>20.69070172225891</v>
      </c>
      <c r="L1046" s="12" t="n">
        <v>1.335628732879661</v>
      </c>
      <c r="M1046" s="12" t="n">
        <v>5.81482201696604</v>
      </c>
      <c r="N1046" s="12" t="n">
        <v>19.13692680950827</v>
      </c>
      <c r="O1046" s="12" t="n">
        <v>314.3680746599182</v>
      </c>
      <c r="P1046" s="5" t="inlineStr">
        <is>
          <t>Normal</t>
        </is>
      </c>
      <c r="Q1046" s="5" t="inlineStr">
        <is>
          <t>Drop</t>
        </is>
      </c>
      <c r="R1046" s="12" t="n">
        <v>0.83</v>
      </c>
      <c r="S1046" s="5" t="inlineStr">
        <is>
          <t>ACCEPTED</t>
        </is>
      </c>
      <c r="T1046" s="5" t="inlineStr">
        <is>
          <t>Normal operation</t>
        </is>
      </c>
    </row>
    <row r="1047" s="17">
      <c r="A1047" s="7" t="n">
        <v>8560</v>
      </c>
      <c r="B1047" s="8" t="n">
        <v>52133.775702</v>
      </c>
      <c r="C1047" s="9" t="n">
        <v>52.133775702</v>
      </c>
      <c r="D1047" s="9" t="n">
        <v>145.80632092</v>
      </c>
      <c r="E1047" s="9" t="n">
        <v>50.96249406</v>
      </c>
      <c r="F1047" s="10" t="n">
        <v>0.05595963082576901</v>
      </c>
      <c r="G1047" s="10" t="n">
        <v>0.2097522606228308</v>
      </c>
      <c r="H1047" s="10" t="n">
        <v>0.9290184648047253</v>
      </c>
      <c r="I1047" s="10" t="n">
        <v>0.442725</v>
      </c>
      <c r="J1047" s="5" t="inlineStr">
        <is>
          <t>Cleaner sand</t>
        </is>
      </c>
      <c r="K1047" s="11" t="n">
        <v>18.98794386153999</v>
      </c>
      <c r="L1047" s="12" t="n">
        <v>1.868684731034588</v>
      </c>
      <c r="M1047" s="12" t="n">
        <v>7.293521660432116</v>
      </c>
      <c r="N1047" s="12" t="n">
        <v>14.80571693481126</v>
      </c>
      <c r="O1047" s="12" t="n">
        <v>312.5217683433374</v>
      </c>
      <c r="P1047" s="5" t="inlineStr">
        <is>
          <t>Caution</t>
        </is>
      </c>
      <c r="Q1047" s="5" t="inlineStr">
        <is>
          <t>Drop</t>
        </is>
      </c>
      <c r="R1047" s="12" t="n">
        <v>0.78</v>
      </c>
      <c r="S1047" s="5" t="inlineStr">
        <is>
          <t>ACCEPTED</t>
        </is>
      </c>
      <c r="T1047" s="5" t="inlineStr">
        <is>
          <t>DLS exceeds normal range</t>
        </is>
      </c>
    </row>
    <row r="1048" s="17">
      <c r="A1048" s="7" t="n">
        <v>8565</v>
      </c>
      <c r="B1048" s="8" t="n">
        <v>51361.037262</v>
      </c>
      <c r="C1048" s="9" t="n">
        <v>51.361037262</v>
      </c>
      <c r="D1048" s="9" t="n">
        <v>154.90753497</v>
      </c>
      <c r="E1048" s="9" t="n">
        <v>42.57752092</v>
      </c>
      <c r="F1048" s="10" t="n">
        <v>0.141268100103845</v>
      </c>
      <c r="G1048" s="10" t="n">
        <v>0.2489041741662896</v>
      </c>
      <c r="H1048" s="10" t="n">
        <v>0.8797600331816637</v>
      </c>
      <c r="I1048" s="10" t="n">
        <v>1.68266</v>
      </c>
      <c r="J1048" s="5" t="inlineStr">
        <is>
          <t>Cleaner sand</t>
        </is>
      </c>
      <c r="K1048" s="11" t="n">
        <v>18.61448349139928</v>
      </c>
      <c r="L1048" s="12" t="n">
        <v>1.669382410933719</v>
      </c>
      <c r="M1048" s="12" t="n">
        <v>6.542726491171906</v>
      </c>
      <c r="N1048" s="12" t="n">
        <v>15.96312471283609</v>
      </c>
      <c r="O1048" s="12" t="n">
        <v>304.5068685633946</v>
      </c>
      <c r="P1048" s="5" t="inlineStr">
        <is>
          <t>Caution</t>
        </is>
      </c>
      <c r="Q1048" s="5" t="inlineStr">
        <is>
          <t>Drop</t>
        </is>
      </c>
      <c r="R1048" s="12" t="n">
        <v>0.92</v>
      </c>
      <c r="S1048" s="5" t="inlineStr">
        <is>
          <t>ACCEPTED</t>
        </is>
      </c>
      <c r="T1048" s="5" t="inlineStr">
        <is>
          <t>DLS exceeds normal range</t>
        </is>
      </c>
    </row>
    <row r="1049" s="17">
      <c r="A1049" s="7" t="n">
        <v>8570</v>
      </c>
      <c r="B1049" s="8" t="n">
        <v>73867.910863</v>
      </c>
      <c r="C1049" s="9" t="n">
        <v>73.86791086299999</v>
      </c>
      <c r="D1049" s="9" t="n">
        <v>121.06424295</v>
      </c>
      <c r="E1049" s="9" t="n">
        <v>49.63465002</v>
      </c>
      <c r="F1049" s="10" t="n">
        <v>0.04928269513684094</v>
      </c>
      <c r="G1049" s="10" t="n">
        <v>0.3548457670258147</v>
      </c>
      <c r="H1049" s="10" t="n">
        <v>0.9010038774249072</v>
      </c>
      <c r="I1049" s="10" t="n">
        <v>0.471019</v>
      </c>
      <c r="J1049" s="5" t="inlineStr">
        <is>
          <t>Transition</t>
        </is>
      </c>
      <c r="K1049" s="11" t="n">
        <v>20.5252692655521</v>
      </c>
      <c r="L1049" s="12" t="n">
        <v>1.345671414568288</v>
      </c>
      <c r="M1049" s="12" t="n">
        <v>5.86831114286518</v>
      </c>
      <c r="N1049" s="12" t="n">
        <v>16.15843229761463</v>
      </c>
      <c r="O1049" s="12" t="n">
        <v>310.1086068117957</v>
      </c>
      <c r="P1049" s="5" t="inlineStr">
        <is>
          <t>Normal</t>
        </is>
      </c>
      <c r="Q1049" s="5" t="inlineStr">
        <is>
          <t>Drop</t>
        </is>
      </c>
      <c r="R1049" s="12" t="n">
        <v>0.64</v>
      </c>
      <c r="S1049" s="5" t="inlineStr">
        <is>
          <t>REDUCED</t>
        </is>
      </c>
      <c r="T1049" s="5" t="inlineStr">
        <is>
          <t>WOB outside preferred band</t>
        </is>
      </c>
    </row>
    <row r="1050" s="17">
      <c r="A1050" s="7" t="n">
        <v>8575</v>
      </c>
      <c r="B1050" s="8" t="n">
        <v>53313.24209</v>
      </c>
      <c r="C1050" s="9" t="n">
        <v>53.31324209</v>
      </c>
      <c r="D1050" s="9" t="n">
        <v>142.12629643</v>
      </c>
      <c r="E1050" s="9" t="n">
        <v>66.45209561999999</v>
      </c>
      <c r="F1050" s="10" t="n">
        <v>0.04050707058160142</v>
      </c>
      <c r="G1050" s="10" t="n">
        <v>0.2073054586626162</v>
      </c>
      <c r="H1050" s="10" t="n">
        <v>0.9224410802819679</v>
      </c>
      <c r="I1050" s="10" t="n">
        <v>0.361138</v>
      </c>
      <c r="J1050" s="5" t="inlineStr">
        <is>
          <t>Cleaner sand</t>
        </is>
      </c>
      <c r="K1050" s="11" t="n">
        <v>19.79775365075614</v>
      </c>
      <c r="L1050" s="12" t="n">
        <v>1.899057419586826</v>
      </c>
      <c r="M1050" s="12" t="n">
        <v>5.540518571421737</v>
      </c>
      <c r="N1050" s="12" t="n">
        <v>15.53585635078589</v>
      </c>
      <c r="O1050" s="12" t="n">
        <v>310.8494370039976</v>
      </c>
      <c r="P1050" s="5" t="inlineStr">
        <is>
          <t>Normal</t>
        </is>
      </c>
      <c r="Q1050" s="5" t="inlineStr">
        <is>
          <t>Drop</t>
        </is>
      </c>
      <c r="R1050" s="12" t="n">
        <v>0.44</v>
      </c>
      <c r="S1050" s="5" t="inlineStr">
        <is>
          <t>REJECTED</t>
        </is>
      </c>
      <c r="T1050" s="5" t="inlineStr">
        <is>
          <t>Normal operation</t>
        </is>
      </c>
    </row>
    <row r="1051" s="17">
      <c r="A1051" s="7" t="n">
        <v>8580</v>
      </c>
      <c r="B1051" s="8" t="n">
        <v>51718.09303</v>
      </c>
      <c r="C1051" s="9" t="n">
        <v>51.71809303000001</v>
      </c>
      <c r="D1051" s="9" t="n">
        <v>117.57871637</v>
      </c>
      <c r="E1051" s="9" t="n">
        <v>53.26711308</v>
      </c>
      <c r="F1051" s="10" t="n">
        <v>0.1463612206566826</v>
      </c>
      <c r="G1051" s="10" t="n">
        <v>0.1963402195355898</v>
      </c>
      <c r="H1051" s="10" t="n">
        <v>0.9718028371709253</v>
      </c>
      <c r="I1051" s="10" t="n">
        <v>0.413723</v>
      </c>
      <c r="J1051" s="5" t="inlineStr">
        <is>
          <t>Cleaner sand</t>
        </is>
      </c>
      <c r="K1051" s="11" t="n">
        <v>19.4079222448846</v>
      </c>
      <c r="L1051" s="12" t="n">
        <v>2.544130573795504</v>
      </c>
      <c r="M1051" s="12" t="n">
        <v>5.661241014455981</v>
      </c>
      <c r="N1051" s="12" t="n">
        <v>15.12472609673635</v>
      </c>
      <c r="O1051" s="12" t="n">
        <v>326.1817720580052</v>
      </c>
      <c r="P1051" s="5" t="inlineStr">
        <is>
          <t>Normal</t>
        </is>
      </c>
      <c r="Q1051" s="5" t="inlineStr">
        <is>
          <t>Turn Left</t>
        </is>
      </c>
      <c r="R1051" s="12" t="n">
        <v>0.47</v>
      </c>
      <c r="S1051" s="5" t="inlineStr">
        <is>
          <t>REJECTED</t>
        </is>
      </c>
      <c r="T1051" s="5" t="inlineStr">
        <is>
          <t>High vibration detected</t>
        </is>
      </c>
    </row>
    <row r="1052" s="17">
      <c r="A1052" s="7" t="n">
        <v>8585</v>
      </c>
      <c r="B1052" s="8" t="n">
        <v>70955.146224</v>
      </c>
      <c r="C1052" s="9" t="n">
        <v>70.955146224</v>
      </c>
      <c r="D1052" s="9" t="n">
        <v>107.14187533</v>
      </c>
      <c r="E1052" s="9" t="n">
        <v>45.61862622</v>
      </c>
      <c r="F1052" s="10" t="n">
        <v>0.1146027201469157</v>
      </c>
      <c r="G1052" s="10" t="n">
        <v>0.2160487441630982</v>
      </c>
      <c r="H1052" s="10" t="n">
        <v>0.9418119434729045</v>
      </c>
      <c r="I1052" s="10" t="n">
        <v>0.6624</v>
      </c>
      <c r="J1052" s="5" t="inlineStr">
        <is>
          <t>Cleaner sand</t>
        </is>
      </c>
      <c r="K1052" s="11" t="n">
        <v>20.94037830979054</v>
      </c>
      <c r="L1052" s="12" t="n">
        <v>1.566457142053624</v>
      </c>
      <c r="M1052" s="12" t="n">
        <v>6.254357297548292</v>
      </c>
      <c r="N1052" s="12" t="n">
        <v>17.60956294564073</v>
      </c>
      <c r="O1052" s="12" t="n">
        <v>308.7342514697272</v>
      </c>
      <c r="P1052" s="5" t="inlineStr">
        <is>
          <t>Caution</t>
        </is>
      </c>
      <c r="Q1052" s="5" t="inlineStr">
        <is>
          <t>Drop</t>
        </is>
      </c>
      <c r="R1052" s="12" t="n">
        <v>0.83</v>
      </c>
      <c r="S1052" s="5" t="inlineStr">
        <is>
          <t>ACCEPTED</t>
        </is>
      </c>
      <c r="T1052" s="5" t="inlineStr">
        <is>
          <t>DLS exceeds normal range</t>
        </is>
      </c>
    </row>
    <row r="1053" s="17">
      <c r="A1053" s="7" t="n">
        <v>8590</v>
      </c>
      <c r="B1053" s="8" t="n">
        <v>51697.896808</v>
      </c>
      <c r="C1053" s="9" t="n">
        <v>51.697896808</v>
      </c>
      <c r="D1053" s="9" t="n">
        <v>130.37048677</v>
      </c>
      <c r="E1053" s="9" t="n">
        <v>63.20104736</v>
      </c>
      <c r="F1053" s="10" t="n">
        <v>0.05440140153426224</v>
      </c>
      <c r="G1053" s="10" t="n">
        <v>0.1491397527722249</v>
      </c>
      <c r="H1053" s="10" t="n">
        <v>0.9535122415404605</v>
      </c>
      <c r="I1053" s="10" t="n">
        <v>0.247246</v>
      </c>
      <c r="J1053" s="5" t="inlineStr">
        <is>
          <t>Cleaner sand</t>
        </is>
      </c>
      <c r="K1053" s="11" t="n">
        <v>18.4199199021667</v>
      </c>
      <c r="L1053" s="12" t="n">
        <v>2.012681391652609</v>
      </c>
      <c r="M1053" s="12" t="n">
        <v>5.950972227643865</v>
      </c>
      <c r="N1053" s="12" t="n">
        <v>16.68364970921676</v>
      </c>
      <c r="O1053" s="12" t="n">
        <v>311.8729431160226</v>
      </c>
      <c r="P1053" s="5" t="inlineStr">
        <is>
          <t>Normal</t>
        </is>
      </c>
      <c r="Q1053" s="5" t="inlineStr">
        <is>
          <t>Drop</t>
        </is>
      </c>
      <c r="R1053" s="12" t="n">
        <v>0.44</v>
      </c>
      <c r="S1053" s="5" t="inlineStr">
        <is>
          <t>REJECTED</t>
        </is>
      </c>
      <c r="T1053" s="5" t="inlineStr">
        <is>
          <t>Normal operation</t>
        </is>
      </c>
    </row>
    <row r="1054" s="17">
      <c r="A1054" s="7" t="n">
        <v>8595</v>
      </c>
      <c r="B1054" s="8" t="n">
        <v>59589.051044</v>
      </c>
      <c r="C1054" s="9" t="n">
        <v>59.589051044</v>
      </c>
      <c r="D1054" s="9" t="n">
        <v>130.43852723</v>
      </c>
      <c r="E1054" s="9" t="n">
        <v>61.27263286</v>
      </c>
      <c r="F1054" s="10" t="n">
        <v>0.1337098664511697</v>
      </c>
      <c r="G1054" s="10" t="n">
        <v>0.2408618781301326</v>
      </c>
      <c r="H1054" s="10" t="n">
        <v>0.9368424539649406</v>
      </c>
      <c r="I1054" s="10" t="n">
        <v>0.8303430000000001</v>
      </c>
      <c r="J1054" s="5" t="inlineStr">
        <is>
          <t>Cleaner sand</t>
        </is>
      </c>
      <c r="K1054" s="11" t="n">
        <v>19.9695004803639</v>
      </c>
      <c r="L1054" s="12" t="n">
        <v>1.1</v>
      </c>
      <c r="M1054" s="12" t="n">
        <v>5.391548943648495</v>
      </c>
      <c r="N1054" s="12" t="n">
        <v>17.344438089551</v>
      </c>
      <c r="O1054" s="12" t="n">
        <v>332.3097110682486</v>
      </c>
      <c r="P1054" s="5" t="inlineStr">
        <is>
          <t>Normal</t>
        </is>
      </c>
      <c r="Q1054" s="5" t="inlineStr">
        <is>
          <t>Drop</t>
        </is>
      </c>
      <c r="R1054" s="12" t="n">
        <v>0.9</v>
      </c>
      <c r="S1054" s="5" t="inlineStr">
        <is>
          <t>ACCEPTED</t>
        </is>
      </c>
      <c r="T1054" s="5" t="inlineStr">
        <is>
          <t>Normal operation</t>
        </is>
      </c>
    </row>
    <row r="1055" s="17">
      <c r="A1055" s="7" t="n">
        <v>8600</v>
      </c>
      <c r="B1055" s="8" t="n">
        <v>66803.79561299999</v>
      </c>
      <c r="C1055" s="9" t="n">
        <v>66.80379561299999</v>
      </c>
      <c r="D1055" s="9" t="n">
        <v>120.95529079</v>
      </c>
      <c r="E1055" s="9" t="n">
        <v>36.79148694000001</v>
      </c>
      <c r="F1055" s="10" t="n">
        <v>0.07398667067229325</v>
      </c>
      <c r="G1055" s="10" t="n">
        <v>0.340756595477684</v>
      </c>
      <c r="H1055" s="10" t="n">
        <v>0.9065123122907309</v>
      </c>
      <c r="I1055" s="10" t="n">
        <v>0.683891</v>
      </c>
      <c r="J1055" s="5" t="inlineStr">
        <is>
          <t>Transition</t>
        </is>
      </c>
      <c r="K1055" s="11" t="n">
        <v>21.06309161883873</v>
      </c>
      <c r="L1055" s="12" t="n">
        <v>1.191346175359176</v>
      </c>
      <c r="M1055" s="12" t="n">
        <v>5.711253439166535</v>
      </c>
      <c r="N1055" s="12" t="n">
        <v>17.63809892102371</v>
      </c>
      <c r="O1055" s="12" t="n">
        <v>323.8704153405286</v>
      </c>
      <c r="P1055" s="5" t="inlineStr">
        <is>
          <t>Normal</t>
        </is>
      </c>
      <c r="Q1055" s="5" t="inlineStr">
        <is>
          <t>Drop</t>
        </is>
      </c>
      <c r="R1055" s="12" t="n">
        <v>0.55</v>
      </c>
      <c r="S1055" s="5" t="inlineStr">
        <is>
          <t>REDUCED</t>
        </is>
      </c>
      <c r="T1055" s="5" t="inlineStr">
        <is>
          <t>Normal operation</t>
        </is>
      </c>
    </row>
    <row r="1056" s="17">
      <c r="A1056" s="7" t="n">
        <v>8605</v>
      </c>
      <c r="B1056" s="8" t="n">
        <v>35241.522922</v>
      </c>
      <c r="C1056" s="9" t="n">
        <v>35.24152292199999</v>
      </c>
      <c r="D1056" s="9" t="n">
        <v>129.25155519</v>
      </c>
      <c r="E1056" s="9" t="n">
        <v>75.58516214000001</v>
      </c>
      <c r="F1056" s="10" t="n">
        <v>0.04026818922629961</v>
      </c>
      <c r="G1056" s="10" t="n">
        <v>0.1906597409643603</v>
      </c>
      <c r="H1056" s="10" t="n">
        <v>0.964598360341401</v>
      </c>
      <c r="I1056" s="10" t="n">
        <v>0.128518</v>
      </c>
      <c r="J1056" s="5" t="inlineStr">
        <is>
          <t>Cleaner sand</t>
        </is>
      </c>
      <c r="K1056" s="11" t="n">
        <v>14.44712815658759</v>
      </c>
      <c r="L1056" s="12" t="n">
        <v>1.891479076161385</v>
      </c>
      <c r="M1056" s="12" t="n">
        <v>5.883591664533054</v>
      </c>
      <c r="N1056" s="12" t="n">
        <v>16.97505987659143</v>
      </c>
      <c r="O1056" s="12" t="n">
        <v>340.0305840886026</v>
      </c>
      <c r="P1056" s="5" t="inlineStr">
        <is>
          <t>Normal</t>
        </is>
      </c>
      <c r="Q1056" s="5" t="inlineStr">
        <is>
          <t>Turn Left</t>
        </is>
      </c>
      <c r="R1056" s="12" t="n">
        <v>0.89</v>
      </c>
      <c r="S1056" s="5" t="inlineStr">
        <is>
          <t>ACCEPTED</t>
        </is>
      </c>
      <c r="T1056" s="5" t="inlineStr">
        <is>
          <t>Normal operation</t>
        </is>
      </c>
    </row>
    <row r="1057" s="17">
      <c r="A1057" s="7" t="n">
        <v>8610</v>
      </c>
      <c r="B1057" s="8" t="n">
        <v>41157.044346</v>
      </c>
      <c r="C1057" s="9" t="n">
        <v>41.157044346</v>
      </c>
      <c r="D1057" s="9" t="n">
        <v>131.17674095</v>
      </c>
      <c r="E1057" s="9" t="n">
        <v>48.3551745</v>
      </c>
      <c r="F1057" s="10" t="n">
        <v>0.1554458603647244</v>
      </c>
      <c r="G1057" s="10" t="n">
        <v>0.3061791800978227</v>
      </c>
      <c r="H1057" s="10" t="n">
        <v>0.8545320069240362</v>
      </c>
      <c r="I1057" s="10" t="n">
        <v>2.299718</v>
      </c>
      <c r="J1057" s="5" t="inlineStr">
        <is>
          <t>Transition</t>
        </is>
      </c>
      <c r="K1057" s="11" t="n">
        <v>15.41380226686973</v>
      </c>
      <c r="L1057" s="12" t="n">
        <v>2.387216853982623</v>
      </c>
      <c r="M1057" s="12" t="n">
        <v>4.094526745283768</v>
      </c>
      <c r="N1057" s="12" t="n">
        <v>17.374123270864</v>
      </c>
      <c r="O1057" s="12" t="n">
        <v>321.2817792335979</v>
      </c>
      <c r="P1057" s="5" t="inlineStr">
        <is>
          <t>Normal</t>
        </is>
      </c>
      <c r="Q1057" s="5" t="inlineStr">
        <is>
          <t>Drop</t>
        </is>
      </c>
      <c r="R1057" s="12" t="n">
        <v>0.83</v>
      </c>
      <c r="S1057" s="5" t="inlineStr">
        <is>
          <t>ACCEPTED</t>
        </is>
      </c>
      <c r="T1057" s="5" t="inlineStr">
        <is>
          <t>Normal operation</t>
        </is>
      </c>
    </row>
    <row r="1058" s="17">
      <c r="A1058" s="7" t="n">
        <v>8615</v>
      </c>
      <c r="B1058" s="8" t="n">
        <v>70368.59877300001</v>
      </c>
      <c r="C1058" s="9" t="n">
        <v>70.368598773</v>
      </c>
      <c r="D1058" s="9" t="n">
        <v>153.51116196</v>
      </c>
      <c r="E1058" s="9" t="n">
        <v>31.42421794</v>
      </c>
      <c r="F1058" s="10" t="n">
        <v>0.06807593226684455</v>
      </c>
      <c r="G1058" s="10" t="n">
        <v>0.2219569884847785</v>
      </c>
      <c r="H1058" s="10" t="n">
        <v>0.9145966972587578</v>
      </c>
      <c r="I1058" s="10" t="n">
        <v>0.595391</v>
      </c>
      <c r="J1058" s="5" t="inlineStr">
        <is>
          <t>Cleaner sand</t>
        </is>
      </c>
      <c r="K1058" s="11" t="n">
        <v>21.43250817885566</v>
      </c>
      <c r="L1058" s="12" t="n">
        <v>1.834250540904973</v>
      </c>
      <c r="M1058" s="12" t="n">
        <v>6.140646542588795</v>
      </c>
      <c r="N1058" s="12" t="n">
        <v>16.31791252615495</v>
      </c>
      <c r="O1058" s="12" t="n">
        <v>329.0140470469669</v>
      </c>
      <c r="P1058" s="5" t="inlineStr">
        <is>
          <t>Caution</t>
        </is>
      </c>
      <c r="Q1058" s="5" t="inlineStr">
        <is>
          <t>Drop</t>
        </is>
      </c>
      <c r="R1058" s="12" t="n">
        <v>0.88</v>
      </c>
      <c r="S1058" s="5" t="inlineStr">
        <is>
          <t>ACCEPTED</t>
        </is>
      </c>
      <c r="T1058" s="5" t="inlineStr">
        <is>
          <t>DLS exceeds normal range</t>
        </is>
      </c>
    </row>
    <row r="1059" s="17">
      <c r="A1059" s="7" t="n">
        <v>8620</v>
      </c>
      <c r="B1059" s="8" t="n">
        <v>33142.594985</v>
      </c>
      <c r="C1059" s="9" t="n">
        <v>33.142594985</v>
      </c>
      <c r="D1059" s="9" t="n">
        <v>131.32692582</v>
      </c>
      <c r="E1059" s="9" t="n">
        <v>65.98536965999999</v>
      </c>
      <c r="F1059" s="10" t="n">
        <v>0.06245654052097355</v>
      </c>
      <c r="G1059" s="10" t="n">
        <v>0.1886825778585874</v>
      </c>
      <c r="H1059" s="10" t="n">
        <v>0.8817534725847934</v>
      </c>
      <c r="I1059" s="10" t="n">
        <v>0.7578549999999999</v>
      </c>
      <c r="J1059" s="5" t="inlineStr">
        <is>
          <t>Cleaner sand</t>
        </is>
      </c>
      <c r="K1059" s="11" t="n">
        <v>15.78412408873413</v>
      </c>
      <c r="L1059" s="12" t="n">
        <v>1.506601565043654</v>
      </c>
      <c r="M1059" s="12" t="n">
        <v>4.966748706334512</v>
      </c>
      <c r="N1059" s="12" t="n">
        <v>14.75448644987381</v>
      </c>
      <c r="O1059" s="12" t="n">
        <v>321.7119467058072</v>
      </c>
      <c r="P1059" s="5" t="inlineStr">
        <is>
          <t>Normal</t>
        </is>
      </c>
      <c r="Q1059" s="5" t="inlineStr">
        <is>
          <t>Turn Left</t>
        </is>
      </c>
      <c r="R1059" s="12" t="n">
        <v>0.52</v>
      </c>
      <c r="S1059" s="5" t="inlineStr">
        <is>
          <t>REDUCED</t>
        </is>
      </c>
      <c r="T1059" s="5" t="inlineStr">
        <is>
          <t>Normal operation</t>
        </is>
      </c>
    </row>
    <row r="1060" s="17">
      <c r="A1060" s="7" t="n">
        <v>8625</v>
      </c>
      <c r="B1060" s="8" t="n">
        <v>48024.772546</v>
      </c>
      <c r="C1060" s="9" t="n">
        <v>48.024772546</v>
      </c>
      <c r="D1060" s="9" t="n">
        <v>151.62067943</v>
      </c>
      <c r="E1060" s="9" t="n">
        <v>38.71420572</v>
      </c>
      <c r="F1060" s="10" t="n">
        <v>0.1533683208352173</v>
      </c>
      <c r="G1060" s="10" t="n">
        <v>0.0894376114268572</v>
      </c>
      <c r="H1060" s="10" t="n">
        <v>0.938950645240236</v>
      </c>
      <c r="I1060" s="10" t="n">
        <v>0.9721649999999999</v>
      </c>
      <c r="J1060" s="5" t="inlineStr">
        <is>
          <t>Cleaner sand</t>
        </is>
      </c>
      <c r="K1060" s="11" t="n">
        <v>17.89214953318197</v>
      </c>
      <c r="L1060" s="12" t="n">
        <v>1.659652788657443</v>
      </c>
      <c r="M1060" s="12" t="n">
        <v>4.804090572081638</v>
      </c>
      <c r="N1060" s="12" t="n">
        <v>17.5620096461397</v>
      </c>
      <c r="O1060" s="12" t="n">
        <v>332.189206992413</v>
      </c>
      <c r="P1060" s="5" t="inlineStr">
        <is>
          <t>Normal</t>
        </is>
      </c>
      <c r="Q1060" s="5" t="inlineStr">
        <is>
          <t>Drop</t>
        </is>
      </c>
      <c r="R1060" s="12" t="n">
        <v>0.73</v>
      </c>
      <c r="S1060" s="5" t="inlineStr">
        <is>
          <t>ACCEPTED</t>
        </is>
      </c>
      <c r="T1060" s="5" t="inlineStr">
        <is>
          <t>Normal operation</t>
        </is>
      </c>
    </row>
    <row r="1061" s="17">
      <c r="A1061" s="7" t="n">
        <v>8630</v>
      </c>
      <c r="B1061" s="8" t="n">
        <v>56395.175278</v>
      </c>
      <c r="C1061" s="9" t="n">
        <v>56.395175278</v>
      </c>
      <c r="D1061" s="9" t="n">
        <v>123.72987584</v>
      </c>
      <c r="E1061" s="9" t="n">
        <v>35.93759387999999</v>
      </c>
      <c r="F1061" s="10" t="n">
        <v>0.1118316364193684</v>
      </c>
      <c r="G1061" s="10" t="n">
        <v>0.3463160547283037</v>
      </c>
      <c r="H1061" s="10" t="n">
        <v>0.8732198798078288</v>
      </c>
      <c r="I1061" s="10" t="n">
        <v>1.430394</v>
      </c>
      <c r="J1061" s="5" t="inlineStr">
        <is>
          <t>Transition</t>
        </is>
      </c>
      <c r="K1061" s="11" t="n">
        <v>18.51743313493598</v>
      </c>
      <c r="L1061" s="12" t="n">
        <v>1.1</v>
      </c>
      <c r="M1061" s="12" t="n">
        <v>4.352930578616819</v>
      </c>
      <c r="N1061" s="12" t="n">
        <v>15.31027879485859</v>
      </c>
      <c r="O1061" s="12" t="n">
        <v>318.3113884868134</v>
      </c>
      <c r="P1061" s="5" t="inlineStr">
        <is>
          <t>Normal</t>
        </is>
      </c>
      <c r="Q1061" s="5" t="inlineStr">
        <is>
          <t>Turn Left</t>
        </is>
      </c>
      <c r="R1061" s="12" t="n">
        <v>0.45</v>
      </c>
      <c r="S1061" s="5" t="inlineStr">
        <is>
          <t>REJECTED</t>
        </is>
      </c>
      <c r="T1061" s="5" t="inlineStr">
        <is>
          <t>Normal operation</t>
        </is>
      </c>
    </row>
    <row r="1062" s="17">
      <c r="A1062" s="7" t="n">
        <v>8635</v>
      </c>
      <c r="B1062" s="8" t="n">
        <v>39809.953474</v>
      </c>
      <c r="C1062" s="9" t="n">
        <v>39.809953474</v>
      </c>
      <c r="D1062" s="9" t="n">
        <v>128.67741173</v>
      </c>
      <c r="E1062" s="9" t="n">
        <v>49.50175590000001</v>
      </c>
      <c r="F1062" s="10" t="n">
        <v>0.03488297753535643</v>
      </c>
      <c r="G1062" s="10" t="n">
        <v>0.04099017473070062</v>
      </c>
      <c r="H1062" s="10" t="n">
        <v>0.9609872146249177</v>
      </c>
      <c r="I1062" s="10" t="n">
        <v>0.175152</v>
      </c>
      <c r="J1062" s="5" t="inlineStr">
        <is>
          <t>Cleaner sand</t>
        </is>
      </c>
      <c r="K1062" s="11" t="n">
        <v>16.6093652006705</v>
      </c>
      <c r="L1062" s="12" t="n">
        <v>1.95621250991413</v>
      </c>
      <c r="M1062" s="12" t="n">
        <v>4.243561964771239</v>
      </c>
      <c r="N1062" s="12" t="n">
        <v>14.74912273548427</v>
      </c>
      <c r="O1062" s="12" t="n">
        <v>329.0006771757868</v>
      </c>
      <c r="P1062" s="5" t="inlineStr">
        <is>
          <t>Normal</t>
        </is>
      </c>
      <c r="Q1062" s="5" t="inlineStr">
        <is>
          <t>Turn Left</t>
        </is>
      </c>
      <c r="R1062" s="12" t="n">
        <v>0.51</v>
      </c>
      <c r="S1062" s="5" t="inlineStr">
        <is>
          <t>REDUCED</t>
        </is>
      </c>
      <c r="T1062" s="5" t="inlineStr">
        <is>
          <t>Normal operation</t>
        </is>
      </c>
    </row>
    <row r="1063" s="17">
      <c r="A1063" s="7" t="n">
        <v>8640</v>
      </c>
      <c r="B1063" s="8" t="n">
        <v>66344.111938</v>
      </c>
      <c r="C1063" s="9" t="n">
        <v>66.344111938</v>
      </c>
      <c r="D1063" s="9" t="n">
        <v>141.69261192</v>
      </c>
      <c r="E1063" s="9" t="n">
        <v>53.26365432</v>
      </c>
      <c r="F1063" s="10" t="n">
        <v>0.1073405347988323</v>
      </c>
      <c r="G1063" s="10" t="n">
        <v>0.2683765267295855</v>
      </c>
      <c r="H1063" s="10" t="n">
        <v>0.9022764295564999</v>
      </c>
      <c r="I1063" s="10" t="n">
        <v>1.070131</v>
      </c>
      <c r="J1063" s="5" t="inlineStr">
        <is>
          <t>Transition</t>
        </is>
      </c>
      <c r="K1063" s="11" t="n">
        <v>17.86932946301076</v>
      </c>
      <c r="L1063" s="12" t="n">
        <v>2.09234320053847</v>
      </c>
      <c r="M1063" s="12" t="n">
        <v>4.570009816358664</v>
      </c>
      <c r="N1063" s="12" t="n">
        <v>15.6233780417311</v>
      </c>
      <c r="O1063" s="12" t="n">
        <v>320.0911979301335</v>
      </c>
      <c r="P1063" s="5" t="inlineStr">
        <is>
          <t>Normal</t>
        </is>
      </c>
      <c r="Q1063" s="5" t="inlineStr">
        <is>
          <t>Turn Left</t>
        </is>
      </c>
      <c r="R1063" s="12" t="n">
        <v>0.57</v>
      </c>
      <c r="S1063" s="5" t="inlineStr">
        <is>
          <t>REDUCED</t>
        </is>
      </c>
      <c r="T1063" s="5" t="inlineStr">
        <is>
          <t>Normal operation</t>
        </is>
      </c>
    </row>
    <row r="1064" s="17">
      <c r="A1064" s="7" t="n">
        <v>8645</v>
      </c>
      <c r="B1064" s="8" t="n">
        <v>60803.989866</v>
      </c>
      <c r="C1064" s="9" t="n">
        <v>60.803989866</v>
      </c>
      <c r="D1064" s="9" t="n">
        <v>123.79799143</v>
      </c>
      <c r="E1064" s="9" t="n">
        <v>30</v>
      </c>
      <c r="F1064" s="10" t="n">
        <v>0.07868289377129206</v>
      </c>
      <c r="G1064" s="10" t="n">
        <v>0.378076218358274</v>
      </c>
      <c r="H1064" s="10" t="n">
        <v>0.8642475880928677</v>
      </c>
      <c r="I1064" s="10" t="n">
        <v>1.093225</v>
      </c>
      <c r="J1064" s="5" t="inlineStr">
        <is>
          <t>Transition</t>
        </is>
      </c>
      <c r="K1064" s="11" t="n">
        <v>20.84768951920225</v>
      </c>
      <c r="L1064" s="12" t="n">
        <v>1.438475736911791</v>
      </c>
      <c r="M1064" s="12" t="n">
        <v>5.062666473306602</v>
      </c>
      <c r="N1064" s="12" t="n">
        <v>14.55729044159273</v>
      </c>
      <c r="O1064" s="12" t="n">
        <v>341.7645624124067</v>
      </c>
      <c r="P1064" s="5" t="inlineStr">
        <is>
          <t>Normal</t>
        </is>
      </c>
      <c r="Q1064" s="5" t="inlineStr">
        <is>
          <t>Turn Left</t>
        </is>
      </c>
      <c r="R1064" s="12" t="n">
        <v>0.8100000000000001</v>
      </c>
      <c r="S1064" s="5" t="inlineStr">
        <is>
          <t>ACCEPTED</t>
        </is>
      </c>
      <c r="T1064" s="5" t="inlineStr">
        <is>
          <t>Normal operation</t>
        </is>
      </c>
    </row>
    <row r="1065" s="17">
      <c r="A1065" s="7" t="n">
        <v>8650</v>
      </c>
      <c r="B1065" s="8" t="n">
        <v>39027.767565</v>
      </c>
      <c r="C1065" s="9" t="n">
        <v>39.027767565</v>
      </c>
      <c r="D1065" s="9" t="n">
        <v>144.06084612</v>
      </c>
      <c r="E1065" s="9" t="n">
        <v>43.09572976</v>
      </c>
      <c r="F1065" s="10" t="n">
        <v>0.06063365949212363</v>
      </c>
      <c r="G1065" s="10" t="n">
        <v>0.1200507544178184</v>
      </c>
      <c r="H1065" s="10" t="n">
        <v>0.9486209776356898</v>
      </c>
      <c r="I1065" s="10" t="n">
        <v>0.351618</v>
      </c>
      <c r="J1065" s="5" t="inlineStr">
        <is>
          <t>Cleaner sand</t>
        </is>
      </c>
      <c r="K1065" s="11" t="n">
        <v>13.95409180630786</v>
      </c>
      <c r="L1065" s="12" t="n">
        <v>1.429679347597844</v>
      </c>
      <c r="M1065" s="12" t="n">
        <v>7.167831162258684</v>
      </c>
      <c r="N1065" s="12" t="n">
        <v>15.09055849649332</v>
      </c>
      <c r="O1065" s="12" t="n">
        <v>342.1565877843274</v>
      </c>
      <c r="P1065" s="5" t="inlineStr">
        <is>
          <t>Caution</t>
        </is>
      </c>
      <c r="Q1065" s="5" t="inlineStr">
        <is>
          <t>Turn Left</t>
        </is>
      </c>
      <c r="R1065" s="12" t="n">
        <v>0.41</v>
      </c>
      <c r="S1065" s="5" t="inlineStr">
        <is>
          <t>REJECTED</t>
        </is>
      </c>
      <c r="T1065" s="5" t="inlineStr">
        <is>
          <t>DLS exceeds normal range</t>
        </is>
      </c>
    </row>
    <row r="1066" s="17">
      <c r="A1066" s="7" t="n">
        <v>8655</v>
      </c>
      <c r="B1066" s="8" t="n">
        <v>49690.407018</v>
      </c>
      <c r="C1066" s="9" t="n">
        <v>49.69040701799999</v>
      </c>
      <c r="D1066" s="9" t="n">
        <v>141.11314789</v>
      </c>
      <c r="E1066" s="9" t="n">
        <v>49.32074992</v>
      </c>
      <c r="F1066" s="10" t="n">
        <v>0.03977290887141362</v>
      </c>
      <c r="G1066" s="10" t="n">
        <v>0.04923855027020169</v>
      </c>
      <c r="H1066" s="10" t="n">
        <v>0.9200015427477864</v>
      </c>
      <c r="I1066" s="10" t="n">
        <v>0.337999</v>
      </c>
      <c r="J1066" s="5" t="inlineStr">
        <is>
          <t>Cleaner sand</t>
        </is>
      </c>
      <c r="K1066" s="11" t="n">
        <v>17.29245463912659</v>
      </c>
      <c r="L1066" s="12" t="n">
        <v>1.790280332529504</v>
      </c>
      <c r="M1066" s="12" t="n">
        <v>5.159687555715458</v>
      </c>
      <c r="N1066" s="12" t="n">
        <v>15.96976144751348</v>
      </c>
      <c r="O1066" s="12" t="n">
        <v>317.6467137896077</v>
      </c>
      <c r="P1066" s="5" t="inlineStr">
        <is>
          <t>Normal</t>
        </is>
      </c>
      <c r="Q1066" s="5" t="inlineStr">
        <is>
          <t>Drop</t>
        </is>
      </c>
      <c r="R1066" s="12" t="n">
        <v>0.9</v>
      </c>
      <c r="S1066" s="5" t="inlineStr">
        <is>
          <t>ACCEPTED</t>
        </is>
      </c>
      <c r="T1066" s="5" t="inlineStr">
        <is>
          <t>Normal operation</t>
        </is>
      </c>
    </row>
    <row r="1067" s="17">
      <c r="A1067" s="7" t="n">
        <v>8660</v>
      </c>
      <c r="B1067" s="8" t="n">
        <v>65949.42584</v>
      </c>
      <c r="C1067" s="9" t="n">
        <v>65.94942583999999</v>
      </c>
      <c r="D1067" s="9" t="n">
        <v>109.66271905</v>
      </c>
      <c r="E1067" s="9" t="n">
        <v>30.47279736</v>
      </c>
      <c r="F1067" s="10" t="n">
        <v>0.09614758189816014</v>
      </c>
      <c r="G1067" s="10" t="n">
        <v>0.243913075079765</v>
      </c>
      <c r="H1067" s="10" t="n">
        <v>0.9617259291290898</v>
      </c>
      <c r="I1067" s="10" t="n">
        <v>0.401321</v>
      </c>
      <c r="J1067" s="5" t="inlineStr">
        <is>
          <t>Cleaner sand</t>
        </is>
      </c>
      <c r="K1067" s="11" t="n">
        <v>19.52561087974832</v>
      </c>
      <c r="L1067" s="12" t="n">
        <v>1.446007329340108</v>
      </c>
      <c r="M1067" s="12" t="n">
        <v>5.697587307622266</v>
      </c>
      <c r="N1067" s="12" t="n">
        <v>15.86460896690231</v>
      </c>
      <c r="O1067" s="12" t="n">
        <v>344.5</v>
      </c>
      <c r="P1067" s="5" t="inlineStr">
        <is>
          <t>Normal</t>
        </is>
      </c>
      <c r="Q1067" s="5" t="inlineStr">
        <is>
          <t>Turn Left</t>
        </is>
      </c>
      <c r="R1067" s="12" t="n">
        <v>0.44</v>
      </c>
      <c r="S1067" s="5" t="inlineStr">
        <is>
          <t>REJECTED</t>
        </is>
      </c>
      <c r="T1067" s="5" t="inlineStr">
        <is>
          <t>Normal operation</t>
        </is>
      </c>
    </row>
    <row r="1068" s="17">
      <c r="A1068" s="7" t="n">
        <v>8665</v>
      </c>
      <c r="B1068" s="8" t="n">
        <v>41859.321256</v>
      </c>
      <c r="C1068" s="9" t="n">
        <v>41.859321256</v>
      </c>
      <c r="D1068" s="9" t="n">
        <v>134.11586753</v>
      </c>
      <c r="E1068" s="9" t="n">
        <v>62.80526698</v>
      </c>
      <c r="F1068" s="10" t="n">
        <v>0.04919715643340244</v>
      </c>
      <c r="G1068" s="10" t="n">
        <v>0.2553844403187276</v>
      </c>
      <c r="H1068" s="10" t="n">
        <v>0.911913907490992</v>
      </c>
      <c r="I1068" s="10" t="n">
        <v>0.456835</v>
      </c>
      <c r="J1068" s="5" t="inlineStr">
        <is>
          <t>Transition</t>
        </is>
      </c>
      <c r="K1068" s="11" t="n">
        <v>14.91990807092155</v>
      </c>
      <c r="L1068" s="12" t="n">
        <v>1.627595018833347</v>
      </c>
      <c r="M1068" s="12" t="n">
        <v>5.850598401986232</v>
      </c>
      <c r="N1068" s="12" t="n">
        <v>14.13385897593042</v>
      </c>
      <c r="O1068" s="12" t="n">
        <v>344.5</v>
      </c>
      <c r="P1068" s="5" t="inlineStr">
        <is>
          <t>Normal</t>
        </is>
      </c>
      <c r="Q1068" s="5" t="inlineStr">
        <is>
          <t>Turn Left</t>
        </is>
      </c>
      <c r="R1068" s="12" t="n">
        <v>0.61</v>
      </c>
      <c r="S1068" s="5" t="inlineStr">
        <is>
          <t>REDUCED</t>
        </is>
      </c>
      <c r="T1068" s="5" t="inlineStr">
        <is>
          <t>Normal operation</t>
        </is>
      </c>
    </row>
    <row r="1069" s="17">
      <c r="A1069" s="7" t="n">
        <v>8670</v>
      </c>
      <c r="B1069" s="8" t="n">
        <v>43463.279927</v>
      </c>
      <c r="C1069" s="9" t="n">
        <v>43.463279927</v>
      </c>
      <c r="D1069" s="9" t="n">
        <v>134.05013561</v>
      </c>
      <c r="E1069" s="9" t="n">
        <v>52.79210512</v>
      </c>
      <c r="F1069" s="10" t="n">
        <v>0.09229167081138955</v>
      </c>
      <c r="G1069" s="10" t="n">
        <v>0.1106024969400071</v>
      </c>
      <c r="H1069" s="10" t="n">
        <v>0.8784766665640258</v>
      </c>
      <c r="I1069" s="10" t="n">
        <v>1.127385</v>
      </c>
      <c r="J1069" s="5" t="inlineStr">
        <is>
          <t>Cleaner sand</t>
        </is>
      </c>
      <c r="K1069" s="11" t="n">
        <v>17.67041902230172</v>
      </c>
      <c r="L1069" s="12" t="n">
        <v>2.688863676691593</v>
      </c>
      <c r="M1069" s="12" t="n">
        <v>5.609723329229619</v>
      </c>
      <c r="N1069" s="12" t="n">
        <v>14.55629443385176</v>
      </c>
      <c r="O1069" s="12" t="n">
        <v>334.0493096006507</v>
      </c>
      <c r="P1069" s="5" t="inlineStr">
        <is>
          <t>Normal</t>
        </is>
      </c>
      <c r="Q1069" s="5" t="inlineStr">
        <is>
          <t>Build</t>
        </is>
      </c>
      <c r="R1069" s="12" t="n">
        <v>0.44</v>
      </c>
      <c r="S1069" s="5" t="inlineStr">
        <is>
          <t>REJECTED</t>
        </is>
      </c>
      <c r="T1069" s="5" t="inlineStr">
        <is>
          <t>High vibration detected</t>
        </is>
      </c>
    </row>
    <row r="1070" s="17">
      <c r="A1070" s="7" t="n">
        <v>8675</v>
      </c>
      <c r="B1070" s="8" t="n">
        <v>70514.016212</v>
      </c>
      <c r="C1070" s="9" t="n">
        <v>70.514016212</v>
      </c>
      <c r="D1070" s="9" t="n">
        <v>161.4838756</v>
      </c>
      <c r="E1070" s="9" t="n">
        <v>30</v>
      </c>
      <c r="F1070" s="10" t="n">
        <v>0.06280929452490144</v>
      </c>
      <c r="G1070" s="10" t="n">
        <v>0.2906318979096859</v>
      </c>
      <c r="H1070" s="10" t="n">
        <v>0.9642599942907556</v>
      </c>
      <c r="I1070" s="10" t="n">
        <v>0.215508</v>
      </c>
      <c r="J1070" s="5" t="inlineStr">
        <is>
          <t>Transition</t>
        </is>
      </c>
      <c r="K1070" s="11" t="n">
        <v>21.01710646049846</v>
      </c>
      <c r="L1070" s="12" t="n">
        <v>1.538957406634462</v>
      </c>
      <c r="M1070" s="12" t="n">
        <v>5.417407800938757</v>
      </c>
      <c r="N1070" s="12" t="n">
        <v>16.47621768128782</v>
      </c>
      <c r="O1070" s="12" t="n">
        <v>326.3171900037923</v>
      </c>
      <c r="P1070" s="5" t="inlineStr">
        <is>
          <t>Normal</t>
        </is>
      </c>
      <c r="Q1070" s="5" t="inlineStr">
        <is>
          <t>Turn Left</t>
        </is>
      </c>
      <c r="R1070" s="12" t="n">
        <v>0.82</v>
      </c>
      <c r="S1070" s="5" t="inlineStr">
        <is>
          <t>ACCEPTED</t>
        </is>
      </c>
      <c r="T1070" s="5" t="inlineStr">
        <is>
          <t>WOB outside preferred band</t>
        </is>
      </c>
    </row>
    <row r="1071" s="17">
      <c r="A1071" s="7" t="n">
        <v>8680</v>
      </c>
      <c r="B1071" s="8" t="n">
        <v>48490.330988</v>
      </c>
      <c r="C1071" s="9" t="n">
        <v>48.490330988</v>
      </c>
      <c r="D1071" s="9" t="n">
        <v>134.34463155</v>
      </c>
      <c r="E1071" s="9" t="n">
        <v>61.2562509</v>
      </c>
      <c r="F1071" s="10" t="n">
        <v>0.04903261488581383</v>
      </c>
      <c r="G1071" s="10" t="n">
        <v>0.03239030020264078</v>
      </c>
      <c r="H1071" s="10" t="n">
        <v>0.9799967789173523</v>
      </c>
      <c r="I1071" s="10" t="n">
        <v>0.093213</v>
      </c>
      <c r="J1071" s="5" t="inlineStr">
        <is>
          <t>Cleaner sand</t>
        </is>
      </c>
      <c r="K1071" s="11" t="n">
        <v>17.78067952639664</v>
      </c>
      <c r="L1071" s="12" t="n">
        <v>1.484413325509601</v>
      </c>
      <c r="M1071" s="12" t="n">
        <v>4.497454145241138</v>
      </c>
      <c r="N1071" s="12" t="n">
        <v>15.61417828454202</v>
      </c>
      <c r="O1071" s="12" t="n">
        <v>344.5</v>
      </c>
      <c r="P1071" s="5" t="inlineStr">
        <is>
          <t>Normal</t>
        </is>
      </c>
      <c r="Q1071" s="5" t="inlineStr">
        <is>
          <t>Turn Left</t>
        </is>
      </c>
      <c r="R1071" s="12" t="n">
        <v>0.48</v>
      </c>
      <c r="S1071" s="5" t="inlineStr">
        <is>
          <t>REJECTED</t>
        </is>
      </c>
      <c r="T1071" s="5" t="inlineStr">
        <is>
          <t>Normal operation</t>
        </is>
      </c>
    </row>
    <row r="1072" s="17">
      <c r="A1072" s="7" t="n">
        <v>8685</v>
      </c>
      <c r="B1072" s="8" t="n">
        <v>65986.79423699999</v>
      </c>
      <c r="C1072" s="9" t="n">
        <v>65.986794237</v>
      </c>
      <c r="D1072" s="9" t="n">
        <v>155.27029676</v>
      </c>
      <c r="E1072" s="9" t="n">
        <v>38.40147986</v>
      </c>
      <c r="F1072" s="10" t="n">
        <v>0.09399915468530345</v>
      </c>
      <c r="G1072" s="10" t="n">
        <v>0.1074489675914508</v>
      </c>
      <c r="H1072" s="10" t="n">
        <v>0.9159568394999783</v>
      </c>
      <c r="I1072" s="10" t="n">
        <v>0.805754</v>
      </c>
      <c r="J1072" s="5" t="inlineStr">
        <is>
          <t>Cleaner sand</t>
        </is>
      </c>
      <c r="K1072" s="11" t="n">
        <v>20.60523305186686</v>
      </c>
      <c r="L1072" s="12" t="n">
        <v>1.342704515238772</v>
      </c>
      <c r="M1072" s="12" t="n">
        <v>6.588594685189142</v>
      </c>
      <c r="N1072" s="12" t="n">
        <v>17.55571603904237</v>
      </c>
      <c r="O1072" s="12" t="n">
        <v>317.2198477511839</v>
      </c>
      <c r="P1072" s="5" t="inlineStr">
        <is>
          <t>Caution</t>
        </is>
      </c>
      <c r="Q1072" s="5" t="inlineStr">
        <is>
          <t>Drop</t>
        </is>
      </c>
      <c r="R1072" s="12" t="n">
        <v>0.89</v>
      </c>
      <c r="S1072" s="5" t="inlineStr">
        <is>
          <t>ACCEPTED</t>
        </is>
      </c>
      <c r="T1072" s="5" t="inlineStr">
        <is>
          <t>DLS exceeds normal range</t>
        </is>
      </c>
    </row>
    <row r="1073" s="17">
      <c r="A1073" s="7" t="n">
        <v>8690</v>
      </c>
      <c r="B1073" s="8" t="n">
        <v>65958.302084</v>
      </c>
      <c r="C1073" s="9" t="n">
        <v>65.958302084</v>
      </c>
      <c r="D1073" s="9" t="n">
        <v>121.08649509</v>
      </c>
      <c r="E1073" s="9" t="n">
        <v>41.26741512</v>
      </c>
      <c r="F1073" s="10" t="n">
        <v>0.08526949930676445</v>
      </c>
      <c r="G1073" s="10" t="n">
        <v>0.2639565394872707</v>
      </c>
      <c r="H1073" s="10" t="n">
        <v>0.8778008685219939</v>
      </c>
      <c r="I1073" s="10" t="n">
        <v>1.077724</v>
      </c>
      <c r="J1073" s="5" t="inlineStr">
        <is>
          <t>Transition</t>
        </is>
      </c>
      <c r="K1073" s="11" t="n">
        <v>21.12395413483499</v>
      </c>
      <c r="L1073" s="12" t="n">
        <v>2.024654066034969</v>
      </c>
      <c r="M1073" s="12" t="n">
        <v>6.847612073112452</v>
      </c>
      <c r="N1073" s="12" t="n">
        <v>16.28157147015464</v>
      </c>
      <c r="O1073" s="12" t="n">
        <v>329.1595592364782</v>
      </c>
      <c r="P1073" s="5" t="inlineStr">
        <is>
          <t>Caution</t>
        </is>
      </c>
      <c r="Q1073" s="5" t="inlineStr">
        <is>
          <t>Drop</t>
        </is>
      </c>
      <c r="R1073" s="12" t="n">
        <v>0.6899999999999999</v>
      </c>
      <c r="S1073" s="5" t="inlineStr">
        <is>
          <t>REDUCED</t>
        </is>
      </c>
      <c r="T1073" s="5" t="inlineStr">
        <is>
          <t>DLS exceeds normal range</t>
        </is>
      </c>
    </row>
    <row r="1074" s="17">
      <c r="A1074" s="7" t="n">
        <v>8695</v>
      </c>
      <c r="B1074" s="8" t="n">
        <v>34395.055442</v>
      </c>
      <c r="C1074" s="9" t="n">
        <v>34.395055442</v>
      </c>
      <c r="D1074" s="9" t="n">
        <v>119.47265488</v>
      </c>
      <c r="E1074" s="9" t="n">
        <v>57.03839722</v>
      </c>
      <c r="F1074" s="10" t="n">
        <v>0.0578105182220553</v>
      </c>
      <c r="G1074" s="10" t="n">
        <v>0.08211663100514759</v>
      </c>
      <c r="H1074" s="10" t="n">
        <v>0.9252989251923579</v>
      </c>
      <c r="I1074" s="10" t="n">
        <v>0.461178</v>
      </c>
      <c r="J1074" s="5" t="inlineStr">
        <is>
          <t>Cleaner sand</t>
        </is>
      </c>
      <c r="K1074" s="11" t="n">
        <v>14.91857152543786</v>
      </c>
      <c r="L1074" s="12" t="n">
        <v>1.571200155123129</v>
      </c>
      <c r="M1074" s="12" t="n">
        <v>4.029570263805176</v>
      </c>
      <c r="N1074" s="12" t="n">
        <v>16.12425918981997</v>
      </c>
      <c r="O1074" s="12" t="n">
        <v>329.114777638456</v>
      </c>
      <c r="P1074" s="5" t="inlineStr">
        <is>
          <t>Normal</t>
        </is>
      </c>
      <c r="Q1074" s="5" t="inlineStr">
        <is>
          <t>Turn Left</t>
        </is>
      </c>
      <c r="R1074" s="12" t="n">
        <v>0.92</v>
      </c>
      <c r="S1074" s="5" t="inlineStr">
        <is>
          <t>ACCEPTED</t>
        </is>
      </c>
      <c r="T1074" s="5" t="inlineStr">
        <is>
          <t>Normal operation</t>
        </is>
      </c>
    </row>
    <row r="1075" s="17">
      <c r="A1075" s="7" t="n">
        <v>8700</v>
      </c>
      <c r="B1075" s="8" t="n">
        <v>36447.979384</v>
      </c>
      <c r="C1075" s="9" t="n">
        <v>36.447979384</v>
      </c>
      <c r="D1075" s="9" t="n">
        <v>138.05797961</v>
      </c>
      <c r="E1075" s="9" t="n">
        <v>32.17532236</v>
      </c>
      <c r="F1075" s="10" t="n">
        <v>0.1494190789746447</v>
      </c>
      <c r="G1075" s="10" t="n">
        <v>0.1816664184010437</v>
      </c>
      <c r="H1075" s="10" t="n">
        <v>0.963551118103568</v>
      </c>
      <c r="I1075" s="10" t="n">
        <v>0.577813</v>
      </c>
      <c r="J1075" s="5" t="inlineStr">
        <is>
          <t>Cleaner sand</t>
        </is>
      </c>
      <c r="K1075" s="11" t="n">
        <v>13.93633452154211</v>
      </c>
      <c r="L1075" s="12" t="n">
        <v>1.341807211222501</v>
      </c>
      <c r="M1075" s="12" t="n">
        <v>4.530158895245841</v>
      </c>
      <c r="N1075" s="12" t="n">
        <v>12.72172244150088</v>
      </c>
      <c r="O1075" s="12" t="n">
        <v>338.9460335354913</v>
      </c>
      <c r="P1075" s="5" t="inlineStr">
        <is>
          <t>Normal</t>
        </is>
      </c>
      <c r="Q1075" s="5" t="inlineStr">
        <is>
          <t>Turn Left</t>
        </is>
      </c>
      <c r="R1075" s="12" t="n">
        <v>0.5600000000000001</v>
      </c>
      <c r="S1075" s="5" t="inlineStr">
        <is>
          <t>REDUCED</t>
        </is>
      </c>
      <c r="T1075" s="5" t="inlineStr">
        <is>
          <t>Normal operation</t>
        </is>
      </c>
    </row>
    <row r="1076" s="17">
      <c r="A1076" s="7" t="n">
        <v>8705</v>
      </c>
      <c r="B1076" s="8" t="n">
        <v>73161.975802</v>
      </c>
      <c r="C1076" s="9" t="n">
        <v>73.161975802</v>
      </c>
      <c r="D1076" s="9" t="n">
        <v>123.36016111</v>
      </c>
      <c r="E1076" s="9" t="n">
        <v>30</v>
      </c>
      <c r="F1076" s="10" t="n">
        <v>0.0483873658681666</v>
      </c>
      <c r="G1076" s="10" t="n">
        <v>0.2514215418323735</v>
      </c>
      <c r="H1076" s="10" t="n">
        <v>0.9568501613885648</v>
      </c>
      <c r="I1076" s="10" t="n">
        <v>0.189754</v>
      </c>
      <c r="J1076" s="5" t="inlineStr">
        <is>
          <t>Transition</t>
        </is>
      </c>
      <c r="K1076" s="11" t="n">
        <v>22.96809151706538</v>
      </c>
      <c r="L1076" s="12" t="n">
        <v>2.307438975813776</v>
      </c>
      <c r="M1076" s="12" t="n">
        <v>5.09906188003741</v>
      </c>
      <c r="N1076" s="12" t="n">
        <v>15.40824337061826</v>
      </c>
      <c r="O1076" s="12" t="n">
        <v>327.0892787545566</v>
      </c>
      <c r="P1076" s="5" t="inlineStr">
        <is>
          <t>Normal</t>
        </is>
      </c>
      <c r="Q1076" s="5" t="inlineStr">
        <is>
          <t>Drop</t>
        </is>
      </c>
      <c r="R1076" s="12" t="n">
        <v>0.65</v>
      </c>
      <c r="S1076" s="5" t="inlineStr">
        <is>
          <t>REDUCED</t>
        </is>
      </c>
      <c r="T1076" s="5" t="inlineStr">
        <is>
          <t>WOB outside preferred band</t>
        </is>
      </c>
    </row>
    <row r="1077" s="17">
      <c r="A1077" s="7" t="n">
        <v>8710</v>
      </c>
      <c r="B1077" s="8" t="n">
        <v>53005.492682</v>
      </c>
      <c r="C1077" s="9" t="n">
        <v>53.005492682</v>
      </c>
      <c r="D1077" s="9" t="n">
        <v>137.37422831</v>
      </c>
      <c r="E1077" s="9" t="n">
        <v>77.68434409999999</v>
      </c>
      <c r="F1077" s="10" t="n">
        <v>0.05019495071202269</v>
      </c>
      <c r="G1077" s="10" t="n">
        <v>0.277864828299337</v>
      </c>
      <c r="H1077" s="10" t="n">
        <v>0.9224245595601162</v>
      </c>
      <c r="I1077" s="10" t="n">
        <v>0.437293</v>
      </c>
      <c r="J1077" s="5" t="inlineStr">
        <is>
          <t>Transition</t>
        </is>
      </c>
      <c r="K1077" s="11" t="n">
        <v>17.77085494606629</v>
      </c>
      <c r="L1077" s="12" t="n">
        <v>2.355605472211682</v>
      </c>
      <c r="M1077" s="12" t="n">
        <v>4.524653900689485</v>
      </c>
      <c r="N1077" s="12" t="n">
        <v>14.23545942769022</v>
      </c>
      <c r="O1077" s="12" t="n">
        <v>316.3301258544872</v>
      </c>
      <c r="P1077" s="5" t="inlineStr">
        <is>
          <t>Normal</t>
        </is>
      </c>
      <c r="Q1077" s="5" t="inlineStr">
        <is>
          <t>Turn Left</t>
        </is>
      </c>
      <c r="R1077" s="12" t="n">
        <v>0.78</v>
      </c>
      <c r="S1077" s="5" t="inlineStr">
        <is>
          <t>ACCEPTED</t>
        </is>
      </c>
      <c r="T1077" s="5" t="inlineStr">
        <is>
          <t>Normal operation</t>
        </is>
      </c>
    </row>
    <row r="1078" s="17">
      <c r="A1078" s="7" t="n">
        <v>8715</v>
      </c>
      <c r="B1078" s="8" t="n">
        <v>39591.290698</v>
      </c>
      <c r="C1078" s="9" t="n">
        <v>39.59129069799999</v>
      </c>
      <c r="D1078" s="9" t="n">
        <v>122.24045774</v>
      </c>
      <c r="E1078" s="9" t="n">
        <v>43.20421904000001</v>
      </c>
      <c r="F1078" s="10" t="n">
        <v>0.1056357122537674</v>
      </c>
      <c r="G1078" s="10" t="n">
        <v>0.1163847253557867</v>
      </c>
      <c r="H1078" s="10" t="n">
        <v>0.9560163941011213</v>
      </c>
      <c r="I1078" s="10" t="n">
        <v>0.465096</v>
      </c>
      <c r="J1078" s="5" t="inlineStr">
        <is>
          <t>Cleaner sand</t>
        </is>
      </c>
      <c r="K1078" s="11" t="n">
        <v>14.24086777785391</v>
      </c>
      <c r="L1078" s="12" t="n">
        <v>1.365792452788035</v>
      </c>
      <c r="M1078" s="12" t="n">
        <v>5.674277928580779</v>
      </c>
      <c r="N1078" s="12" t="n">
        <v>13.47749528169785</v>
      </c>
      <c r="O1078" s="12" t="n">
        <v>309.4628661722525</v>
      </c>
      <c r="P1078" s="5" t="inlineStr">
        <is>
          <t>Normal</t>
        </is>
      </c>
      <c r="Q1078" s="5" t="inlineStr">
        <is>
          <t>Turn Left</t>
        </is>
      </c>
      <c r="R1078" s="12" t="n">
        <v>0.86</v>
      </c>
      <c r="S1078" s="5" t="inlineStr">
        <is>
          <t>ACCEPTED</t>
        </is>
      </c>
      <c r="T1078" s="5" t="inlineStr">
        <is>
          <t>Normal operation</t>
        </is>
      </c>
    </row>
    <row r="1079" s="17">
      <c r="A1079" s="7" t="n">
        <v>8720</v>
      </c>
      <c r="B1079" s="8" t="n">
        <v>51619.527626</v>
      </c>
      <c r="C1079" s="9" t="n">
        <v>51.619527626</v>
      </c>
      <c r="D1079" s="9" t="n">
        <v>129.42969525</v>
      </c>
      <c r="E1079" s="9" t="n">
        <v>49.9053681</v>
      </c>
      <c r="F1079" s="10" t="n">
        <v>0.05611352526123867</v>
      </c>
      <c r="G1079" s="10" t="n">
        <v>0.0513591661518186</v>
      </c>
      <c r="H1079" s="10" t="n">
        <v>0.9477200175856775</v>
      </c>
      <c r="I1079" s="10" t="n">
        <v>0.29905</v>
      </c>
      <c r="J1079" s="5" t="inlineStr">
        <is>
          <t>Cleaner sand</t>
        </is>
      </c>
      <c r="K1079" s="11" t="n">
        <v>17.58158742030965</v>
      </c>
      <c r="L1079" s="12" t="n">
        <v>1.1</v>
      </c>
      <c r="M1079" s="12" t="n">
        <v>4.659958219579853</v>
      </c>
      <c r="N1079" s="12" t="n">
        <v>14.30146492539125</v>
      </c>
      <c r="O1079" s="12" t="n">
        <v>313.0553223680789</v>
      </c>
      <c r="P1079" s="5" t="inlineStr">
        <is>
          <t>Normal</t>
        </is>
      </c>
      <c r="Q1079" s="5" t="inlineStr">
        <is>
          <t>Turn Left</t>
        </is>
      </c>
      <c r="R1079" s="12" t="n">
        <v>0.63</v>
      </c>
      <c r="S1079" s="5" t="inlineStr">
        <is>
          <t>REDUCED</t>
        </is>
      </c>
      <c r="T1079" s="5" t="inlineStr">
        <is>
          <t>Normal operation</t>
        </is>
      </c>
    </row>
    <row r="1080" s="17">
      <c r="A1080" s="7" t="n">
        <v>8725</v>
      </c>
      <c r="B1080" s="8" t="n">
        <v>50620.100075</v>
      </c>
      <c r="C1080" s="9" t="n">
        <v>50.620100075</v>
      </c>
      <c r="D1080" s="9" t="n">
        <v>134.82121529</v>
      </c>
      <c r="E1080" s="9" t="n">
        <v>46.96647416</v>
      </c>
      <c r="F1080" s="10" t="n">
        <v>0.03450795347033347</v>
      </c>
      <c r="G1080" s="10" t="n">
        <v>0.1224695930052211</v>
      </c>
      <c r="H1080" s="10" t="n">
        <v>0.9622089458554079</v>
      </c>
      <c r="I1080" s="10" t="n">
        <v>0.155416</v>
      </c>
      <c r="J1080" s="5" t="inlineStr">
        <is>
          <t>Cleaner sand</t>
        </is>
      </c>
      <c r="K1080" s="11" t="n">
        <v>19.32664603074253</v>
      </c>
      <c r="L1080" s="12" t="n">
        <v>2.153681708020092</v>
      </c>
      <c r="M1080" s="12" t="n">
        <v>6.947542267928069</v>
      </c>
      <c r="N1080" s="12" t="n">
        <v>15.17341167319561</v>
      </c>
      <c r="O1080" s="12" t="n">
        <v>303.7510704926411</v>
      </c>
      <c r="P1080" s="5" t="inlineStr">
        <is>
          <t>Caution</t>
        </is>
      </c>
      <c r="Q1080" s="5" t="inlineStr">
        <is>
          <t>Drop</t>
        </is>
      </c>
      <c r="R1080" s="12" t="n">
        <v>0.89</v>
      </c>
      <c r="S1080" s="5" t="inlineStr">
        <is>
          <t>ACCEPTED</t>
        </is>
      </c>
      <c r="T1080" s="5" t="inlineStr">
        <is>
          <t>DLS exceeds normal range</t>
        </is>
      </c>
    </row>
    <row r="1081" s="17">
      <c r="A1081" s="7" t="n">
        <v>8730</v>
      </c>
      <c r="B1081" s="8" t="n">
        <v>50429.111944</v>
      </c>
      <c r="C1081" s="9" t="n">
        <v>50.429111944</v>
      </c>
      <c r="D1081" s="9" t="n">
        <v>147.38878411</v>
      </c>
      <c r="E1081" s="9" t="n">
        <v>55.3291351</v>
      </c>
      <c r="F1081" s="10" t="n">
        <v>0.1231031574065511</v>
      </c>
      <c r="G1081" s="10" t="n">
        <v>0.1094237387872061</v>
      </c>
      <c r="H1081" s="10" t="n">
        <v>0.9292437638616543</v>
      </c>
      <c r="I1081" s="10" t="n">
        <v>0.8653380000000001</v>
      </c>
      <c r="J1081" s="5" t="inlineStr">
        <is>
          <t>Cleaner sand</t>
        </is>
      </c>
      <c r="K1081" s="11" t="n">
        <v>18.64098113444603</v>
      </c>
      <c r="L1081" s="12" t="n">
        <v>1.324531385377598</v>
      </c>
      <c r="M1081" s="12" t="n">
        <v>6.140710457730089</v>
      </c>
      <c r="N1081" s="12" t="n">
        <v>14.37426445930893</v>
      </c>
      <c r="O1081" s="12" t="n">
        <v>311.5012098875395</v>
      </c>
      <c r="P1081" s="5" t="inlineStr">
        <is>
          <t>Caution</t>
        </is>
      </c>
      <c r="Q1081" s="5" t="inlineStr">
        <is>
          <t>Drop</t>
        </is>
      </c>
      <c r="R1081" s="12" t="n">
        <v>0.46</v>
      </c>
      <c r="S1081" s="5" t="inlineStr">
        <is>
          <t>REJECTED</t>
        </is>
      </c>
      <c r="T1081" s="5" t="inlineStr">
        <is>
          <t>DLS exceeds normal range</t>
        </is>
      </c>
    </row>
    <row r="1082" s="17">
      <c r="A1082" s="7" t="n">
        <v>8735</v>
      </c>
      <c r="B1082" s="8" t="n">
        <v>74787.01717000001</v>
      </c>
      <c r="C1082" s="9" t="n">
        <v>74.78701717000001</v>
      </c>
      <c r="D1082" s="9" t="n">
        <v>104.62671417</v>
      </c>
      <c r="E1082" s="9" t="n">
        <v>30.45592832</v>
      </c>
      <c r="F1082" s="10" t="n">
        <v>0.04453028926192976</v>
      </c>
      <c r="G1082" s="10" t="n">
        <v>0.3737541539453181</v>
      </c>
      <c r="H1082" s="10" t="n">
        <v>0.8691384808541294</v>
      </c>
      <c r="I1082" s="10" t="n">
        <v>0.564392</v>
      </c>
      <c r="J1082" s="5" t="inlineStr">
        <is>
          <t>Transition</t>
        </is>
      </c>
      <c r="K1082" s="11" t="n">
        <v>21.92205281542321</v>
      </c>
      <c r="L1082" s="12" t="n">
        <v>2.047406543589756</v>
      </c>
      <c r="M1082" s="12" t="n">
        <v>5.330959521422969</v>
      </c>
      <c r="N1082" s="12" t="n">
        <v>12.35971416206156</v>
      </c>
      <c r="O1082" s="12" t="n">
        <v>302.4476786217601</v>
      </c>
      <c r="P1082" s="5" t="inlineStr">
        <is>
          <t>Normal</t>
        </is>
      </c>
      <c r="Q1082" s="5" t="inlineStr">
        <is>
          <t>Turn Left</t>
        </is>
      </c>
      <c r="R1082" s="12" t="n">
        <v>0.79</v>
      </c>
      <c r="S1082" s="5" t="inlineStr">
        <is>
          <t>ACCEPTED</t>
        </is>
      </c>
      <c r="T1082" s="5" t="inlineStr">
        <is>
          <t>WOB outside preferred band</t>
        </is>
      </c>
    </row>
    <row r="1083" s="17">
      <c r="A1083" s="7" t="n">
        <v>8740</v>
      </c>
      <c r="B1083" s="8" t="n">
        <v>53199.018214</v>
      </c>
      <c r="C1083" s="9" t="n">
        <v>53.19901821400001</v>
      </c>
      <c r="D1083" s="9" t="n">
        <v>144.59581953</v>
      </c>
      <c r="E1083" s="9" t="n">
        <v>67.18434004</v>
      </c>
      <c r="F1083" s="10" t="n">
        <v>0.04002693717912442</v>
      </c>
      <c r="G1083" s="10" t="n">
        <v>0.08033989651316741</v>
      </c>
      <c r="H1083" s="10" t="n">
        <v>0.9845172497722162</v>
      </c>
      <c r="I1083" s="10" t="n">
        <v>0.105566</v>
      </c>
      <c r="J1083" s="5" t="inlineStr">
        <is>
          <t>Cleaner sand</t>
        </is>
      </c>
      <c r="K1083" s="11" t="n">
        <v>17.95094735560494</v>
      </c>
      <c r="L1083" s="12" t="n">
        <v>1.1</v>
      </c>
      <c r="M1083" s="12" t="n">
        <v>5.954974387687574</v>
      </c>
      <c r="N1083" s="12" t="n">
        <v>14.2454734042794</v>
      </c>
      <c r="O1083" s="12" t="n">
        <v>290.0886809142779</v>
      </c>
      <c r="P1083" s="5" t="inlineStr">
        <is>
          <t>Normal</t>
        </is>
      </c>
      <c r="Q1083" s="5" t="inlineStr">
        <is>
          <t>Drop</t>
        </is>
      </c>
      <c r="R1083" s="12" t="n">
        <v>0.59</v>
      </c>
      <c r="S1083" s="5" t="inlineStr">
        <is>
          <t>REDUCED</t>
        </is>
      </c>
      <c r="T1083" s="5" t="inlineStr">
        <is>
          <t>Normal operation</t>
        </is>
      </c>
    </row>
    <row r="1084" s="17">
      <c r="A1084" s="7" t="n">
        <v>8745</v>
      </c>
      <c r="B1084" s="8" t="n">
        <v>45561.587609</v>
      </c>
      <c r="C1084" s="9" t="n">
        <v>45.561587609</v>
      </c>
      <c r="D1084" s="9" t="n">
        <v>128.73113651</v>
      </c>
      <c r="E1084" s="9" t="n">
        <v>52.47270282</v>
      </c>
      <c r="F1084" s="10" t="n">
        <v>0.1504427973151899</v>
      </c>
      <c r="G1084" s="10" t="n">
        <v>0.1010215387949019</v>
      </c>
      <c r="H1084" s="10" t="n">
        <v>0.9019715887963071</v>
      </c>
      <c r="I1084" s="10" t="n">
        <v>1.493305</v>
      </c>
      <c r="J1084" s="5" t="inlineStr">
        <is>
          <t>Cleaner sand</t>
        </is>
      </c>
      <c r="K1084" s="11" t="n">
        <v>16.57388134635536</v>
      </c>
      <c r="L1084" s="12" t="n">
        <v>2.097372695766661</v>
      </c>
      <c r="M1084" s="12" t="n">
        <v>5.990448990995272</v>
      </c>
      <c r="N1084" s="12" t="n">
        <v>12.22995972471302</v>
      </c>
      <c r="O1084" s="12" t="n">
        <v>314.4017092851638</v>
      </c>
      <c r="P1084" s="5" t="inlineStr">
        <is>
          <t>Normal</t>
        </is>
      </c>
      <c r="Q1084" s="5" t="inlineStr">
        <is>
          <t>Turn Left</t>
        </is>
      </c>
      <c r="R1084" s="12" t="n">
        <v>0.46</v>
      </c>
      <c r="S1084" s="5" t="inlineStr">
        <is>
          <t>REJECTED</t>
        </is>
      </c>
      <c r="T1084" s="5" t="inlineStr">
        <is>
          <t>Normal operation</t>
        </is>
      </c>
    </row>
    <row r="1085" s="17">
      <c r="A1085" s="7" t="n">
        <v>8750</v>
      </c>
      <c r="B1085" s="8" t="n">
        <v>71495.979735</v>
      </c>
      <c r="C1085" s="9" t="n">
        <v>71.49597973500001</v>
      </c>
      <c r="D1085" s="9" t="n">
        <v>154.48718262</v>
      </c>
      <c r="E1085" s="9" t="n">
        <v>37.35297374</v>
      </c>
      <c r="F1085" s="10" t="n">
        <v>0.06185269558427867</v>
      </c>
      <c r="G1085" s="10" t="n">
        <v>0.3107183074134105</v>
      </c>
      <c r="H1085" s="10" t="n">
        <v>0.9368492969486406</v>
      </c>
      <c r="I1085" s="10" t="n">
        <v>0.429992</v>
      </c>
      <c r="J1085" s="5" t="inlineStr">
        <is>
          <t>Transition</t>
        </is>
      </c>
      <c r="K1085" s="11" t="n">
        <v>23.74215997409621</v>
      </c>
      <c r="L1085" s="12" t="n">
        <v>1.1</v>
      </c>
      <c r="M1085" s="12" t="n">
        <v>4.626773968239702</v>
      </c>
      <c r="N1085" s="12" t="n">
        <v>13.11905829686812</v>
      </c>
      <c r="O1085" s="12" t="n">
        <v>293.5858814603369</v>
      </c>
      <c r="P1085" s="5" t="inlineStr">
        <is>
          <t>Normal</t>
        </is>
      </c>
      <c r="Q1085" s="5" t="inlineStr">
        <is>
          <t>Drop</t>
        </is>
      </c>
      <c r="R1085" s="12" t="n">
        <v>0.61</v>
      </c>
      <c r="S1085" s="5" t="inlineStr">
        <is>
          <t>REDUCED</t>
        </is>
      </c>
      <c r="T1085" s="5" t="inlineStr">
        <is>
          <t>WOB outside preferred band</t>
        </is>
      </c>
    </row>
    <row r="1086" s="17">
      <c r="A1086" s="7" t="n">
        <v>8755</v>
      </c>
      <c r="B1086" s="8" t="n">
        <v>35009.336405</v>
      </c>
      <c r="C1086" s="9" t="n">
        <v>35.009336405</v>
      </c>
      <c r="D1086" s="9" t="n">
        <v>143.06421935</v>
      </c>
      <c r="E1086" s="9" t="n">
        <v>60.85709294</v>
      </c>
      <c r="F1086" s="10" t="n">
        <v>0.06753582969451508</v>
      </c>
      <c r="G1086" s="10" t="n">
        <v>0.07297539621284595</v>
      </c>
      <c r="H1086" s="10" t="n">
        <v>0.9815973175612541</v>
      </c>
      <c r="I1086" s="10" t="n">
        <v>0.157461</v>
      </c>
      <c r="J1086" s="5" t="inlineStr">
        <is>
          <t>Cleaner sand</t>
        </is>
      </c>
      <c r="K1086" s="11" t="n">
        <v>15.33666464070933</v>
      </c>
      <c r="L1086" s="12" t="n">
        <v>2.018074418342597</v>
      </c>
      <c r="M1086" s="12" t="n">
        <v>4.397023350568637</v>
      </c>
      <c r="N1086" s="12" t="n">
        <v>12.22156186729702</v>
      </c>
      <c r="O1086" s="12" t="n">
        <v>282.4944667395823</v>
      </c>
      <c r="P1086" s="5" t="inlineStr">
        <is>
          <t>Normal</t>
        </is>
      </c>
      <c r="Q1086" s="5" t="inlineStr">
        <is>
          <t>Hold</t>
        </is>
      </c>
      <c r="R1086" s="12" t="n">
        <v>0.88</v>
      </c>
      <c r="S1086" s="5" t="inlineStr">
        <is>
          <t>ACCEPTED</t>
        </is>
      </c>
      <c r="T1086" s="5" t="inlineStr">
        <is>
          <t>Normal operation</t>
        </is>
      </c>
    </row>
    <row r="1087" s="17">
      <c r="A1087" s="7" t="n">
        <v>8760</v>
      </c>
      <c r="B1087" s="8" t="n">
        <v>42826.211984</v>
      </c>
      <c r="C1087" s="9" t="n">
        <v>42.826211984</v>
      </c>
      <c r="D1087" s="9" t="n">
        <v>136.42864213</v>
      </c>
      <c r="E1087" s="9" t="n">
        <v>51.09154402</v>
      </c>
      <c r="F1087" s="10" t="n">
        <v>0.1270788035181602</v>
      </c>
      <c r="G1087" s="10" t="n">
        <v>0.2257357969826729</v>
      </c>
      <c r="H1087" s="10" t="n">
        <v>0.9490190268111001</v>
      </c>
      <c r="I1087" s="10" t="n">
        <v>0.683714</v>
      </c>
      <c r="J1087" s="5" t="inlineStr">
        <is>
          <t>Cleaner sand</t>
        </is>
      </c>
      <c r="K1087" s="11" t="n">
        <v>16.82246330957993</v>
      </c>
      <c r="L1087" s="12" t="n">
        <v>1.666993803239853</v>
      </c>
      <c r="M1087" s="12" t="n">
        <v>5.084440521253462</v>
      </c>
      <c r="N1087" s="12" t="n">
        <v>12.10993754056376</v>
      </c>
      <c r="O1087" s="12" t="n">
        <v>290.017347175487</v>
      </c>
      <c r="P1087" s="5" t="inlineStr">
        <is>
          <t>Normal</t>
        </is>
      </c>
      <c r="Q1087" s="5" t="inlineStr">
        <is>
          <t>Hold</t>
        </is>
      </c>
      <c r="R1087" s="12" t="n">
        <v>0.9399999999999999</v>
      </c>
      <c r="S1087" s="5" t="inlineStr">
        <is>
          <t>ACCEPTED</t>
        </is>
      </c>
      <c r="T1087" s="5" t="inlineStr">
        <is>
          <t>Normal operation</t>
        </is>
      </c>
    </row>
    <row r="1088" s="17">
      <c r="A1088" s="7" t="n">
        <v>8765</v>
      </c>
      <c r="B1088" s="8" t="n">
        <v>73550.0209</v>
      </c>
      <c r="C1088" s="9" t="n">
        <v>73.55002090000001</v>
      </c>
      <c r="D1088" s="9" t="n">
        <v>145.70782549</v>
      </c>
      <c r="E1088" s="9" t="n">
        <v>38.73271722</v>
      </c>
      <c r="F1088" s="10" t="n">
        <v>0.1132536487102773</v>
      </c>
      <c r="G1088" s="10" t="n">
        <v>0.3045405904702543</v>
      </c>
      <c r="H1088" s="10" t="n">
        <v>0.9333734651013111</v>
      </c>
      <c r="I1088" s="10" t="n">
        <v>0.7521640000000001</v>
      </c>
      <c r="J1088" s="5" t="inlineStr">
        <is>
          <t>Transition</t>
        </is>
      </c>
      <c r="K1088" s="11" t="n">
        <v>23.07347803739209</v>
      </c>
      <c r="L1088" s="12" t="n">
        <v>1.192569684495644</v>
      </c>
      <c r="M1088" s="12" t="n">
        <v>5.683029498189197</v>
      </c>
      <c r="N1088" s="12" t="n">
        <v>13.16912624817549</v>
      </c>
      <c r="O1088" s="12" t="n">
        <v>288.8288996111178</v>
      </c>
      <c r="P1088" s="5" t="inlineStr">
        <is>
          <t>Normal</t>
        </is>
      </c>
      <c r="Q1088" s="5" t="inlineStr">
        <is>
          <t>Drop</t>
        </is>
      </c>
      <c r="R1088" s="12" t="n">
        <v>0.62</v>
      </c>
      <c r="S1088" s="5" t="inlineStr">
        <is>
          <t>REDUCED</t>
        </is>
      </c>
      <c r="T1088" s="5" t="inlineStr">
        <is>
          <t>WOB outside preferred band</t>
        </is>
      </c>
    </row>
    <row r="1089" s="17">
      <c r="A1089" s="7" t="n">
        <v>8770</v>
      </c>
      <c r="B1089" s="8" t="n">
        <v>53096.554398</v>
      </c>
      <c r="C1089" s="9" t="n">
        <v>53.096554398</v>
      </c>
      <c r="D1089" s="9" t="n">
        <v>140.07938641</v>
      </c>
      <c r="E1089" s="9" t="n">
        <v>56.03152742</v>
      </c>
      <c r="F1089" s="10" t="n">
        <v>0.06086168391822435</v>
      </c>
      <c r="G1089" s="10" t="n">
        <v>0.1578278001883076</v>
      </c>
      <c r="H1089" s="10" t="n">
        <v>0.9587175606344381</v>
      </c>
      <c r="I1089" s="10" t="n">
        <v>0.262666</v>
      </c>
      <c r="J1089" s="5" t="inlineStr">
        <is>
          <t>Cleaner sand</t>
        </is>
      </c>
      <c r="K1089" s="11" t="n">
        <v>18.52014890721086</v>
      </c>
      <c r="L1089" s="12" t="n">
        <v>1.460552206665878</v>
      </c>
      <c r="M1089" s="12" t="n">
        <v>5.076630923075522</v>
      </c>
      <c r="N1089" s="12" t="n">
        <v>10.59930525766494</v>
      </c>
      <c r="O1089" s="12" t="n">
        <v>267.0574027986</v>
      </c>
      <c r="P1089" s="5" t="inlineStr">
        <is>
          <t>Normal</t>
        </is>
      </c>
      <c r="Q1089" s="5" t="inlineStr">
        <is>
          <t>Hold</t>
        </is>
      </c>
      <c r="R1089" s="12" t="n">
        <v>0.89</v>
      </c>
      <c r="S1089" s="5" t="inlineStr">
        <is>
          <t>ACCEPTED</t>
        </is>
      </c>
      <c r="T1089" s="5" t="inlineStr">
        <is>
          <t>Normal operation</t>
        </is>
      </c>
    </row>
    <row r="1090" s="17">
      <c r="A1090" s="7" t="n">
        <v>8775</v>
      </c>
      <c r="B1090" s="8" t="n">
        <v>69646.278163</v>
      </c>
      <c r="C1090" s="9" t="n">
        <v>69.64627816299999</v>
      </c>
      <c r="D1090" s="9" t="n">
        <v>139.40832525</v>
      </c>
      <c r="E1090" s="9" t="n">
        <v>54.04924138</v>
      </c>
      <c r="F1090" s="10" t="n">
        <v>0.1251372571286775</v>
      </c>
      <c r="G1090" s="10" t="n">
        <v>0.08961631634663456</v>
      </c>
      <c r="H1090" s="10" t="n">
        <v>0.9362097621131458</v>
      </c>
      <c r="I1090" s="10" t="n">
        <v>0.838373</v>
      </c>
      <c r="J1090" s="5" t="inlineStr">
        <is>
          <t>Cleaner sand</t>
        </is>
      </c>
      <c r="K1090" s="11" t="n">
        <v>21.06616972227826</v>
      </c>
      <c r="L1090" s="12" t="n">
        <v>1.996296043908783</v>
      </c>
      <c r="M1090" s="12" t="n">
        <v>3.675316785430766</v>
      </c>
      <c r="N1090" s="12" t="n">
        <v>14.2588574027884</v>
      </c>
      <c r="O1090" s="12" t="n">
        <v>284.1577743716389</v>
      </c>
      <c r="P1090" s="5" t="inlineStr">
        <is>
          <t>Normal</t>
        </is>
      </c>
      <c r="Q1090" s="5" t="inlineStr">
        <is>
          <t>Hold</t>
        </is>
      </c>
      <c r="R1090" s="12" t="n">
        <v>0.68</v>
      </c>
      <c r="S1090" s="5" t="inlineStr">
        <is>
          <t>REDUCED</t>
        </is>
      </c>
      <c r="T1090" s="5" t="inlineStr">
        <is>
          <t>Normal operation</t>
        </is>
      </c>
    </row>
    <row r="1091" s="17">
      <c r="A1091" s="7" t="n">
        <v>8780</v>
      </c>
      <c r="B1091" s="8" t="n">
        <v>64904.816889</v>
      </c>
      <c r="C1091" s="9" t="n">
        <v>64.904816889</v>
      </c>
      <c r="D1091" s="9" t="n">
        <v>118.94108964</v>
      </c>
      <c r="E1091" s="9" t="n">
        <v>30.2577458</v>
      </c>
      <c r="F1091" s="10" t="n">
        <v>0.07915291554057526</v>
      </c>
      <c r="G1091" s="10" t="n">
        <v>0.245318121798735</v>
      </c>
      <c r="H1091" s="10" t="n">
        <v>0.9185976019647276</v>
      </c>
      <c r="I1091" s="10" t="n">
        <v>0.663402</v>
      </c>
      <c r="J1091" s="5" t="inlineStr">
        <is>
          <t>Cleaner sand</t>
        </is>
      </c>
      <c r="K1091" s="11" t="n">
        <v>20.25680474752768</v>
      </c>
      <c r="L1091" s="12" t="n">
        <v>1.711888282026465</v>
      </c>
      <c r="M1091" s="12" t="n">
        <v>4.26605703682601</v>
      </c>
      <c r="N1091" s="12" t="n">
        <v>9.14123862894829</v>
      </c>
      <c r="O1091" s="12" t="n">
        <v>266.6421623680068</v>
      </c>
      <c r="P1091" s="5" t="inlineStr">
        <is>
          <t>Normal</t>
        </is>
      </c>
      <c r="Q1091" s="5" t="inlineStr">
        <is>
          <t>Build</t>
        </is>
      </c>
      <c r="R1091" s="12" t="n">
        <v>0.79</v>
      </c>
      <c r="S1091" s="5" t="inlineStr">
        <is>
          <t>ACCEPTED</t>
        </is>
      </c>
      <c r="T1091" s="5" t="inlineStr">
        <is>
          <t>Normal operation</t>
        </is>
      </c>
    </row>
    <row r="1092" s="17">
      <c r="A1092" s="7" t="n">
        <v>8785</v>
      </c>
      <c r="B1092" s="8" t="n">
        <v>42807.609751</v>
      </c>
      <c r="C1092" s="9" t="n">
        <v>42.807609751</v>
      </c>
      <c r="D1092" s="9" t="n">
        <v>132.69229746</v>
      </c>
      <c r="E1092" s="9" t="n">
        <v>68.13255934</v>
      </c>
      <c r="F1092" s="10" t="n">
        <v>0.0575958657536542</v>
      </c>
      <c r="G1092" s="10" t="n">
        <v>0.152661229614934</v>
      </c>
      <c r="H1092" s="10" t="n">
        <v>0.960032420487247</v>
      </c>
      <c r="I1092" s="10" t="n">
        <v>0.241482</v>
      </c>
      <c r="J1092" s="5" t="inlineStr">
        <is>
          <t>Cleaner sand</t>
        </is>
      </c>
      <c r="K1092" s="11" t="n">
        <v>16.31739905001712</v>
      </c>
      <c r="L1092" s="12" t="n">
        <v>1.946362360431517</v>
      </c>
      <c r="M1092" s="12" t="n">
        <v>4.820414076547889</v>
      </c>
      <c r="N1092" s="12" t="n">
        <v>10.5102292436026</v>
      </c>
      <c r="O1092" s="12" t="n">
        <v>290.4606885616956</v>
      </c>
      <c r="P1092" s="5" t="inlineStr">
        <is>
          <t>Normal</t>
        </is>
      </c>
      <c r="Q1092" s="5" t="inlineStr">
        <is>
          <t>Hold</t>
        </is>
      </c>
      <c r="R1092" s="12" t="n">
        <v>0.42</v>
      </c>
      <c r="S1092" s="5" t="inlineStr">
        <is>
          <t>REJECTED</t>
        </is>
      </c>
      <c r="T1092" s="5" t="inlineStr">
        <is>
          <t>Normal operation</t>
        </is>
      </c>
    </row>
    <row r="1093" s="17">
      <c r="A1093" s="7" t="n">
        <v>8790</v>
      </c>
      <c r="B1093" s="8" t="n">
        <v>37869.905277</v>
      </c>
      <c r="C1093" s="9" t="n">
        <v>37.869905277</v>
      </c>
      <c r="D1093" s="9" t="n">
        <v>127.84460934</v>
      </c>
      <c r="E1093" s="9" t="n">
        <v>32.82304856</v>
      </c>
      <c r="F1093" s="10" t="n">
        <v>0.09596405270372066</v>
      </c>
      <c r="G1093" s="10" t="n">
        <v>0.1215296727904466</v>
      </c>
      <c r="H1093" s="10" t="n">
        <v>0.9225272080629703</v>
      </c>
      <c r="I1093" s="10" t="n">
        <v>0.750583</v>
      </c>
      <c r="J1093" s="5" t="inlineStr">
        <is>
          <t>Cleaner sand</t>
        </is>
      </c>
      <c r="K1093" s="11" t="n">
        <v>15.44362743281929</v>
      </c>
      <c r="L1093" s="12" t="n">
        <v>2.628455886412588</v>
      </c>
      <c r="M1093" s="12" t="n">
        <v>4.790210723325629</v>
      </c>
      <c r="N1093" s="12" t="n">
        <v>11.54701940156093</v>
      </c>
      <c r="O1093" s="12" t="n">
        <v>274.8020050877864</v>
      </c>
      <c r="P1093" s="5" t="inlineStr">
        <is>
          <t>Normal</t>
        </is>
      </c>
      <c r="Q1093" s="5" t="inlineStr">
        <is>
          <t>Hold</t>
        </is>
      </c>
      <c r="R1093" s="12" t="n">
        <v>0.71</v>
      </c>
      <c r="S1093" s="5" t="inlineStr">
        <is>
          <t>ACCEPTED</t>
        </is>
      </c>
      <c r="T1093" s="5" t="inlineStr">
        <is>
          <t>High vibration detected</t>
        </is>
      </c>
    </row>
    <row r="1094" s="17">
      <c r="A1094" s="7" t="n">
        <v>8795</v>
      </c>
      <c r="B1094" s="8" t="n">
        <v>73613.259955</v>
      </c>
      <c r="C1094" s="9" t="n">
        <v>73.613259955</v>
      </c>
      <c r="D1094" s="9" t="n">
        <v>151.93705869</v>
      </c>
      <c r="E1094" s="9" t="n">
        <v>46.0178465</v>
      </c>
      <c r="F1094" s="10" t="n">
        <v>0.08748780106019607</v>
      </c>
      <c r="G1094" s="10" t="n">
        <v>0.3429008109547914</v>
      </c>
      <c r="H1094" s="10" t="n">
        <v>0.8960266720427583</v>
      </c>
      <c r="I1094" s="10" t="n">
        <v>0.906282</v>
      </c>
      <c r="J1094" s="5" t="inlineStr">
        <is>
          <t>Transition</t>
        </is>
      </c>
      <c r="K1094" s="11" t="n">
        <v>22.78245515687763</v>
      </c>
      <c r="L1094" s="12" t="n">
        <v>1.1</v>
      </c>
      <c r="M1094" s="12" t="n">
        <v>6.399804769104353</v>
      </c>
      <c r="N1094" s="12" t="n">
        <v>11.60389907380535</v>
      </c>
      <c r="O1094" s="12" t="n">
        <v>261.7619245094666</v>
      </c>
      <c r="P1094" s="5" t="inlineStr">
        <is>
          <t>Caution</t>
        </is>
      </c>
      <c r="Q1094" s="5" t="inlineStr">
        <is>
          <t>Drop</t>
        </is>
      </c>
      <c r="R1094" s="12" t="n">
        <v>0.44</v>
      </c>
      <c r="S1094" s="5" t="inlineStr">
        <is>
          <t>REJECTED</t>
        </is>
      </c>
      <c r="T1094" s="5" t="inlineStr">
        <is>
          <t>DLS exceeds normal range</t>
        </is>
      </c>
    </row>
    <row r="1095" s="17">
      <c r="A1095" s="7" t="n">
        <v>8800</v>
      </c>
      <c r="B1095" s="8" t="n">
        <v>39738.284121</v>
      </c>
      <c r="C1095" s="9" t="n">
        <v>39.738284121</v>
      </c>
      <c r="D1095" s="9" t="n">
        <v>149.02541603</v>
      </c>
      <c r="E1095" s="9" t="n">
        <v>41.23811734</v>
      </c>
      <c r="F1095" s="10" t="n">
        <v>0.03239976970301062</v>
      </c>
      <c r="G1095" s="10" t="n">
        <v>0.1117276511356271</v>
      </c>
      <c r="H1095" s="10" t="n">
        <v>0.9217526713335251</v>
      </c>
      <c r="I1095" s="10" t="n">
        <v>0.240305</v>
      </c>
      <c r="J1095" s="5" t="inlineStr">
        <is>
          <t>Cleaner sand</t>
        </is>
      </c>
      <c r="K1095" s="11" t="n">
        <v>15.87643083182548</v>
      </c>
      <c r="L1095" s="12" t="n">
        <v>2.452434161734625</v>
      </c>
      <c r="M1095" s="12" t="n">
        <v>3.68388740193692</v>
      </c>
      <c r="N1095" s="12" t="n">
        <v>10.49221893349901</v>
      </c>
      <c r="O1095" s="12" t="n">
        <v>254.5055237597826</v>
      </c>
      <c r="P1095" s="5" t="inlineStr">
        <is>
          <t>Normal</t>
        </is>
      </c>
      <c r="Q1095" s="5" t="inlineStr">
        <is>
          <t>Hold</t>
        </is>
      </c>
      <c r="R1095" s="12" t="n">
        <v>0.55</v>
      </c>
      <c r="S1095" s="5" t="inlineStr">
        <is>
          <t>REDUCED</t>
        </is>
      </c>
      <c r="T1095" s="5" t="inlineStr">
        <is>
          <t>Normal operation</t>
        </is>
      </c>
    </row>
    <row r="1096" s="17">
      <c r="A1096" s="7" t="n">
        <v>8805</v>
      </c>
      <c r="B1096" s="8" t="n">
        <v>45956.049674</v>
      </c>
      <c r="C1096" s="9" t="n">
        <v>45.956049674</v>
      </c>
      <c r="D1096" s="9" t="n">
        <v>141.36520221</v>
      </c>
      <c r="E1096" s="9" t="n">
        <v>31.6823154</v>
      </c>
      <c r="F1096" s="10" t="n">
        <v>0.1054766922575582</v>
      </c>
      <c r="G1096" s="10" t="n">
        <v>0.3213927376223092</v>
      </c>
      <c r="H1096" s="10" t="n">
        <v>0.8827487683635001</v>
      </c>
      <c r="I1096" s="10" t="n">
        <v>1.234369</v>
      </c>
      <c r="J1096" s="5" t="inlineStr">
        <is>
          <t>Transition</t>
        </is>
      </c>
      <c r="K1096" s="11" t="n">
        <v>17.70070657954085</v>
      </c>
      <c r="L1096" s="12" t="n">
        <v>1.711134409386374</v>
      </c>
      <c r="M1096" s="12" t="n">
        <v>5.16793671862894</v>
      </c>
      <c r="N1096" s="12" t="n">
        <v>10.32677616914297</v>
      </c>
      <c r="O1096" s="12" t="n">
        <v>257.1127883487875</v>
      </c>
      <c r="P1096" s="5" t="inlineStr">
        <is>
          <t>Normal</t>
        </is>
      </c>
      <c r="Q1096" s="5" t="inlineStr">
        <is>
          <t>Hold</t>
        </is>
      </c>
      <c r="R1096" s="12" t="n">
        <v>0.71</v>
      </c>
      <c r="S1096" s="5" t="inlineStr">
        <is>
          <t>ACCEPTED</t>
        </is>
      </c>
      <c r="T1096" s="5" t="inlineStr">
        <is>
          <t>Normal operation</t>
        </is>
      </c>
    </row>
    <row r="1097" s="17">
      <c r="A1097" s="7" t="n">
        <v>8810</v>
      </c>
      <c r="B1097" s="8" t="n">
        <v>70666.55659199999</v>
      </c>
      <c r="C1097" s="9" t="n">
        <v>70.66655659199999</v>
      </c>
      <c r="D1097" s="9" t="n">
        <v>108.07026357</v>
      </c>
      <c r="E1097" s="9" t="n">
        <v>46.0289698</v>
      </c>
      <c r="F1097" s="10" t="n">
        <v>0.1132195128153691</v>
      </c>
      <c r="G1097" s="10" t="n">
        <v>0.222006848012133</v>
      </c>
      <c r="H1097" s="10" t="n">
        <v>0.9019626997613516</v>
      </c>
      <c r="I1097" s="10" t="n">
        <v>1.158421</v>
      </c>
      <c r="J1097" s="5" t="inlineStr">
        <is>
          <t>Cleaner sand</t>
        </is>
      </c>
      <c r="K1097" s="11" t="n">
        <v>21.43214655656217</v>
      </c>
      <c r="L1097" s="12" t="n">
        <v>1.219595816321667</v>
      </c>
      <c r="M1097" s="12" t="n">
        <v>5.925426163991079</v>
      </c>
      <c r="N1097" s="12" t="n">
        <v>10.71364590677365</v>
      </c>
      <c r="O1097" s="12" t="n">
        <v>260.5158314681679</v>
      </c>
      <c r="P1097" s="5" t="inlineStr">
        <is>
          <t>Normal</t>
        </is>
      </c>
      <c r="Q1097" s="5" t="inlineStr">
        <is>
          <t>Hold</t>
        </is>
      </c>
      <c r="R1097" s="12" t="n">
        <v>0.84</v>
      </c>
      <c r="S1097" s="5" t="inlineStr">
        <is>
          <t>ACCEPTED</t>
        </is>
      </c>
      <c r="T1097" s="5" t="inlineStr">
        <is>
          <t>WOB outside preferred band</t>
        </is>
      </c>
    </row>
    <row r="1098" s="17">
      <c r="A1098" s="7" t="n">
        <v>8815</v>
      </c>
      <c r="B1098" s="8" t="n">
        <v>45211.744642</v>
      </c>
      <c r="C1098" s="9" t="n">
        <v>45.211744642</v>
      </c>
      <c r="D1098" s="9" t="n">
        <v>134.90242399</v>
      </c>
      <c r="E1098" s="9" t="n">
        <v>58.142633</v>
      </c>
      <c r="F1098" s="10" t="n">
        <v>0.06039969364421564</v>
      </c>
      <c r="G1098" s="10" t="n">
        <v>0.03902470904355159</v>
      </c>
      <c r="H1098" s="10" t="n">
        <v>0.9690675045503856</v>
      </c>
      <c r="I1098" s="10" t="n">
        <v>0.20177</v>
      </c>
      <c r="J1098" s="5" t="inlineStr">
        <is>
          <t>Cleaner sand</t>
        </is>
      </c>
      <c r="K1098" s="11" t="n">
        <v>16.90980790023212</v>
      </c>
      <c r="L1098" s="12" t="n">
        <v>1.1</v>
      </c>
      <c r="M1098" s="12" t="n">
        <v>6.52185055823395</v>
      </c>
      <c r="N1098" s="12" t="n">
        <v>9.658087187955548</v>
      </c>
      <c r="O1098" s="12" t="n">
        <v>250.3897841732364</v>
      </c>
      <c r="P1098" s="5" t="inlineStr">
        <is>
          <t>Caution</t>
        </is>
      </c>
      <c r="Q1098" s="5" t="inlineStr">
        <is>
          <t>Build</t>
        </is>
      </c>
      <c r="R1098" s="12" t="n">
        <v>0.71</v>
      </c>
      <c r="S1098" s="5" t="inlineStr">
        <is>
          <t>ACCEPTED</t>
        </is>
      </c>
      <c r="T1098" s="5" t="inlineStr">
        <is>
          <t>DLS exceeds normal range</t>
        </is>
      </c>
    </row>
    <row r="1099" s="17">
      <c r="A1099" s="7" t="n">
        <v>8820</v>
      </c>
      <c r="B1099" s="8" t="n">
        <v>51125.261865</v>
      </c>
      <c r="C1099" s="9" t="n">
        <v>51.125261865</v>
      </c>
      <c r="D1099" s="9" t="n">
        <v>112.25268237</v>
      </c>
      <c r="E1099" s="9" t="n">
        <v>52.82196132</v>
      </c>
      <c r="F1099" s="10" t="n">
        <v>0.1126942885487037</v>
      </c>
      <c r="G1099" s="10" t="n">
        <v>0.2304332644511141</v>
      </c>
      <c r="H1099" s="10" t="n">
        <v>0.9123217241037375</v>
      </c>
      <c r="I1099" s="10" t="n">
        <v>0.998687</v>
      </c>
      <c r="J1099" s="5" t="inlineStr">
        <is>
          <t>Cleaner sand</t>
        </is>
      </c>
      <c r="K1099" s="11" t="n">
        <v>15.9205957338501</v>
      </c>
      <c r="L1099" s="12" t="n">
        <v>1.567331008519254</v>
      </c>
      <c r="M1099" s="12" t="n">
        <v>4.351614597511635</v>
      </c>
      <c r="N1099" s="12" t="n">
        <v>11.54815985676866</v>
      </c>
      <c r="O1099" s="12" t="n">
        <v>244.7723371147799</v>
      </c>
      <c r="P1099" s="5" t="inlineStr">
        <is>
          <t>Normal</t>
        </is>
      </c>
      <c r="Q1099" s="5" t="inlineStr">
        <is>
          <t>Hold</t>
        </is>
      </c>
      <c r="R1099" s="12" t="n">
        <v>0.91</v>
      </c>
      <c r="S1099" s="5" t="inlineStr">
        <is>
          <t>ACCEPTED</t>
        </is>
      </c>
      <c r="T1099" s="5" t="inlineStr">
        <is>
          <t>Normal operation</t>
        </is>
      </c>
    </row>
    <row r="1100" s="17">
      <c r="A1100" s="7" t="n">
        <v>8825</v>
      </c>
      <c r="B1100" s="8" t="n">
        <v>70908.51770500001</v>
      </c>
      <c r="C1100" s="9" t="n">
        <v>70.90851770500001</v>
      </c>
      <c r="D1100" s="9" t="n">
        <v>167.11812018</v>
      </c>
      <c r="E1100" s="9" t="n">
        <v>49.86822128</v>
      </c>
      <c r="F1100" s="10" t="n">
        <v>0.05962010286553977</v>
      </c>
      <c r="G1100" s="10" t="n">
        <v>0.2377842462362265</v>
      </c>
      <c r="H1100" s="10" t="n">
        <v>0.8780485241458416</v>
      </c>
      <c r="I1100" s="10" t="n">
        <v>0.7506429999999999</v>
      </c>
      <c r="J1100" s="5" t="inlineStr">
        <is>
          <t>Cleaner sand</t>
        </is>
      </c>
      <c r="K1100" s="11" t="n">
        <v>22.47369269292727</v>
      </c>
      <c r="L1100" s="12" t="n">
        <v>2.111608554842985</v>
      </c>
      <c r="M1100" s="12" t="n">
        <v>5.038606526722375</v>
      </c>
      <c r="N1100" s="12" t="n">
        <v>10.60672478275714</v>
      </c>
      <c r="O1100" s="12" t="n">
        <v>243.8801564596716</v>
      </c>
      <c r="P1100" s="5" t="inlineStr">
        <is>
          <t>Normal</t>
        </is>
      </c>
      <c r="Q1100" s="5" t="inlineStr">
        <is>
          <t>Hold</t>
        </is>
      </c>
      <c r="R1100" s="12" t="n">
        <v>0.85</v>
      </c>
      <c r="S1100" s="5" t="inlineStr">
        <is>
          <t>ACCEPTED</t>
        </is>
      </c>
      <c r="T1100" s="5" t="inlineStr">
        <is>
          <t>WOB outside preferred band</t>
        </is>
      </c>
    </row>
    <row r="1101" s="17">
      <c r="A1101" s="7" t="n">
        <v>8830</v>
      </c>
      <c r="B1101" s="8" t="n">
        <v>32564.095368</v>
      </c>
      <c r="C1101" s="9" t="n">
        <v>32.564095368</v>
      </c>
      <c r="D1101" s="9" t="n">
        <v>131.10019031</v>
      </c>
      <c r="E1101" s="9" t="n">
        <v>59.03409846</v>
      </c>
      <c r="F1101" s="10" t="n">
        <v>0.04454825754513943</v>
      </c>
      <c r="G1101" s="10" t="n">
        <v>0.2305630298976108</v>
      </c>
      <c r="H1101" s="10" t="n">
        <v>0.9135142429063912</v>
      </c>
      <c r="I1101" s="10" t="n">
        <v>0.405098</v>
      </c>
      <c r="J1101" s="5" t="inlineStr">
        <is>
          <t>Cleaner sand</t>
        </is>
      </c>
      <c r="K1101" s="11" t="n">
        <v>14.85148495464225</v>
      </c>
      <c r="L1101" s="12" t="n">
        <v>1.597500931015008</v>
      </c>
      <c r="M1101" s="12" t="n">
        <v>5.071492305246498</v>
      </c>
      <c r="N1101" s="12" t="n">
        <v>10.42878930336614</v>
      </c>
      <c r="O1101" s="12" t="n">
        <v>233.6744940545299</v>
      </c>
      <c r="P1101" s="5" t="inlineStr">
        <is>
          <t>Normal</t>
        </is>
      </c>
      <c r="Q1101" s="5" t="inlineStr">
        <is>
          <t>Build</t>
        </is>
      </c>
      <c r="R1101" s="12" t="n">
        <v>0.49</v>
      </c>
      <c r="S1101" s="5" t="inlineStr">
        <is>
          <t>REJECTED</t>
        </is>
      </c>
      <c r="T1101" s="5" t="inlineStr">
        <is>
          <t>Normal operation</t>
        </is>
      </c>
    </row>
    <row r="1102" s="17">
      <c r="A1102" s="7" t="n">
        <v>8835</v>
      </c>
      <c r="B1102" s="8" t="n">
        <v>52001.504168</v>
      </c>
      <c r="C1102" s="9" t="n">
        <v>52.001504168</v>
      </c>
      <c r="D1102" s="9" t="n">
        <v>146.09227253</v>
      </c>
      <c r="E1102" s="9" t="n">
        <v>59.67129586</v>
      </c>
      <c r="F1102" s="10" t="n">
        <v>0.1093582907332</v>
      </c>
      <c r="G1102" s="10" t="n">
        <v>0.1705790903939008</v>
      </c>
      <c r="H1102" s="10" t="n">
        <v>0.879856205758182</v>
      </c>
      <c r="I1102" s="10" t="n">
        <v>1.330077</v>
      </c>
      <c r="J1102" s="5" t="inlineStr">
        <is>
          <t>Cleaner sand</t>
        </is>
      </c>
      <c r="K1102" s="11" t="n">
        <v>19.07796643818465</v>
      </c>
      <c r="L1102" s="12" t="n">
        <v>2.4004659158212</v>
      </c>
      <c r="M1102" s="12" t="n">
        <v>4.742183065525171</v>
      </c>
      <c r="N1102" s="12" t="n">
        <v>7.816660619480048</v>
      </c>
      <c r="O1102" s="12" t="n">
        <v>232.7723388520105</v>
      </c>
      <c r="P1102" s="5" t="inlineStr">
        <is>
          <t>Normal</t>
        </is>
      </c>
      <c r="Q1102" s="5" t="inlineStr">
        <is>
          <t>Hold</t>
        </is>
      </c>
      <c r="R1102" s="12" t="n">
        <v>0.61</v>
      </c>
      <c r="S1102" s="5" t="inlineStr">
        <is>
          <t>REDUCED</t>
        </is>
      </c>
      <c r="T1102" s="5" t="inlineStr">
        <is>
          <t>Normal operation</t>
        </is>
      </c>
    </row>
    <row r="1103" s="17">
      <c r="A1103" s="7" t="n">
        <v>8840</v>
      </c>
      <c r="B1103" s="8" t="n">
        <v>70955.947107</v>
      </c>
      <c r="C1103" s="9" t="n">
        <v>70.955947107</v>
      </c>
      <c r="D1103" s="9" t="n">
        <v>121.29381291</v>
      </c>
      <c r="E1103" s="9" t="n">
        <v>53.32757004</v>
      </c>
      <c r="F1103" s="10" t="n">
        <v>0.07535331813510295</v>
      </c>
      <c r="G1103" s="10" t="n">
        <v>0.3088630504692393</v>
      </c>
      <c r="H1103" s="10" t="n">
        <v>0.9056058252264808</v>
      </c>
      <c r="I1103" s="10" t="n">
        <v>0.713788</v>
      </c>
      <c r="J1103" s="5" t="inlineStr">
        <is>
          <t>Transition</t>
        </is>
      </c>
      <c r="K1103" s="11" t="n">
        <v>18.66983293281071</v>
      </c>
      <c r="L1103" s="12" t="n">
        <v>1.1</v>
      </c>
      <c r="M1103" s="12" t="n">
        <v>4.476729772477761</v>
      </c>
      <c r="N1103" s="12" t="n">
        <v>8.748006120936957</v>
      </c>
      <c r="O1103" s="12" t="n">
        <v>211.9228363290864</v>
      </c>
      <c r="P1103" s="5" t="inlineStr">
        <is>
          <t>Normal</t>
        </is>
      </c>
      <c r="Q1103" s="5" t="inlineStr">
        <is>
          <t>Turn Right</t>
        </is>
      </c>
      <c r="R1103" s="12" t="n">
        <v>0.77</v>
      </c>
      <c r="S1103" s="5" t="inlineStr">
        <is>
          <t>ACCEPTED</t>
        </is>
      </c>
      <c r="T1103" s="5" t="inlineStr">
        <is>
          <t>WOB outside preferred band</t>
        </is>
      </c>
    </row>
    <row r="1104" s="17">
      <c r="A1104" s="7" t="n">
        <v>8845</v>
      </c>
      <c r="B1104" s="8" t="n">
        <v>43313.673868</v>
      </c>
      <c r="C1104" s="9" t="n">
        <v>43.313673868</v>
      </c>
      <c r="D1104" s="9" t="n">
        <v>121.14116924</v>
      </c>
      <c r="E1104" s="9" t="n">
        <v>67.16176052</v>
      </c>
      <c r="F1104" s="10" t="n">
        <v>0.06831815378212859</v>
      </c>
      <c r="G1104" s="10" t="n">
        <v>0.1862172218683381</v>
      </c>
      <c r="H1104" s="10" t="n">
        <v>0.8917587512403065</v>
      </c>
      <c r="I1104" s="10" t="n">
        <v>0.743065</v>
      </c>
      <c r="J1104" s="5" t="inlineStr">
        <is>
          <t>Cleaner sand</t>
        </is>
      </c>
      <c r="K1104" s="11" t="n">
        <v>18.57045114993575</v>
      </c>
      <c r="L1104" s="12" t="n">
        <v>1.654076415555433</v>
      </c>
      <c r="M1104" s="12" t="n">
        <v>4.874491084192157</v>
      </c>
      <c r="N1104" s="12" t="n">
        <v>8.239152052130205</v>
      </c>
      <c r="O1104" s="12" t="n">
        <v>239.1895451856185</v>
      </c>
      <c r="P1104" s="5" t="inlineStr">
        <is>
          <t>Normal</t>
        </is>
      </c>
      <c r="Q1104" s="5" t="inlineStr">
        <is>
          <t>Turn Right</t>
        </is>
      </c>
      <c r="R1104" s="12" t="n">
        <v>0.92</v>
      </c>
      <c r="S1104" s="5" t="inlineStr">
        <is>
          <t>ACCEPTED</t>
        </is>
      </c>
      <c r="T1104" s="5" t="inlineStr">
        <is>
          <t>Normal operation</t>
        </is>
      </c>
    </row>
    <row r="1105" s="17">
      <c r="A1105" s="7" t="n">
        <v>8850</v>
      </c>
      <c r="B1105" s="8" t="n">
        <v>53762.844198</v>
      </c>
      <c r="C1105" s="9" t="n">
        <v>53.762844198</v>
      </c>
      <c r="D1105" s="9" t="n">
        <v>132.87584005</v>
      </c>
      <c r="E1105" s="9" t="n">
        <v>54.79060994</v>
      </c>
      <c r="F1105" s="10" t="n">
        <v>0.03445425271249208</v>
      </c>
      <c r="G1105" s="10" t="n">
        <v>0.1485968250207517</v>
      </c>
      <c r="H1105" s="10" t="n">
        <v>0.9715525970188778</v>
      </c>
      <c r="I1105" s="10" t="n">
        <v>0.115746</v>
      </c>
      <c r="J1105" s="5" t="inlineStr">
        <is>
          <t>Cleaner sand</t>
        </is>
      </c>
      <c r="K1105" s="11" t="n">
        <v>18.26431522404453</v>
      </c>
      <c r="L1105" s="12" t="n">
        <v>1.1</v>
      </c>
      <c r="M1105" s="12" t="n">
        <v>2.469717329893985</v>
      </c>
      <c r="N1105" s="12" t="n">
        <v>7.101022709873594</v>
      </c>
      <c r="O1105" s="12" t="n">
        <v>229.2167730637689</v>
      </c>
      <c r="P1105" s="5" t="inlineStr">
        <is>
          <t>Normal</t>
        </is>
      </c>
      <c r="Q1105" s="5" t="inlineStr">
        <is>
          <t>Build</t>
        </is>
      </c>
      <c r="R1105" s="12" t="n">
        <v>0.9399999999999999</v>
      </c>
      <c r="S1105" s="5" t="inlineStr">
        <is>
          <t>ACCEPTED</t>
        </is>
      </c>
      <c r="T1105" s="5" t="inlineStr">
        <is>
          <t>Normal operation</t>
        </is>
      </c>
    </row>
    <row r="1106" s="17">
      <c r="A1106" s="7" t="n">
        <v>8855</v>
      </c>
      <c r="B1106" s="8" t="n">
        <v>58360.569901</v>
      </c>
      <c r="C1106" s="9" t="n">
        <v>58.36056990100001</v>
      </c>
      <c r="D1106" s="9" t="n">
        <v>149.05916306</v>
      </c>
      <c r="E1106" s="9" t="n">
        <v>43.07753232</v>
      </c>
      <c r="F1106" s="10" t="n">
        <v>0.04507822235682309</v>
      </c>
      <c r="G1106" s="10" t="n">
        <v>0.376423408370719</v>
      </c>
      <c r="H1106" s="10" t="n">
        <v>0.8757668114387231</v>
      </c>
      <c r="I1106" s="10" t="n">
        <v>0.609698</v>
      </c>
      <c r="J1106" s="5" t="inlineStr">
        <is>
          <t>Transition</t>
        </is>
      </c>
      <c r="K1106" s="11" t="n">
        <v>20.35770886035912</v>
      </c>
      <c r="L1106" s="12" t="n">
        <v>1.838179622486234</v>
      </c>
      <c r="M1106" s="12" t="n">
        <v>5.010873809111523</v>
      </c>
      <c r="N1106" s="12" t="n">
        <v>8.655064650202176</v>
      </c>
      <c r="O1106" s="12" t="n">
        <v>215.3852600026526</v>
      </c>
      <c r="P1106" s="5" t="inlineStr">
        <is>
          <t>Normal</t>
        </is>
      </c>
      <c r="Q1106" s="5" t="inlineStr">
        <is>
          <t>Turn Right</t>
        </is>
      </c>
      <c r="R1106" s="12" t="n">
        <v>0.82</v>
      </c>
      <c r="S1106" s="5" t="inlineStr">
        <is>
          <t>ACCEPTED</t>
        </is>
      </c>
      <c r="T1106" s="5" t="inlineStr">
        <is>
          <t>Normal operation</t>
        </is>
      </c>
    </row>
    <row r="1107" s="17">
      <c r="A1107" s="7" t="n">
        <v>8860</v>
      </c>
      <c r="B1107" s="8" t="n">
        <v>54288.681008</v>
      </c>
      <c r="C1107" s="9" t="n">
        <v>54.288681008</v>
      </c>
      <c r="D1107" s="9" t="n">
        <v>143.95041185</v>
      </c>
      <c r="E1107" s="9" t="n">
        <v>52.96766466</v>
      </c>
      <c r="F1107" s="10" t="n">
        <v>0.07379212357423953</v>
      </c>
      <c r="G1107" s="10" t="n">
        <v>0.1391085350757409</v>
      </c>
      <c r="H1107" s="10" t="n">
        <v>0.9448858523595099</v>
      </c>
      <c r="I1107" s="10" t="n">
        <v>0.419717</v>
      </c>
      <c r="J1107" s="5" t="inlineStr">
        <is>
          <t>Cleaner sand</t>
        </is>
      </c>
      <c r="K1107" s="11" t="n">
        <v>17.46071168666314</v>
      </c>
      <c r="L1107" s="12" t="n">
        <v>2.094574821147677</v>
      </c>
      <c r="M1107" s="12" t="n">
        <v>4.535767166263667</v>
      </c>
      <c r="N1107" s="12" t="n">
        <v>7.266458438761667</v>
      </c>
      <c r="O1107" s="12" t="n">
        <v>239.1218846046552</v>
      </c>
      <c r="P1107" s="5" t="inlineStr">
        <is>
          <t>Normal</t>
        </is>
      </c>
      <c r="Q1107" s="5" t="inlineStr">
        <is>
          <t>Build</t>
        </is>
      </c>
      <c r="R1107" s="12" t="n">
        <v>0.72</v>
      </c>
      <c r="S1107" s="5" t="inlineStr">
        <is>
          <t>ACCEPTED</t>
        </is>
      </c>
      <c r="T1107" s="5" t="inlineStr">
        <is>
          <t>Normal operation</t>
        </is>
      </c>
    </row>
    <row r="1108" s="17">
      <c r="A1108" s="7" t="n">
        <v>8865</v>
      </c>
      <c r="B1108" s="8" t="n">
        <v>54339.892166</v>
      </c>
      <c r="C1108" s="9" t="n">
        <v>54.339892166</v>
      </c>
      <c r="D1108" s="9" t="n">
        <v>118.6394222</v>
      </c>
      <c r="E1108" s="9" t="n">
        <v>50.7939857</v>
      </c>
      <c r="F1108" s="10" t="n">
        <v>0.09969811067485776</v>
      </c>
      <c r="G1108" s="10" t="n">
        <v>0.09209143648408849</v>
      </c>
      <c r="H1108" s="10" t="n">
        <v>0.9300901563516883</v>
      </c>
      <c r="I1108" s="10" t="n">
        <v>0.731332</v>
      </c>
      <c r="J1108" s="5" t="inlineStr">
        <is>
          <t>Cleaner sand</t>
        </is>
      </c>
      <c r="K1108" s="11" t="n">
        <v>19.12281035834699</v>
      </c>
      <c r="L1108" s="12" t="n">
        <v>1.453826721096284</v>
      </c>
      <c r="M1108" s="12" t="n">
        <v>4.226356179705731</v>
      </c>
      <c r="N1108" s="12" t="n">
        <v>8.595969615483517</v>
      </c>
      <c r="O1108" s="12" t="n">
        <v>218.1519261476151</v>
      </c>
      <c r="P1108" s="5" t="inlineStr">
        <is>
          <t>Normal</t>
        </is>
      </c>
      <c r="Q1108" s="5" t="inlineStr">
        <is>
          <t>Turn Right</t>
        </is>
      </c>
      <c r="R1108" s="12" t="n">
        <v>0.82</v>
      </c>
      <c r="S1108" s="5" t="inlineStr">
        <is>
          <t>ACCEPTED</t>
        </is>
      </c>
      <c r="T1108" s="5" t="inlineStr">
        <is>
          <t>Normal operation</t>
        </is>
      </c>
    </row>
    <row r="1109" s="17">
      <c r="A1109" s="7" t="n">
        <v>8870</v>
      </c>
      <c r="B1109" s="8" t="n">
        <v>56389.075325</v>
      </c>
      <c r="C1109" s="9" t="n">
        <v>56.389075325</v>
      </c>
      <c r="D1109" s="9" t="n">
        <v>146.55357073</v>
      </c>
      <c r="E1109" s="9" t="n">
        <v>36.4550721</v>
      </c>
      <c r="F1109" s="10" t="n">
        <v>0.04658427452292435</v>
      </c>
      <c r="G1109" s="10" t="n">
        <v>0.3693962801440913</v>
      </c>
      <c r="H1109" s="10" t="n">
        <v>0.9118610967597269</v>
      </c>
      <c r="I1109" s="10" t="n">
        <v>0.396769</v>
      </c>
      <c r="J1109" s="5" t="inlineStr">
        <is>
          <t>Transition</t>
        </is>
      </c>
      <c r="K1109" s="11" t="n">
        <v>17.83350999056854</v>
      </c>
      <c r="L1109" s="12" t="n">
        <v>1.1</v>
      </c>
      <c r="M1109" s="12" t="n">
        <v>6.011243761599786</v>
      </c>
      <c r="N1109" s="12" t="n">
        <v>6.131242317718327</v>
      </c>
      <c r="O1109" s="12" t="n">
        <v>204.2084880507443</v>
      </c>
      <c r="P1109" s="5" t="inlineStr">
        <is>
          <t>Caution</t>
        </is>
      </c>
      <c r="Q1109" s="5" t="inlineStr">
        <is>
          <t>Build</t>
        </is>
      </c>
      <c r="R1109" s="12" t="n">
        <v>0.55</v>
      </c>
      <c r="S1109" s="5" t="inlineStr">
        <is>
          <t>REDUCED</t>
        </is>
      </c>
      <c r="T1109" s="5" t="inlineStr">
        <is>
          <t>DLS exceeds normal range</t>
        </is>
      </c>
    </row>
    <row r="1110" s="17">
      <c r="A1110" s="7" t="n">
        <v>8875</v>
      </c>
      <c r="B1110" s="8" t="n">
        <v>52224.052062</v>
      </c>
      <c r="C1110" s="9" t="n">
        <v>52.22405206200001</v>
      </c>
      <c r="D1110" s="9" t="n">
        <v>146.83327289</v>
      </c>
      <c r="E1110" s="9" t="n">
        <v>70.15054981999999</v>
      </c>
      <c r="F1110" s="10" t="n">
        <v>0.06678707370890874</v>
      </c>
      <c r="G1110" s="10" t="n">
        <v>0.2309866502142122</v>
      </c>
      <c r="H1110" s="10" t="n">
        <v>0.9446368046666385</v>
      </c>
      <c r="I1110" s="10" t="n">
        <v>0.358051</v>
      </c>
      <c r="J1110" s="5" t="inlineStr">
        <is>
          <t>Cleaner sand</t>
        </is>
      </c>
      <c r="K1110" s="11" t="n">
        <v>17.49711873836101</v>
      </c>
      <c r="L1110" s="12" t="n">
        <v>1.757484591930282</v>
      </c>
      <c r="M1110" s="12" t="n">
        <v>3.803133384773694</v>
      </c>
      <c r="N1110" s="12" t="n">
        <v>9.535790858978105</v>
      </c>
      <c r="O1110" s="12" t="n">
        <v>220.5744057016979</v>
      </c>
      <c r="P1110" s="5" t="inlineStr">
        <is>
          <t>Normal</t>
        </is>
      </c>
      <c r="Q1110" s="5" t="inlineStr">
        <is>
          <t>Turn Right</t>
        </is>
      </c>
      <c r="R1110" s="12" t="n">
        <v>0.5600000000000001</v>
      </c>
      <c r="S1110" s="5" t="inlineStr">
        <is>
          <t>REDUCED</t>
        </is>
      </c>
      <c r="T1110" s="5" t="inlineStr">
        <is>
          <t>Normal operation</t>
        </is>
      </c>
    </row>
    <row r="1111" s="17">
      <c r="A1111" s="7" t="n">
        <v>8880</v>
      </c>
      <c r="B1111" s="8" t="n">
        <v>42398.792424</v>
      </c>
      <c r="C1111" s="9" t="n">
        <v>42.398792424</v>
      </c>
      <c r="D1111" s="9" t="n">
        <v>135.99613238</v>
      </c>
      <c r="E1111" s="9" t="n">
        <v>52.31614678</v>
      </c>
      <c r="F1111" s="10" t="n">
        <v>0.1294862579685393</v>
      </c>
      <c r="G1111" s="10" t="n">
        <v>0.2179989822220803</v>
      </c>
      <c r="H1111" s="10" t="n">
        <v>0.8791722652721088</v>
      </c>
      <c r="I1111" s="10" t="n">
        <v>1.601433</v>
      </c>
      <c r="J1111" s="5" t="inlineStr">
        <is>
          <t>Cleaner sand</t>
        </is>
      </c>
      <c r="K1111" s="11" t="n">
        <v>18.22784131540356</v>
      </c>
      <c r="L1111" s="12" t="n">
        <v>1.87400189034942</v>
      </c>
      <c r="M1111" s="12" t="n">
        <v>3.989857129076524</v>
      </c>
      <c r="N1111" s="12" t="n">
        <v>5.914352318916836</v>
      </c>
      <c r="O1111" s="12" t="n">
        <v>213.581136163661</v>
      </c>
      <c r="P1111" s="5" t="inlineStr">
        <is>
          <t>Normal</t>
        </is>
      </c>
      <c r="Q1111" s="5" t="inlineStr">
        <is>
          <t>Build</t>
        </is>
      </c>
      <c r="R1111" s="12" t="n">
        <v>0.76</v>
      </c>
      <c r="S1111" s="5" t="inlineStr">
        <is>
          <t>ACCEPTED</t>
        </is>
      </c>
      <c r="T1111" s="5" t="inlineStr">
        <is>
          <t>Normal operation</t>
        </is>
      </c>
    </row>
    <row r="1112" s="17">
      <c r="A1112" s="7" t="n">
        <v>8885</v>
      </c>
      <c r="B1112" s="8" t="n">
        <v>72622.049357</v>
      </c>
      <c r="C1112" s="9" t="n">
        <v>72.62204935699999</v>
      </c>
      <c r="D1112" s="9" t="n">
        <v>103.13433185</v>
      </c>
      <c r="E1112" s="9" t="n">
        <v>52.89121606</v>
      </c>
      <c r="F1112" s="10" t="n">
        <v>0.08760744814752523</v>
      </c>
      <c r="G1112" s="10" t="n">
        <v>0.3041387179269875</v>
      </c>
      <c r="H1112" s="10" t="n">
        <v>0.9039149729988447</v>
      </c>
      <c r="I1112" s="10" t="n">
        <v>0.833735</v>
      </c>
      <c r="J1112" s="5" t="inlineStr">
        <is>
          <t>Transition</t>
        </is>
      </c>
      <c r="K1112" s="11" t="n">
        <v>21.68183814667404</v>
      </c>
      <c r="L1112" s="12" t="n">
        <v>1.858104429931232</v>
      </c>
      <c r="M1112" s="12" t="n">
        <v>5.874710653143407</v>
      </c>
      <c r="N1112" s="12" t="n">
        <v>7.143224526249834</v>
      </c>
      <c r="O1112" s="12" t="n">
        <v>211.3036983988161</v>
      </c>
      <c r="P1112" s="5" t="inlineStr">
        <is>
          <t>Normal</t>
        </is>
      </c>
      <c r="Q1112" s="5" t="inlineStr">
        <is>
          <t>Build</t>
        </is>
      </c>
      <c r="R1112" s="12" t="n">
        <v>0.88</v>
      </c>
      <c r="S1112" s="5" t="inlineStr">
        <is>
          <t>ACCEPTED</t>
        </is>
      </c>
      <c r="T1112" s="5" t="inlineStr">
        <is>
          <t>WOB outside preferred band</t>
        </is>
      </c>
    </row>
    <row r="1113" s="17">
      <c r="A1113" s="7" t="n">
        <v>8890</v>
      </c>
      <c r="B1113" s="8" t="n">
        <v>56905.679982</v>
      </c>
      <c r="C1113" s="9" t="n">
        <v>56.905679982</v>
      </c>
      <c r="D1113" s="9" t="n">
        <v>128.89404567</v>
      </c>
      <c r="E1113" s="9" t="n">
        <v>67.73005578</v>
      </c>
      <c r="F1113" s="10" t="n">
        <v>0.04446526767740894</v>
      </c>
      <c r="G1113" s="10" t="n">
        <v>0.253263846791865</v>
      </c>
      <c r="H1113" s="10" t="n">
        <v>0.9227501570910364</v>
      </c>
      <c r="I1113" s="10" t="n">
        <v>0.344626</v>
      </c>
      <c r="J1113" s="5" t="inlineStr">
        <is>
          <t>Transition</t>
        </is>
      </c>
      <c r="K1113" s="11" t="n">
        <v>19.19937319591116</v>
      </c>
      <c r="L1113" s="12" t="n">
        <v>2.265533273992856</v>
      </c>
      <c r="M1113" s="12" t="n">
        <v>3.584883879665847</v>
      </c>
      <c r="N1113" s="12" t="n">
        <v>7.666095304196534</v>
      </c>
      <c r="O1113" s="12" t="n">
        <v>201.0278330575785</v>
      </c>
      <c r="P1113" s="5" t="inlineStr">
        <is>
          <t>Normal</t>
        </is>
      </c>
      <c r="Q1113" s="5" t="inlineStr">
        <is>
          <t>Build</t>
        </is>
      </c>
      <c r="R1113" s="12" t="n">
        <v>0.93</v>
      </c>
      <c r="S1113" s="5" t="inlineStr">
        <is>
          <t>ACCEPTED</t>
        </is>
      </c>
      <c r="T1113" s="5" t="inlineStr">
        <is>
          <t>Normal operation</t>
        </is>
      </c>
    </row>
    <row r="1114" s="17">
      <c r="A1114" s="7" t="n">
        <v>8895</v>
      </c>
      <c r="B1114" s="8" t="n">
        <v>46883.008569</v>
      </c>
      <c r="C1114" s="9" t="n">
        <v>46.883008569</v>
      </c>
      <c r="D1114" s="9" t="n">
        <v>136.46717699</v>
      </c>
      <c r="E1114" s="9" t="n">
        <v>43.12270612</v>
      </c>
      <c r="F1114" s="10" t="n">
        <v>0.08917966443143453</v>
      </c>
      <c r="G1114" s="10" t="n">
        <v>0.2099223022651991</v>
      </c>
      <c r="H1114" s="10" t="n">
        <v>0.9605732174702851</v>
      </c>
      <c r="I1114" s="10" t="n">
        <v>0.364625</v>
      </c>
      <c r="J1114" s="5" t="inlineStr">
        <is>
          <t>Cleaner sand</t>
        </is>
      </c>
      <c r="K1114" s="11" t="n">
        <v>18.00862202106923</v>
      </c>
      <c r="L1114" s="12" t="n">
        <v>1.135183696971966</v>
      </c>
      <c r="M1114" s="12" t="n">
        <v>3.77942248672585</v>
      </c>
      <c r="N1114" s="12" t="n">
        <v>5.67339235423465</v>
      </c>
      <c r="O1114" s="12" t="n">
        <v>207.8942040757871</v>
      </c>
      <c r="P1114" s="5" t="inlineStr">
        <is>
          <t>Normal</t>
        </is>
      </c>
      <c r="Q1114" s="5" t="inlineStr">
        <is>
          <t>Build</t>
        </is>
      </c>
      <c r="R1114" s="12" t="n">
        <v>0.59</v>
      </c>
      <c r="S1114" s="5" t="inlineStr">
        <is>
          <t>REDUCED</t>
        </is>
      </c>
      <c r="T1114" s="5" t="inlineStr">
        <is>
          <t>Normal operation</t>
        </is>
      </c>
    </row>
    <row r="1115" s="17">
      <c r="A1115" s="7" t="n">
        <v>8900</v>
      </c>
      <c r="B1115" s="8" t="n">
        <v>61391.264035</v>
      </c>
      <c r="C1115" s="9" t="n">
        <v>61.391264035</v>
      </c>
      <c r="D1115" s="9" t="n">
        <v>159.9467841</v>
      </c>
      <c r="E1115" s="9" t="n">
        <v>47.49704204</v>
      </c>
      <c r="F1115" s="10" t="n">
        <v>0.0489620383459404</v>
      </c>
      <c r="G1115" s="10" t="n">
        <v>0.335699484887017</v>
      </c>
      <c r="H1115" s="10" t="n">
        <v>0.9434813775733006</v>
      </c>
      <c r="I1115" s="10" t="n">
        <v>0.313477</v>
      </c>
      <c r="J1115" s="5" t="inlineStr">
        <is>
          <t>Transition</t>
        </is>
      </c>
      <c r="K1115" s="11" t="n">
        <v>20.30261812741258</v>
      </c>
      <c r="L1115" s="12" t="n">
        <v>1.99330589167072</v>
      </c>
      <c r="M1115" s="12" t="n">
        <v>4.070795102996334</v>
      </c>
      <c r="N1115" s="12" t="n">
        <v>7.301980862760411</v>
      </c>
      <c r="O1115" s="12" t="n">
        <v>199.0574891019228</v>
      </c>
      <c r="P1115" s="5" t="inlineStr">
        <is>
          <t>Normal</t>
        </is>
      </c>
      <c r="Q1115" s="5" t="inlineStr">
        <is>
          <t>Turn Right</t>
        </is>
      </c>
      <c r="R1115" s="12" t="n">
        <v>0.84</v>
      </c>
      <c r="S1115" s="5" t="inlineStr">
        <is>
          <t>ACCEPTED</t>
        </is>
      </c>
      <c r="T1115" s="5" t="inlineStr">
        <is>
          <t>Normal operation</t>
        </is>
      </c>
    </row>
    <row r="1116" s="17">
      <c r="A1116" s="7" t="n">
        <v>8905</v>
      </c>
      <c r="B1116" s="8" t="n">
        <v>47910.517328</v>
      </c>
      <c r="C1116" s="9" t="n">
        <v>47.910517328</v>
      </c>
      <c r="D1116" s="9" t="n">
        <v>141.9329323</v>
      </c>
      <c r="E1116" s="9" t="n">
        <v>70.0544409</v>
      </c>
      <c r="F1116" s="10" t="n">
        <v>0.05714105045113213</v>
      </c>
      <c r="G1116" s="10" t="n">
        <v>0.09703409953760583</v>
      </c>
      <c r="H1116" s="10" t="n">
        <v>0.9360490244822851</v>
      </c>
      <c r="I1116" s="10" t="n">
        <v>0.37596</v>
      </c>
      <c r="J1116" s="5" t="inlineStr">
        <is>
          <t>Cleaner sand</t>
        </is>
      </c>
      <c r="K1116" s="11" t="n">
        <v>17.47795427815259</v>
      </c>
      <c r="L1116" s="12" t="n">
        <v>2.244328681114208</v>
      </c>
      <c r="M1116" s="12" t="n">
        <v>4.829824762408593</v>
      </c>
      <c r="N1116" s="12" t="n">
        <v>4.419362360921737</v>
      </c>
      <c r="O1116" s="12" t="n">
        <v>205.7073419363292</v>
      </c>
      <c r="P1116" s="5" t="inlineStr">
        <is>
          <t>Normal</t>
        </is>
      </c>
      <c r="Q1116" s="5" t="inlineStr">
        <is>
          <t>Build</t>
        </is>
      </c>
      <c r="R1116" s="12" t="n">
        <v>0.87</v>
      </c>
      <c r="S1116" s="5" t="inlineStr">
        <is>
          <t>ACCEPTED</t>
        </is>
      </c>
      <c r="T1116" s="5" t="inlineStr">
        <is>
          <t>Normal operation</t>
        </is>
      </c>
    </row>
    <row r="1117" s="17">
      <c r="A1117" s="7" t="n">
        <v>8910</v>
      </c>
      <c r="B1117" s="8" t="n">
        <v>55515.990468</v>
      </c>
      <c r="C1117" s="9" t="n">
        <v>55.51599046800001</v>
      </c>
      <c r="D1117" s="9" t="n">
        <v>132.24525347</v>
      </c>
      <c r="E1117" s="9" t="n">
        <v>41.72797304</v>
      </c>
      <c r="F1117" s="10" t="n">
        <v>0.1367640345137435</v>
      </c>
      <c r="G1117" s="10" t="n">
        <v>0.3309663061779246</v>
      </c>
      <c r="H1117" s="10" t="n">
        <v>0.9296049083056371</v>
      </c>
      <c r="I1117" s="10" t="n">
        <v>0.953187</v>
      </c>
      <c r="J1117" s="5" t="inlineStr">
        <is>
          <t>Transition</t>
        </is>
      </c>
      <c r="K1117" s="11" t="n">
        <v>19.09130736887086</v>
      </c>
      <c r="L1117" s="12" t="n">
        <v>1.1</v>
      </c>
      <c r="M1117" s="12" t="n">
        <v>4.292223996261687</v>
      </c>
      <c r="N1117" s="12" t="n">
        <v>8.043462351497888</v>
      </c>
      <c r="O1117" s="12" t="n">
        <v>180</v>
      </c>
      <c r="P1117" s="5" t="inlineStr">
        <is>
          <t>Normal</t>
        </is>
      </c>
      <c r="Q1117" s="5" t="inlineStr">
        <is>
          <t>Turn Right</t>
        </is>
      </c>
      <c r="R1117" s="12" t="n">
        <v>0.74</v>
      </c>
      <c r="S1117" s="5" t="inlineStr">
        <is>
          <t>ACCEPTED</t>
        </is>
      </c>
      <c r="T1117" s="5" t="inlineStr">
        <is>
          <t>Normal operation</t>
        </is>
      </c>
    </row>
    <row r="1118" s="17">
      <c r="A1118" s="7" t="n">
        <v>8915</v>
      </c>
      <c r="B1118" s="8" t="n">
        <v>40665.357634</v>
      </c>
      <c r="C1118" s="9" t="n">
        <v>40.665357634</v>
      </c>
      <c r="D1118" s="9" t="n">
        <v>130.07788957</v>
      </c>
      <c r="E1118" s="9" t="n">
        <v>61.22253496</v>
      </c>
      <c r="F1118" s="10" t="n">
        <v>0.06127494921882336</v>
      </c>
      <c r="G1118" s="10" t="n">
        <v>0.1253214380340626</v>
      </c>
      <c r="H1118" s="10" t="n">
        <v>0.924473368560714</v>
      </c>
      <c r="I1118" s="10" t="n">
        <v>0.445623</v>
      </c>
      <c r="J1118" s="5" t="inlineStr">
        <is>
          <t>Cleaner sand</t>
        </is>
      </c>
      <c r="K1118" s="11" t="n">
        <v>18.39840940004069</v>
      </c>
      <c r="L1118" s="12" t="n">
        <v>1.816629394700299</v>
      </c>
      <c r="M1118" s="12" t="n">
        <v>3.060551682566523</v>
      </c>
      <c r="N1118" s="12" t="n">
        <v>6.312511691514309</v>
      </c>
      <c r="O1118" s="12" t="n">
        <v>193.3334703481109</v>
      </c>
      <c r="P1118" s="5" t="inlineStr">
        <is>
          <t>Normal</t>
        </is>
      </c>
      <c r="Q1118" s="5" t="inlineStr">
        <is>
          <t>Build</t>
        </is>
      </c>
      <c r="R1118" s="12" t="n">
        <v>0.59</v>
      </c>
      <c r="S1118" s="5" t="inlineStr">
        <is>
          <t>REDUCED</t>
        </is>
      </c>
      <c r="T1118" s="5" t="inlineStr">
        <is>
          <t>Normal operation</t>
        </is>
      </c>
    </row>
    <row r="1119" s="17">
      <c r="A1119" s="7" t="n">
        <v>8920</v>
      </c>
      <c r="B1119" s="8" t="n">
        <v>43586.624</v>
      </c>
      <c r="C1119" s="9" t="n">
        <v>43.586624</v>
      </c>
      <c r="D1119" s="9" t="n">
        <v>143.8527087</v>
      </c>
      <c r="E1119" s="9" t="n">
        <v>53.79375726</v>
      </c>
      <c r="F1119" s="10" t="n">
        <v>0.07471347576006571</v>
      </c>
      <c r="G1119" s="10" t="n">
        <v>0.1848092007886835</v>
      </c>
      <c r="H1119" s="10" t="n">
        <v>0.9388484376096176</v>
      </c>
      <c r="I1119" s="10" t="n">
        <v>0.479588</v>
      </c>
      <c r="J1119" s="5" t="inlineStr">
        <is>
          <t>Cleaner sand</t>
        </is>
      </c>
      <c r="K1119" s="11" t="n">
        <v>16.47465908046657</v>
      </c>
      <c r="L1119" s="12" t="n">
        <v>1.412951882806241</v>
      </c>
      <c r="M1119" s="12" t="n">
        <v>3.637514318431017</v>
      </c>
      <c r="N1119" s="12" t="n">
        <v>5.657191121197542</v>
      </c>
      <c r="O1119" s="12" t="n">
        <v>213.9524901474354</v>
      </c>
      <c r="P1119" s="5" t="inlineStr">
        <is>
          <t>Normal</t>
        </is>
      </c>
      <c r="Q1119" s="5" t="inlineStr">
        <is>
          <t>Build</t>
        </is>
      </c>
      <c r="R1119" s="12" t="n">
        <v>0.74</v>
      </c>
      <c r="S1119" s="5" t="inlineStr">
        <is>
          <t>ACCEPTED</t>
        </is>
      </c>
      <c r="T1119" s="5" t="inlineStr">
        <is>
          <t>Normal operation</t>
        </is>
      </c>
    </row>
    <row r="1120" s="17">
      <c r="A1120" s="7" t="n">
        <v>8925</v>
      </c>
      <c r="B1120" s="8" t="n">
        <v>42459.065826</v>
      </c>
      <c r="C1120" s="9" t="n">
        <v>42.459065826</v>
      </c>
      <c r="D1120" s="9" t="n">
        <v>155.38590134</v>
      </c>
      <c r="E1120" s="9" t="n">
        <v>47.38375576</v>
      </c>
      <c r="F1120" s="10" t="n">
        <v>0.1445212365594133</v>
      </c>
      <c r="G1120" s="10" t="n">
        <v>0.2619549598242673</v>
      </c>
      <c r="H1120" s="10" t="n">
        <v>0.892729844558252</v>
      </c>
      <c r="I1120" s="10" t="n">
        <v>1.565727</v>
      </c>
      <c r="J1120" s="5" t="inlineStr">
        <is>
          <t>Transition</t>
        </is>
      </c>
      <c r="K1120" s="11" t="n">
        <v>16.52599459040751</v>
      </c>
      <c r="L1120" s="12" t="n">
        <v>1.620053890180194</v>
      </c>
      <c r="M1120" s="12" t="n">
        <v>3.545892157078896</v>
      </c>
      <c r="N1120" s="12" t="n">
        <v>6.181997951899701</v>
      </c>
      <c r="O1120" s="12" t="n">
        <v>188.3206315585771</v>
      </c>
      <c r="P1120" s="5" t="inlineStr">
        <is>
          <t>Normal</t>
        </is>
      </c>
      <c r="Q1120" s="5" t="inlineStr">
        <is>
          <t>Turn Right</t>
        </is>
      </c>
      <c r="R1120" s="12" t="n">
        <v>0.72</v>
      </c>
      <c r="S1120" s="5" t="inlineStr">
        <is>
          <t>ACCEPTED</t>
        </is>
      </c>
      <c r="T1120" s="5" t="inlineStr">
        <is>
          <t>Normal operation</t>
        </is>
      </c>
    </row>
    <row r="1121" s="17">
      <c r="A1121" s="7" t="n">
        <v>8930</v>
      </c>
      <c r="B1121" s="8" t="n">
        <v>72160.03021300001</v>
      </c>
      <c r="C1121" s="9" t="n">
        <v>72.160030213</v>
      </c>
      <c r="D1121" s="9" t="n">
        <v>152.02941395</v>
      </c>
      <c r="E1121" s="9" t="n">
        <v>37.27787486</v>
      </c>
      <c r="F1121" s="10" t="n">
        <v>0.08189521403949145</v>
      </c>
      <c r="G1121" s="10" t="n">
        <v>0.3050916677273813</v>
      </c>
      <c r="H1121" s="10" t="n">
        <v>0.8853400514213532</v>
      </c>
      <c r="I1121" s="10" t="n">
        <v>0.9816049999999999</v>
      </c>
      <c r="J1121" s="5" t="inlineStr">
        <is>
          <t>Transition</t>
        </is>
      </c>
      <c r="K1121" s="11" t="n">
        <v>22.83819963081291</v>
      </c>
      <c r="L1121" s="12" t="n">
        <v>1.830361476933785</v>
      </c>
      <c r="M1121" s="12" t="n">
        <v>3.938456820291629</v>
      </c>
      <c r="N1121" s="12" t="n">
        <v>7.760937610764165</v>
      </c>
      <c r="O1121" s="12" t="n">
        <v>189.4171073397571</v>
      </c>
      <c r="P1121" s="5" t="inlineStr">
        <is>
          <t>Normal</t>
        </is>
      </c>
      <c r="Q1121" s="5" t="inlineStr">
        <is>
          <t>Turn Right</t>
        </is>
      </c>
      <c r="R1121" s="12" t="n">
        <v>0.73</v>
      </c>
      <c r="S1121" s="5" t="inlineStr">
        <is>
          <t>ACCEPTED</t>
        </is>
      </c>
      <c r="T1121" s="5" t="inlineStr">
        <is>
          <t>WOB outside preferred band</t>
        </is>
      </c>
    </row>
    <row r="1122" s="17">
      <c r="A1122" s="7" t="n">
        <v>8935</v>
      </c>
      <c r="B1122" s="8" t="n">
        <v>54595.766047</v>
      </c>
      <c r="C1122" s="9" t="n">
        <v>54.595766047</v>
      </c>
      <c r="D1122" s="9" t="n">
        <v>134.7100707</v>
      </c>
      <c r="E1122" s="9" t="n">
        <v>67.10519364000001</v>
      </c>
      <c r="F1122" s="10" t="n">
        <v>0.06436586125666444</v>
      </c>
      <c r="G1122" s="10" t="n">
        <v>0.2025506279312332</v>
      </c>
      <c r="H1122" s="10" t="n">
        <v>0.9458211036954398</v>
      </c>
      <c r="I1122" s="10" t="n">
        <v>0.390669</v>
      </c>
      <c r="J1122" s="5" t="inlineStr">
        <is>
          <t>Cleaner sand</t>
        </is>
      </c>
      <c r="K1122" s="11" t="n">
        <v>19.66262312672194</v>
      </c>
      <c r="L1122" s="12" t="n">
        <v>1.421258003584359</v>
      </c>
      <c r="M1122" s="12" t="n">
        <v>4.309300050893478</v>
      </c>
      <c r="N1122" s="12" t="n">
        <v>6.087958985646341</v>
      </c>
      <c r="O1122" s="12" t="n">
        <v>190.645460923772</v>
      </c>
      <c r="P1122" s="5" t="inlineStr">
        <is>
          <t>Normal</t>
        </is>
      </c>
      <c r="Q1122" s="5" t="inlineStr">
        <is>
          <t>Build</t>
        </is>
      </c>
      <c r="R1122" s="12" t="n">
        <v>0.74</v>
      </c>
      <c r="S1122" s="5" t="inlineStr">
        <is>
          <t>ACCEPTED</t>
        </is>
      </c>
      <c r="T1122" s="5" t="inlineStr">
        <is>
          <t>Normal operation</t>
        </is>
      </c>
    </row>
    <row r="1123" s="17">
      <c r="A1123" s="7" t="n">
        <v>8940</v>
      </c>
      <c r="B1123" s="8" t="n">
        <v>40504.899572</v>
      </c>
      <c r="C1123" s="9" t="n">
        <v>40.504899572</v>
      </c>
      <c r="D1123" s="9" t="n">
        <v>138.40757316</v>
      </c>
      <c r="E1123" s="9" t="n">
        <v>33.60456924</v>
      </c>
      <c r="F1123" s="10" t="n">
        <v>0.1283579287862914</v>
      </c>
      <c r="G1123" s="10" t="n">
        <v>0.3350202013976671</v>
      </c>
      <c r="H1123" s="10" t="n">
        <v>0.954121909302857</v>
      </c>
      <c r="I1123" s="10" t="n">
        <v>0.610047</v>
      </c>
      <c r="J1123" s="5" t="inlineStr">
        <is>
          <t>Transition</t>
        </is>
      </c>
      <c r="K1123" s="11" t="n">
        <v>17.15251241254753</v>
      </c>
      <c r="L1123" s="12" t="n">
        <v>1.32890304121081</v>
      </c>
      <c r="M1123" s="12" t="n">
        <v>4.271516811929581</v>
      </c>
      <c r="N1123" s="12" t="n">
        <v>6.011994173300563</v>
      </c>
      <c r="O1123" s="12" t="n">
        <v>182.8529726185074</v>
      </c>
      <c r="P1123" s="5" t="inlineStr">
        <is>
          <t>Normal</t>
        </is>
      </c>
      <c r="Q1123" s="5" t="inlineStr">
        <is>
          <t>Turn Right</t>
        </is>
      </c>
      <c r="R1123" s="12" t="n">
        <v>0.87</v>
      </c>
      <c r="S1123" s="5" t="inlineStr">
        <is>
          <t>ACCEPTED</t>
        </is>
      </c>
      <c r="T1123" s="5" t="inlineStr">
        <is>
          <t>Normal operation</t>
        </is>
      </c>
    </row>
    <row r="1124" s="17">
      <c r="A1124" s="7" t="n">
        <v>8945</v>
      </c>
      <c r="B1124" s="8" t="n">
        <v>55856.807891</v>
      </c>
      <c r="C1124" s="9" t="n">
        <v>55.856807891</v>
      </c>
      <c r="D1124" s="9" t="n">
        <v>158.33502704</v>
      </c>
      <c r="E1124" s="9" t="n">
        <v>40.60940284</v>
      </c>
      <c r="F1124" s="10" t="n">
        <v>0.08273031858427897</v>
      </c>
      <c r="G1124" s="10" t="n">
        <v>0.3704807417259737</v>
      </c>
      <c r="H1124" s="10" t="n">
        <v>0.8824022664437794</v>
      </c>
      <c r="I1124" s="10" t="n">
        <v>1.019077</v>
      </c>
      <c r="J1124" s="5" t="inlineStr">
        <is>
          <t>Transition</t>
        </is>
      </c>
      <c r="K1124" s="11" t="n">
        <v>19.42776028335424</v>
      </c>
      <c r="L1124" s="12" t="n">
        <v>1.676734684569132</v>
      </c>
      <c r="M1124" s="12" t="n">
        <v>2.48440760821165</v>
      </c>
      <c r="N1124" s="12" t="n">
        <v>6.836569897189577</v>
      </c>
      <c r="O1124" s="12" t="n">
        <v>180</v>
      </c>
      <c r="P1124" s="5" t="inlineStr">
        <is>
          <t>Normal</t>
        </is>
      </c>
      <c r="Q1124" s="5" t="inlineStr">
        <is>
          <t>Turn Right</t>
        </is>
      </c>
      <c r="R1124" s="12" t="n">
        <v>0.49</v>
      </c>
      <c r="S1124" s="5" t="inlineStr">
        <is>
          <t>REJECTED</t>
        </is>
      </c>
      <c r="T1124" s="5" t="inlineStr">
        <is>
          <t>Normal operation</t>
        </is>
      </c>
    </row>
    <row r="1125" s="17">
      <c r="A1125" s="7" t="n">
        <v>8950</v>
      </c>
      <c r="B1125" s="8" t="n">
        <v>44700.041534</v>
      </c>
      <c r="C1125" s="9" t="n">
        <v>44.700041534</v>
      </c>
      <c r="D1125" s="9" t="n">
        <v>136.95298123</v>
      </c>
      <c r="E1125" s="9" t="n">
        <v>64.06283619999999</v>
      </c>
      <c r="F1125" s="10" t="n">
        <v>0.0637490685858442</v>
      </c>
      <c r="G1125" s="10" t="n">
        <v>0.1694372183853342</v>
      </c>
      <c r="H1125" s="10" t="n">
        <v>0.9365488091847307</v>
      </c>
      <c r="I1125" s="10" t="n">
        <v>0.42115</v>
      </c>
      <c r="J1125" s="5" t="inlineStr">
        <is>
          <t>Cleaner sand</t>
        </is>
      </c>
      <c r="K1125" s="11" t="n">
        <v>15.5940545290628</v>
      </c>
      <c r="L1125" s="12" t="n">
        <v>1.127249489957227</v>
      </c>
      <c r="M1125" s="12" t="n">
        <v>4.724574436162975</v>
      </c>
      <c r="N1125" s="12" t="n">
        <v>5.73292503194576</v>
      </c>
      <c r="O1125" s="12" t="n">
        <v>193.0670711572478</v>
      </c>
      <c r="P1125" s="5" t="inlineStr">
        <is>
          <t>Normal</t>
        </is>
      </c>
      <c r="Q1125" s="5" t="inlineStr">
        <is>
          <t>Build</t>
        </is>
      </c>
      <c r="R1125" s="12" t="n">
        <v>0.6</v>
      </c>
      <c r="S1125" s="5" t="inlineStr">
        <is>
          <t>REDUCED</t>
        </is>
      </c>
      <c r="T1125" s="5" t="inlineStr">
        <is>
          <t>Normal operation</t>
        </is>
      </c>
    </row>
    <row r="1126" s="17">
      <c r="A1126" s="7" t="n">
        <v>8955</v>
      </c>
      <c r="B1126" s="8" t="n">
        <v>53865.417141</v>
      </c>
      <c r="C1126" s="9" t="n">
        <v>53.86541714099999</v>
      </c>
      <c r="D1126" s="9" t="n">
        <v>146.30321708</v>
      </c>
      <c r="E1126" s="9" t="n">
        <v>53.06079698000001</v>
      </c>
      <c r="F1126" s="10" t="n">
        <v>0.09057228646114529</v>
      </c>
      <c r="G1126" s="10" t="n">
        <v>0.1883440381990725</v>
      </c>
      <c r="H1126" s="10" t="n">
        <v>0.9782453130879997</v>
      </c>
      <c r="I1126" s="10" t="n">
        <v>0.224905</v>
      </c>
      <c r="J1126" s="5" t="inlineStr">
        <is>
          <t>Cleaner sand</t>
        </is>
      </c>
      <c r="K1126" s="11" t="n">
        <v>20.05620176705521</v>
      </c>
      <c r="L1126" s="12" t="n">
        <v>1.127945686846259</v>
      </c>
      <c r="M1126" s="12" t="n">
        <v>4.043623301438908</v>
      </c>
      <c r="N1126" s="12" t="n">
        <v>9.768091163369341</v>
      </c>
      <c r="O1126" s="12" t="n">
        <v>197.2263724687382</v>
      </c>
      <c r="P1126" s="5" t="inlineStr">
        <is>
          <t>Normal</t>
        </is>
      </c>
      <c r="Q1126" s="5" t="inlineStr">
        <is>
          <t>Turn Right</t>
        </is>
      </c>
      <c r="R1126" s="12" t="n">
        <v>0.72</v>
      </c>
      <c r="S1126" s="5" t="inlineStr">
        <is>
          <t>ACCEPTED</t>
        </is>
      </c>
      <c r="T1126" s="5" t="inlineStr">
        <is>
          <t>Normal operation</t>
        </is>
      </c>
    </row>
    <row r="1127" s="17">
      <c r="A1127" s="7" t="n">
        <v>8960</v>
      </c>
      <c r="B1127" s="8" t="n">
        <v>73742.246759</v>
      </c>
      <c r="C1127" s="9" t="n">
        <v>73.742246759</v>
      </c>
      <c r="D1127" s="9" t="n">
        <v>152.99557209</v>
      </c>
      <c r="E1127" s="9" t="n">
        <v>46.11085008000001</v>
      </c>
      <c r="F1127" s="10" t="n">
        <v>0.1183934290409951</v>
      </c>
      <c r="G1127" s="10" t="n">
        <v>0.2186909247719042</v>
      </c>
      <c r="H1127" s="10" t="n">
        <v>0.9178869991982712</v>
      </c>
      <c r="I1127" s="10" t="n">
        <v>0.976965</v>
      </c>
      <c r="J1127" s="5" t="inlineStr">
        <is>
          <t>Cleaner sand</t>
        </is>
      </c>
      <c r="K1127" s="11" t="n">
        <v>20.93220368306469</v>
      </c>
      <c r="L1127" s="12" t="n">
        <v>1.992892908648687</v>
      </c>
      <c r="M1127" s="12" t="n">
        <v>4.917284502397085</v>
      </c>
      <c r="N1127" s="12" t="n">
        <v>6.803479418964104</v>
      </c>
      <c r="O1127" s="12" t="n">
        <v>196.0417527266084</v>
      </c>
      <c r="P1127" s="5" t="inlineStr">
        <is>
          <t>Normal</t>
        </is>
      </c>
      <c r="Q1127" s="5" t="inlineStr">
        <is>
          <t>Turn Right</t>
        </is>
      </c>
      <c r="R1127" s="12" t="n">
        <v>0.5600000000000001</v>
      </c>
      <c r="S1127" s="5" t="inlineStr">
        <is>
          <t>REDUCED</t>
        </is>
      </c>
      <c r="T1127" s="5" t="inlineStr">
        <is>
          <t>WOB outside preferred band</t>
        </is>
      </c>
    </row>
    <row r="1128" s="17">
      <c r="A1128" s="7" t="n">
        <v>8965</v>
      </c>
      <c r="B1128" s="8" t="n">
        <v>35833.468601</v>
      </c>
      <c r="C1128" s="9" t="n">
        <v>35.833468601</v>
      </c>
      <c r="D1128" s="9" t="n">
        <v>145.05174935</v>
      </c>
      <c r="E1128" s="9" t="n">
        <v>77.21100812</v>
      </c>
      <c r="F1128" s="10" t="n">
        <v>0.03391214158833988</v>
      </c>
      <c r="G1128" s="10" t="n">
        <v>0.270518929047116</v>
      </c>
      <c r="H1128" s="10" t="n">
        <v>0.947627679724283</v>
      </c>
      <c r="I1128" s="10" t="n">
        <v>0.191601</v>
      </c>
      <c r="J1128" s="5" t="inlineStr">
        <is>
          <t>Transition</t>
        </is>
      </c>
      <c r="K1128" s="11" t="n">
        <v>15.40894038800125</v>
      </c>
      <c r="L1128" s="12" t="n">
        <v>1.1</v>
      </c>
      <c r="M1128" s="12" t="n">
        <v>4.133054347995733</v>
      </c>
      <c r="N1128" s="12" t="n">
        <v>8.759302514076049</v>
      </c>
      <c r="O1128" s="12" t="n">
        <v>196.0191605035183</v>
      </c>
      <c r="P1128" s="5" t="inlineStr">
        <is>
          <t>Normal</t>
        </is>
      </c>
      <c r="Q1128" s="5" t="inlineStr">
        <is>
          <t>Turn Right</t>
        </is>
      </c>
      <c r="R1128" s="12" t="n">
        <v>0.9399999999999999</v>
      </c>
      <c r="S1128" s="5" t="inlineStr">
        <is>
          <t>ACCEPTED</t>
        </is>
      </c>
      <c r="T1128" s="5" t="inlineStr">
        <is>
          <t>Normal operation</t>
        </is>
      </c>
    </row>
    <row r="1129" s="17">
      <c r="A1129" s="7" t="n">
        <v>8970</v>
      </c>
      <c r="B1129" s="8" t="n">
        <v>62389.588321</v>
      </c>
      <c r="C1129" s="9" t="n">
        <v>62.38958832100001</v>
      </c>
      <c r="D1129" s="9" t="n">
        <v>127.53172021</v>
      </c>
      <c r="E1129" s="9" t="n">
        <v>54.89920746</v>
      </c>
      <c r="F1129" s="10" t="n">
        <v>0.1269228251159426</v>
      </c>
      <c r="G1129" s="10" t="n">
        <v>0.1963706368412251</v>
      </c>
      <c r="H1129" s="10" t="n">
        <v>0.913446543832461</v>
      </c>
      <c r="I1129" s="10" t="n">
        <v>1.105566</v>
      </c>
      <c r="J1129" s="5" t="inlineStr">
        <is>
          <t>Cleaner sand</t>
        </is>
      </c>
      <c r="K1129" s="11" t="n">
        <v>19.23627381629424</v>
      </c>
      <c r="L1129" s="12" t="n">
        <v>1.986493125445514</v>
      </c>
      <c r="M1129" s="12" t="n">
        <v>4.626739180939055</v>
      </c>
      <c r="N1129" s="12" t="n">
        <v>8.088920105281892</v>
      </c>
      <c r="O1129" s="12" t="n">
        <v>198.9989535433713</v>
      </c>
      <c r="P1129" s="5" t="inlineStr">
        <is>
          <t>Normal</t>
        </is>
      </c>
      <c r="Q1129" s="5" t="inlineStr">
        <is>
          <t>Turn Right</t>
        </is>
      </c>
      <c r="R1129" s="12" t="n">
        <v>0.54</v>
      </c>
      <c r="S1129" s="5" t="inlineStr">
        <is>
          <t>REDUCED</t>
        </is>
      </c>
      <c r="T1129" s="5" t="inlineStr">
        <is>
          <t>Normal operation</t>
        </is>
      </c>
    </row>
    <row r="1130" s="17">
      <c r="A1130" s="7" t="n">
        <v>8975</v>
      </c>
      <c r="B1130" s="8" t="n">
        <v>74334.80382299999</v>
      </c>
      <c r="C1130" s="9" t="n">
        <v>74.334803823</v>
      </c>
      <c r="D1130" s="9" t="n">
        <v>163.63486799</v>
      </c>
      <c r="E1130" s="9" t="n">
        <v>30</v>
      </c>
      <c r="F1130" s="10" t="n">
        <v>0.06041572419594789</v>
      </c>
      <c r="G1130" s="10" t="n">
        <v>0.3334269660353533</v>
      </c>
      <c r="H1130" s="10" t="n">
        <v>0.9228779748025983</v>
      </c>
      <c r="I1130" s="10" t="n">
        <v>0.495639</v>
      </c>
      <c r="J1130" s="5" t="inlineStr">
        <is>
          <t>Transition</t>
        </is>
      </c>
      <c r="K1130" s="11" t="n">
        <v>22.12339478874346</v>
      </c>
      <c r="L1130" s="12" t="n">
        <v>1.886669733498436</v>
      </c>
      <c r="M1130" s="12" t="n">
        <v>4.086852627264976</v>
      </c>
      <c r="N1130" s="12" t="n">
        <v>6.67512303541151</v>
      </c>
      <c r="O1130" s="12" t="n">
        <v>210.0937636435181</v>
      </c>
      <c r="P1130" s="5" t="inlineStr">
        <is>
          <t>Normal</t>
        </is>
      </c>
      <c r="Q1130" s="5" t="inlineStr">
        <is>
          <t>Build</t>
        </is>
      </c>
      <c r="R1130" s="12" t="n">
        <v>0.66</v>
      </c>
      <c r="S1130" s="5" t="inlineStr">
        <is>
          <t>REDUCED</t>
        </is>
      </c>
      <c r="T1130" s="5" t="inlineStr">
        <is>
          <t>WOB outside preferred band</t>
        </is>
      </c>
    </row>
    <row r="1131" s="17">
      <c r="A1131" s="7" t="n">
        <v>8980</v>
      </c>
      <c r="B1131" s="8" t="n">
        <v>54074.263789</v>
      </c>
      <c r="C1131" s="9" t="n">
        <v>54.074263789</v>
      </c>
      <c r="D1131" s="9" t="n">
        <v>132.05772899</v>
      </c>
      <c r="E1131" s="9" t="n">
        <v>53.64871893999999</v>
      </c>
      <c r="F1131" s="10" t="n">
        <v>0.04638715799654121</v>
      </c>
      <c r="G1131" s="10" t="n">
        <v>0.07078342261839465</v>
      </c>
      <c r="H1131" s="10" t="n">
        <v>0.9473733888653274</v>
      </c>
      <c r="I1131" s="10" t="n">
        <v>0.266097</v>
      </c>
      <c r="J1131" s="5" t="inlineStr">
        <is>
          <t>Cleaner sand</t>
        </is>
      </c>
      <c r="K1131" s="11" t="n">
        <v>18.78994406033427</v>
      </c>
      <c r="L1131" s="12" t="n">
        <v>1.1</v>
      </c>
      <c r="M1131" s="12" t="n">
        <v>4.758485112504436</v>
      </c>
      <c r="N1131" s="12" t="n">
        <v>8.085684483559783</v>
      </c>
      <c r="O1131" s="12" t="n">
        <v>199.4500664307134</v>
      </c>
      <c r="P1131" s="5" t="inlineStr">
        <is>
          <t>Normal</t>
        </is>
      </c>
      <c r="Q1131" s="5" t="inlineStr">
        <is>
          <t>Turn Right</t>
        </is>
      </c>
      <c r="R1131" s="12" t="n">
        <v>0.88</v>
      </c>
      <c r="S1131" s="5" t="inlineStr">
        <is>
          <t>ACCEPTED</t>
        </is>
      </c>
      <c r="T1131" s="5" t="inlineStr">
        <is>
          <t>Normal operation</t>
        </is>
      </c>
    </row>
    <row r="1132" s="17">
      <c r="A1132" s="7" t="n">
        <v>8985</v>
      </c>
      <c r="B1132" s="8" t="n">
        <v>54067.074302</v>
      </c>
      <c r="C1132" s="9" t="n">
        <v>54.067074302</v>
      </c>
      <c r="D1132" s="9" t="n">
        <v>138.47581852</v>
      </c>
      <c r="E1132" s="9" t="n">
        <v>33.84207158</v>
      </c>
      <c r="F1132" s="10" t="n">
        <v>0.1573162570894193</v>
      </c>
      <c r="G1132" s="10" t="n">
        <v>0.280568671671089</v>
      </c>
      <c r="H1132" s="10" t="n">
        <v>0.9070519212839235</v>
      </c>
      <c r="I1132" s="10" t="n">
        <v>1.492216</v>
      </c>
      <c r="J1132" s="5" t="inlineStr">
        <is>
          <t>Transition</t>
        </is>
      </c>
      <c r="K1132" s="11" t="n">
        <v>18.78121656333532</v>
      </c>
      <c r="L1132" s="12" t="n">
        <v>1.327993320355529</v>
      </c>
      <c r="M1132" s="12" t="n">
        <v>4.067147846345438</v>
      </c>
      <c r="N1132" s="12" t="n">
        <v>9.251037523138567</v>
      </c>
      <c r="O1132" s="12" t="n">
        <v>197.2908588569763</v>
      </c>
      <c r="P1132" s="5" t="inlineStr">
        <is>
          <t>Normal</t>
        </is>
      </c>
      <c r="Q1132" s="5" t="inlineStr">
        <is>
          <t>Turn Right</t>
        </is>
      </c>
      <c r="R1132" s="12" t="n">
        <v>0.44</v>
      </c>
      <c r="S1132" s="5" t="inlineStr">
        <is>
          <t>REJECTED</t>
        </is>
      </c>
      <c r="T1132" s="5" t="inlineStr">
        <is>
          <t>Normal operation</t>
        </is>
      </c>
    </row>
    <row r="1133" s="17">
      <c r="A1133" s="7" t="n">
        <v>8990</v>
      </c>
      <c r="B1133" s="8" t="n">
        <v>59182.987951</v>
      </c>
      <c r="C1133" s="9" t="n">
        <v>59.182987951</v>
      </c>
      <c r="D1133" s="9" t="n">
        <v>158.88741012</v>
      </c>
      <c r="E1133" s="9" t="n">
        <v>30</v>
      </c>
      <c r="F1133" s="10" t="n">
        <v>0.1150835035441813</v>
      </c>
      <c r="G1133" s="10" t="n">
        <v>0.3473304473493025</v>
      </c>
      <c r="H1133" s="10" t="n">
        <v>0.913543808916087</v>
      </c>
      <c r="I1133" s="10" t="n">
        <v>0.985164</v>
      </c>
      <c r="J1133" s="5" t="inlineStr">
        <is>
          <t>Transition</t>
        </is>
      </c>
      <c r="K1133" s="11" t="n">
        <v>19.82270726362023</v>
      </c>
      <c r="L1133" s="12" t="n">
        <v>2.245113607493213</v>
      </c>
      <c r="M1133" s="12" t="n">
        <v>3.538814808397184</v>
      </c>
      <c r="N1133" s="12" t="n">
        <v>8.125502478920678</v>
      </c>
      <c r="O1133" s="12" t="n">
        <v>202.0806096094361</v>
      </c>
      <c r="P1133" s="5" t="inlineStr">
        <is>
          <t>Normal</t>
        </is>
      </c>
      <c r="Q1133" s="5" t="inlineStr">
        <is>
          <t>Turn Right</t>
        </is>
      </c>
      <c r="R1133" s="12" t="n">
        <v>0.85</v>
      </c>
      <c r="S1133" s="5" t="inlineStr">
        <is>
          <t>ACCEPTED</t>
        </is>
      </c>
      <c r="T1133" s="5" t="inlineStr">
        <is>
          <t>Normal operation</t>
        </is>
      </c>
    </row>
    <row r="1134" s="17">
      <c r="A1134" s="7" t="n">
        <v>8995</v>
      </c>
      <c r="B1134" s="8" t="n">
        <v>49301.05489</v>
      </c>
      <c r="C1134" s="9" t="n">
        <v>49.30105489</v>
      </c>
      <c r="D1134" s="9" t="n">
        <v>129.64496319</v>
      </c>
      <c r="E1134" s="9" t="n">
        <v>69.79975791999999</v>
      </c>
      <c r="F1134" s="10" t="n">
        <v>0.06618062994933804</v>
      </c>
      <c r="G1134" s="10" t="n">
        <v>0.09377146704929065</v>
      </c>
      <c r="H1134" s="10" t="n">
        <v>0.9891469820645065</v>
      </c>
      <c r="I1134" s="10" t="n">
        <v>0.093109</v>
      </c>
      <c r="J1134" s="5" t="inlineStr">
        <is>
          <t>Cleaner sand</t>
        </is>
      </c>
      <c r="K1134" s="11" t="n">
        <v>19.19699657276233</v>
      </c>
      <c r="L1134" s="12" t="n">
        <v>1.179228889741556</v>
      </c>
      <c r="M1134" s="12" t="n">
        <v>5.40285342830933</v>
      </c>
      <c r="N1134" s="12" t="n">
        <v>10.05969734863748</v>
      </c>
      <c r="O1134" s="12" t="n">
        <v>212.7230413356505</v>
      </c>
      <c r="P1134" s="5" t="inlineStr">
        <is>
          <t>Normal</t>
        </is>
      </c>
      <c r="Q1134" s="5" t="inlineStr">
        <is>
          <t>Turn Right</t>
        </is>
      </c>
      <c r="R1134" s="12" t="n">
        <v>0.71</v>
      </c>
      <c r="S1134" s="5" t="inlineStr">
        <is>
          <t>ACCEPTED</t>
        </is>
      </c>
      <c r="T1134" s="5" t="inlineStr">
        <is>
          <t>Normal operation</t>
        </is>
      </c>
    </row>
    <row r="1135" s="17">
      <c r="A1135" s="7" t="n">
        <v>9000</v>
      </c>
      <c r="B1135" s="8" t="n">
        <v>65740.688918</v>
      </c>
      <c r="C1135" s="9" t="n">
        <v>65.740688918</v>
      </c>
      <c r="D1135" s="9" t="n">
        <v>126.22395279</v>
      </c>
      <c r="E1135" s="9" t="n">
        <v>51.88862666</v>
      </c>
      <c r="F1135" s="10" t="n">
        <v>0.08637056307334785</v>
      </c>
      <c r="G1135" s="10" t="n">
        <v>0.1903463161500464</v>
      </c>
      <c r="H1135" s="10" t="n">
        <v>0.9012091128029192</v>
      </c>
      <c r="I1135" s="10" t="n">
        <v>0.901643</v>
      </c>
      <c r="J1135" s="5" t="inlineStr">
        <is>
          <t>Cleaner sand</t>
        </is>
      </c>
      <c r="K1135" s="11" t="n">
        <v>21.06042384159619</v>
      </c>
      <c r="L1135" s="12" t="n">
        <v>1.4324419114684</v>
      </c>
      <c r="M1135" s="12" t="n">
        <v>4.263855117631444</v>
      </c>
      <c r="N1135" s="12" t="n">
        <v>9.975028834145844</v>
      </c>
      <c r="O1135" s="12" t="n">
        <v>223.2590628758159</v>
      </c>
      <c r="P1135" s="5" t="inlineStr">
        <is>
          <t>Normal</t>
        </is>
      </c>
      <c r="Q1135" s="5" t="inlineStr">
        <is>
          <t>Turn Right</t>
        </is>
      </c>
      <c r="R1135" s="12" t="n">
        <v>0.42</v>
      </c>
      <c r="S1135" s="5" t="inlineStr">
        <is>
          <t>REJECTED</t>
        </is>
      </c>
      <c r="T1135" s="5" t="inlineStr">
        <is>
          <t>Normal operation</t>
        </is>
      </c>
    </row>
    <row r="1136" s="17">
      <c r="A1136" s="7" t="n">
        <v>9005</v>
      </c>
      <c r="B1136" s="8" t="n">
        <v>57081.849157</v>
      </c>
      <c r="C1136" s="9" t="n">
        <v>57.08184915699999</v>
      </c>
      <c r="D1136" s="9" t="n">
        <v>107.89772411</v>
      </c>
      <c r="E1136" s="9" t="n">
        <v>36.3669713</v>
      </c>
      <c r="F1136" s="10" t="n">
        <v>0.1107237678454162</v>
      </c>
      <c r="G1136" s="10" t="n">
        <v>0.2687886924499082</v>
      </c>
      <c r="H1136" s="10" t="n">
        <v>0.9187024499991306</v>
      </c>
      <c r="I1136" s="10" t="n">
        <v>0.881922</v>
      </c>
      <c r="J1136" s="5" t="inlineStr">
        <is>
          <t>Transition</t>
        </is>
      </c>
      <c r="K1136" s="11" t="n">
        <v>18.77018500871973</v>
      </c>
      <c r="L1136" s="12" t="n">
        <v>1.886409837693429</v>
      </c>
      <c r="M1136" s="12" t="n">
        <v>3.979303991581793</v>
      </c>
      <c r="N1136" s="12" t="n">
        <v>9.980056439083512</v>
      </c>
      <c r="O1136" s="12" t="n">
        <v>205.231563188607</v>
      </c>
      <c r="P1136" s="5" t="inlineStr">
        <is>
          <t>Normal</t>
        </is>
      </c>
      <c r="Q1136" s="5" t="inlineStr">
        <is>
          <t>Turn Right</t>
        </is>
      </c>
      <c r="R1136" s="12" t="n">
        <v>0.9</v>
      </c>
      <c r="S1136" s="5" t="inlineStr">
        <is>
          <t>ACCEPTED</t>
        </is>
      </c>
      <c r="T1136" s="5" t="inlineStr">
        <is>
          <t>Normal operation</t>
        </is>
      </c>
    </row>
    <row r="1137" s="17">
      <c r="A1137" s="7" t="n">
        <v>9010</v>
      </c>
      <c r="B1137" s="8" t="n">
        <v>33820.008111</v>
      </c>
      <c r="C1137" s="9" t="n">
        <v>33.820008111</v>
      </c>
      <c r="D1137" s="9" t="n">
        <v>121.49468321</v>
      </c>
      <c r="E1137" s="9" t="n">
        <v>72.37307699999999</v>
      </c>
      <c r="F1137" s="10" t="n">
        <v>0.05102070217982807</v>
      </c>
      <c r="G1137" s="10" t="n">
        <v>0.1380475038352625</v>
      </c>
      <c r="H1137" s="10" t="n">
        <v>0.911637571875959</v>
      </c>
      <c r="I1137" s="10" t="n">
        <v>0.434088</v>
      </c>
      <c r="J1137" s="5" t="inlineStr">
        <is>
          <t>Cleaner sand</t>
        </is>
      </c>
      <c r="K1137" s="11" t="n">
        <v>15.70007316199315</v>
      </c>
      <c r="L1137" s="12" t="n">
        <v>2.043861349548472</v>
      </c>
      <c r="M1137" s="12" t="n">
        <v>2.466913371734617</v>
      </c>
      <c r="N1137" s="12" t="n">
        <v>8.32632162857105</v>
      </c>
      <c r="O1137" s="12" t="n">
        <v>215.0345188564472</v>
      </c>
      <c r="P1137" s="5" t="inlineStr">
        <is>
          <t>Normal</t>
        </is>
      </c>
      <c r="Q1137" s="5" t="inlineStr">
        <is>
          <t>Build</t>
        </is>
      </c>
      <c r="R1137" s="12" t="n">
        <v>0.42</v>
      </c>
      <c r="S1137" s="5" t="inlineStr">
        <is>
          <t>REJECTED</t>
        </is>
      </c>
      <c r="T1137" s="5" t="inlineStr">
        <is>
          <t>Normal operation</t>
        </is>
      </c>
    </row>
    <row r="1138" s="17">
      <c r="A1138" s="7" t="n">
        <v>9015</v>
      </c>
      <c r="B1138" s="8" t="n">
        <v>52779.935856</v>
      </c>
      <c r="C1138" s="9" t="n">
        <v>52.77993585599999</v>
      </c>
      <c r="D1138" s="9" t="n">
        <v>122.82182051</v>
      </c>
      <c r="E1138" s="9" t="n">
        <v>57.62673737999999</v>
      </c>
      <c r="F1138" s="10" t="n">
        <v>0.1217364577354732</v>
      </c>
      <c r="G1138" s="10" t="n">
        <v>0.125725994200565</v>
      </c>
      <c r="H1138" s="10" t="n">
        <v>0.9252015971198051</v>
      </c>
      <c r="I1138" s="10" t="n">
        <v>0.916181</v>
      </c>
      <c r="J1138" s="5" t="inlineStr">
        <is>
          <t>Cleaner sand</t>
        </is>
      </c>
      <c r="K1138" s="11" t="n">
        <v>19.4125972397517</v>
      </c>
      <c r="L1138" s="12" t="n">
        <v>1.536745945838197</v>
      </c>
      <c r="M1138" s="12" t="n">
        <v>2.424926826797855</v>
      </c>
      <c r="N1138" s="12" t="n">
        <v>7.658488554908294</v>
      </c>
      <c r="O1138" s="12" t="n">
        <v>220.1114309295022</v>
      </c>
      <c r="P1138" s="5" t="inlineStr">
        <is>
          <t>Normal</t>
        </is>
      </c>
      <c r="Q1138" s="5" t="inlineStr">
        <is>
          <t>Build</t>
        </is>
      </c>
      <c r="R1138" s="12" t="n">
        <v>0.68</v>
      </c>
      <c r="S1138" s="5" t="inlineStr">
        <is>
          <t>REDUCED</t>
        </is>
      </c>
      <c r="T1138" s="5" t="inlineStr">
        <is>
          <t>Normal operation</t>
        </is>
      </c>
    </row>
    <row r="1139" s="17">
      <c r="A1139" s="7" t="n">
        <v>9020</v>
      </c>
      <c r="B1139" s="8" t="n">
        <v>60431.881094</v>
      </c>
      <c r="C1139" s="9" t="n">
        <v>60.431881094</v>
      </c>
      <c r="D1139" s="9" t="n">
        <v>103.72690265</v>
      </c>
      <c r="E1139" s="9" t="n">
        <v>39.5264231</v>
      </c>
      <c r="F1139" s="10" t="n">
        <v>0.06521068094077889</v>
      </c>
      <c r="G1139" s="10" t="n">
        <v>0.3189414392971221</v>
      </c>
      <c r="H1139" s="10" t="n">
        <v>0.8970300695527447</v>
      </c>
      <c r="I1139" s="10" t="n">
        <v>0.680505</v>
      </c>
      <c r="J1139" s="5" t="inlineStr">
        <is>
          <t>Transition</t>
        </is>
      </c>
      <c r="K1139" s="11" t="n">
        <v>18.40287715295618</v>
      </c>
      <c r="L1139" s="12" t="n">
        <v>1.367220004601096</v>
      </c>
      <c r="M1139" s="12" t="n">
        <v>3.657331040457957</v>
      </c>
      <c r="N1139" s="12" t="n">
        <v>8.403028154550858</v>
      </c>
      <c r="O1139" s="12" t="n">
        <v>209.6273237996364</v>
      </c>
      <c r="P1139" s="5" t="inlineStr">
        <is>
          <t>Normal</t>
        </is>
      </c>
      <c r="Q1139" s="5" t="inlineStr">
        <is>
          <t>Turn Right</t>
        </is>
      </c>
      <c r="R1139" s="12" t="n">
        <v>0.43</v>
      </c>
      <c r="S1139" s="5" t="inlineStr">
        <is>
          <t>REJECTED</t>
        </is>
      </c>
      <c r="T1139" s="5" t="inlineStr">
        <is>
          <t>Normal operation</t>
        </is>
      </c>
    </row>
    <row r="1140" s="17">
      <c r="A1140" s="7" t="n">
        <v>9025</v>
      </c>
      <c r="B1140" s="8" t="n">
        <v>34313.117407</v>
      </c>
      <c r="C1140" s="9" t="n">
        <v>34.313117407</v>
      </c>
      <c r="D1140" s="9" t="n">
        <v>119.96099988</v>
      </c>
      <c r="E1140" s="9" t="n">
        <v>64.01624544000001</v>
      </c>
      <c r="F1140" s="10" t="n">
        <v>0.06496167099640029</v>
      </c>
      <c r="G1140" s="10" t="n">
        <v>0.1330331380763636</v>
      </c>
      <c r="H1140" s="10" t="n">
        <v>0.9464148188203824</v>
      </c>
      <c r="I1140" s="10" t="n">
        <v>0.350281</v>
      </c>
      <c r="J1140" s="5" t="inlineStr">
        <is>
          <t>Cleaner sand</t>
        </is>
      </c>
      <c r="K1140" s="11" t="n">
        <v>15.42407952752373</v>
      </c>
      <c r="L1140" s="12" t="n">
        <v>2.356961232232269</v>
      </c>
      <c r="M1140" s="12" t="n">
        <v>3.507133219676078</v>
      </c>
      <c r="N1140" s="12" t="n">
        <v>9.59421356888749</v>
      </c>
      <c r="O1140" s="12" t="n">
        <v>222.7167503572281</v>
      </c>
      <c r="P1140" s="5" t="inlineStr">
        <is>
          <t>Normal</t>
        </is>
      </c>
      <c r="Q1140" s="5" t="inlineStr">
        <is>
          <t>Build</t>
        </is>
      </c>
      <c r="R1140" s="12" t="n">
        <v>0.44</v>
      </c>
      <c r="S1140" s="5" t="inlineStr">
        <is>
          <t>REJECTED</t>
        </is>
      </c>
      <c r="T1140" s="5" t="inlineStr">
        <is>
          <t>Normal operation</t>
        </is>
      </c>
    </row>
    <row r="1141" s="17">
      <c r="A1141" s="7" t="n">
        <v>9030</v>
      </c>
      <c r="B1141" s="8" t="n">
        <v>41121.466255</v>
      </c>
      <c r="C1141" s="9" t="n">
        <v>41.121466255</v>
      </c>
      <c r="D1141" s="9" t="n">
        <v>131.7485144</v>
      </c>
      <c r="E1141" s="9" t="n">
        <v>49.68554578000001</v>
      </c>
      <c r="F1141" s="10" t="n">
        <v>0.1042752675648757</v>
      </c>
      <c r="G1141" s="10" t="n">
        <v>0.2265115328485677</v>
      </c>
      <c r="H1141" s="10" t="n">
        <v>0.91909871821511</v>
      </c>
      <c r="I1141" s="10" t="n">
        <v>0.8405550000000001</v>
      </c>
      <c r="J1141" s="5" t="inlineStr">
        <is>
          <t>Cleaner sand</t>
        </is>
      </c>
      <c r="K1141" s="11" t="n">
        <v>16.7800547967393</v>
      </c>
      <c r="L1141" s="12" t="n">
        <v>2.512060835260813</v>
      </c>
      <c r="M1141" s="12" t="n">
        <v>2.866949845351511</v>
      </c>
      <c r="N1141" s="12" t="n">
        <v>10.1870313781111</v>
      </c>
      <c r="O1141" s="12" t="n">
        <v>210.9408015788758</v>
      </c>
      <c r="P1141" s="5" t="inlineStr">
        <is>
          <t>Normal</t>
        </is>
      </c>
      <c r="Q1141" s="5" t="inlineStr">
        <is>
          <t>Turn Right</t>
        </is>
      </c>
      <c r="R1141" s="12" t="n">
        <v>0.89</v>
      </c>
      <c r="S1141" s="5" t="inlineStr">
        <is>
          <t>ACCEPTED</t>
        </is>
      </c>
      <c r="T1141" s="5" t="inlineStr">
        <is>
          <t>High vibration detected</t>
        </is>
      </c>
    </row>
    <row r="1142" s="17">
      <c r="A1142" s="7" t="n">
        <v>9035</v>
      </c>
      <c r="B1142" s="8" t="n">
        <v>65303.973824</v>
      </c>
      <c r="C1142" s="9" t="n">
        <v>65.303973824</v>
      </c>
      <c r="D1142" s="9" t="n">
        <v>119.88507077</v>
      </c>
      <c r="E1142" s="9" t="n">
        <v>32.38871834</v>
      </c>
      <c r="F1142" s="10" t="n">
        <v>0.1093435543414837</v>
      </c>
      <c r="G1142" s="10" t="n">
        <v>0.362945244113821</v>
      </c>
      <c r="H1142" s="10" t="n">
        <v>0.9331856947052997</v>
      </c>
      <c r="I1142" s="10" t="n">
        <v>0.716343</v>
      </c>
      <c r="J1142" s="5" t="inlineStr">
        <is>
          <t>Transition</t>
        </is>
      </c>
      <c r="K1142" s="11" t="n">
        <v>20.22900468613377</v>
      </c>
      <c r="L1142" s="12" t="n">
        <v>2.13964044488308</v>
      </c>
      <c r="M1142" s="12" t="n">
        <v>3.438541880288874</v>
      </c>
      <c r="N1142" s="12" t="n">
        <v>6.792874128828716</v>
      </c>
      <c r="O1142" s="12" t="n">
        <v>211.1083737937868</v>
      </c>
      <c r="P1142" s="5" t="inlineStr">
        <is>
          <t>Normal</t>
        </is>
      </c>
      <c r="Q1142" s="5" t="inlineStr">
        <is>
          <t>Build</t>
        </is>
      </c>
      <c r="R1142" s="12" t="n">
        <v>0.82</v>
      </c>
      <c r="S1142" s="5" t="inlineStr">
        <is>
          <t>ACCEPTED</t>
        </is>
      </c>
      <c r="T1142" s="5" t="inlineStr">
        <is>
          <t>Normal operation</t>
        </is>
      </c>
    </row>
    <row r="1143" s="17">
      <c r="A1143" s="7" t="n">
        <v>9040</v>
      </c>
      <c r="B1143" s="8" t="n">
        <v>46294.789615</v>
      </c>
      <c r="C1143" s="9" t="n">
        <v>46.294789615</v>
      </c>
      <c r="D1143" s="9" t="n">
        <v>134.18493249</v>
      </c>
      <c r="E1143" s="9" t="n">
        <v>61.26553986</v>
      </c>
      <c r="F1143" s="10" t="n">
        <v>0.07171379748399645</v>
      </c>
      <c r="G1143" s="10" t="n">
        <v>0.07490754202196172</v>
      </c>
      <c r="H1143" s="10" t="n">
        <v>0.9419551039860542</v>
      </c>
      <c r="I1143" s="10" t="n">
        <v>0.459606</v>
      </c>
      <c r="J1143" s="5" t="inlineStr">
        <is>
          <t>Cleaner sand</t>
        </is>
      </c>
      <c r="K1143" s="11" t="n">
        <v>18.40607491668797</v>
      </c>
      <c r="L1143" s="12" t="n">
        <v>1.701805889856862</v>
      </c>
      <c r="M1143" s="12" t="n">
        <v>4.564143433367092</v>
      </c>
      <c r="N1143" s="12" t="n">
        <v>9.743778097420304</v>
      </c>
      <c r="O1143" s="12" t="n">
        <v>235.7745976490135</v>
      </c>
      <c r="P1143" s="5" t="inlineStr">
        <is>
          <t>Normal</t>
        </is>
      </c>
      <c r="Q1143" s="5" t="inlineStr">
        <is>
          <t>Turn Right</t>
        </is>
      </c>
      <c r="R1143" s="12" t="n">
        <v>0.51</v>
      </c>
      <c r="S1143" s="5" t="inlineStr">
        <is>
          <t>REDUCED</t>
        </is>
      </c>
      <c r="T1143" s="5" t="inlineStr">
        <is>
          <t>Normal operation</t>
        </is>
      </c>
    </row>
    <row r="1144" s="17">
      <c r="A1144" s="7" t="n">
        <v>9045</v>
      </c>
      <c r="B1144" s="8" t="n">
        <v>51534.943545</v>
      </c>
      <c r="C1144" s="9" t="n">
        <v>51.534943545</v>
      </c>
      <c r="D1144" s="9" t="n">
        <v>128.80709294</v>
      </c>
      <c r="E1144" s="9" t="n">
        <v>66.46573796</v>
      </c>
      <c r="F1144" s="10" t="n">
        <v>0.06121164727369229</v>
      </c>
      <c r="G1144" s="10" t="n">
        <v>0.05927535718376627</v>
      </c>
      <c r="H1144" s="10" t="n">
        <v>0.9660538874251628</v>
      </c>
      <c r="I1144" s="10" t="n">
        <v>0.197652</v>
      </c>
      <c r="J1144" s="5" t="inlineStr">
        <is>
          <t>Cleaner sand</t>
        </is>
      </c>
      <c r="K1144" s="11" t="n">
        <v>17.84409015245409</v>
      </c>
      <c r="L1144" s="12" t="n">
        <v>1.263949796395946</v>
      </c>
      <c r="M1144" s="12" t="n">
        <v>3.817030549184175</v>
      </c>
      <c r="N1144" s="12" t="n">
        <v>10.09824955693398</v>
      </c>
      <c r="O1144" s="12" t="n">
        <v>231.6737920155335</v>
      </c>
      <c r="P1144" s="5" t="inlineStr">
        <is>
          <t>Normal</t>
        </is>
      </c>
      <c r="Q1144" s="5" t="inlineStr">
        <is>
          <t>Build</t>
        </is>
      </c>
      <c r="R1144" s="12" t="n">
        <v>0.74</v>
      </c>
      <c r="S1144" s="5" t="inlineStr">
        <is>
          <t>ACCEPTED</t>
        </is>
      </c>
      <c r="T1144" s="5" t="inlineStr">
        <is>
          <t>Normal operation</t>
        </is>
      </c>
    </row>
    <row r="1145" s="17">
      <c r="A1145" s="7" t="n">
        <v>9050</v>
      </c>
      <c r="B1145" s="8" t="n">
        <v>56419.550586</v>
      </c>
      <c r="C1145" s="9" t="n">
        <v>56.419550586</v>
      </c>
      <c r="D1145" s="9" t="n">
        <v>107.51915087</v>
      </c>
      <c r="E1145" s="9" t="n">
        <v>43.32533796</v>
      </c>
      <c r="F1145" s="10" t="n">
        <v>0.1054729507734856</v>
      </c>
      <c r="G1145" s="10" t="n">
        <v>0.309202332198294</v>
      </c>
      <c r="H1145" s="10" t="n">
        <v>0.8788795812739499</v>
      </c>
      <c r="I1145" s="10" t="n">
        <v>1.281412</v>
      </c>
      <c r="J1145" s="5" t="inlineStr">
        <is>
          <t>Transition</t>
        </is>
      </c>
      <c r="K1145" s="11" t="n">
        <v>19.01810706679763</v>
      </c>
      <c r="L1145" s="12" t="n">
        <v>1.253082240787283</v>
      </c>
      <c r="M1145" s="12" t="n">
        <v>2.315351111114618</v>
      </c>
      <c r="N1145" s="12" t="n">
        <v>9.670334335301888</v>
      </c>
      <c r="O1145" s="12" t="n">
        <v>241.0278406134196</v>
      </c>
      <c r="P1145" s="5" t="inlineStr">
        <is>
          <t>Normal</t>
        </is>
      </c>
      <c r="Q1145" s="5" t="inlineStr">
        <is>
          <t>Build</t>
        </is>
      </c>
      <c r="R1145" s="12" t="n">
        <v>0.84</v>
      </c>
      <c r="S1145" s="5" t="inlineStr">
        <is>
          <t>ACCEPTED</t>
        </is>
      </c>
      <c r="T1145" s="5" t="inlineStr">
        <is>
          <t>Normal operation</t>
        </is>
      </c>
    </row>
    <row r="1146" s="17">
      <c r="A1146" s="7" t="n">
        <v>9055</v>
      </c>
      <c r="B1146" s="8" t="n">
        <v>34842.490486</v>
      </c>
      <c r="C1146" s="9" t="n">
        <v>34.842490486</v>
      </c>
      <c r="D1146" s="9" t="n">
        <v>123.0565881</v>
      </c>
      <c r="E1146" s="9" t="n">
        <v>42.89187038</v>
      </c>
      <c r="F1146" s="10" t="n">
        <v>0.06532229781312629</v>
      </c>
      <c r="G1146" s="10" t="n">
        <v>0.1280140565736235</v>
      </c>
      <c r="H1146" s="10" t="n">
        <v>0.9562442276390329</v>
      </c>
      <c r="I1146" s="10" t="n">
        <v>0.31621</v>
      </c>
      <c r="J1146" s="5" t="inlineStr">
        <is>
          <t>Cleaner sand</t>
        </is>
      </c>
      <c r="K1146" s="11" t="n">
        <v>14.75097079132667</v>
      </c>
      <c r="L1146" s="12" t="n">
        <v>1.916031911580221</v>
      </c>
      <c r="M1146" s="12" t="n">
        <v>3.106385040970743</v>
      </c>
      <c r="N1146" s="12" t="n">
        <v>11.84820616373103</v>
      </c>
      <c r="O1146" s="12" t="n">
        <v>242.3953600307731</v>
      </c>
      <c r="P1146" s="5" t="inlineStr">
        <is>
          <t>Normal</t>
        </is>
      </c>
      <c r="Q1146" s="5" t="inlineStr">
        <is>
          <t>Hold</t>
        </is>
      </c>
      <c r="R1146" s="12" t="n">
        <v>0.89</v>
      </c>
      <c r="S1146" s="5" t="inlineStr">
        <is>
          <t>ACCEPTED</t>
        </is>
      </c>
      <c r="T1146" s="5" t="inlineStr">
        <is>
          <t>Normal operation</t>
        </is>
      </c>
    </row>
    <row r="1147" s="17">
      <c r="A1147" s="7" t="n">
        <v>9060</v>
      </c>
      <c r="B1147" s="8" t="n">
        <v>49206.530886</v>
      </c>
      <c r="C1147" s="9" t="n">
        <v>49.206530886</v>
      </c>
      <c r="D1147" s="9" t="n">
        <v>124.35867296</v>
      </c>
      <c r="E1147" s="9" t="n">
        <v>36.81734482</v>
      </c>
      <c r="F1147" s="10" t="n">
        <v>0.1136615865940981</v>
      </c>
      <c r="G1147" s="10" t="n">
        <v>0.1494995759665749</v>
      </c>
      <c r="H1147" s="10" t="n">
        <v>0.9330388072181913</v>
      </c>
      <c r="I1147" s="10" t="n">
        <v>0.791266</v>
      </c>
      <c r="J1147" s="5" t="inlineStr">
        <is>
          <t>Cleaner sand</t>
        </is>
      </c>
      <c r="K1147" s="11" t="n">
        <v>17.5814793426866</v>
      </c>
      <c r="L1147" s="12" t="n">
        <v>1.865015128235455</v>
      </c>
      <c r="M1147" s="12" t="n">
        <v>2.519040100809125</v>
      </c>
      <c r="N1147" s="12" t="n">
        <v>10.85627257403478</v>
      </c>
      <c r="O1147" s="12" t="n">
        <v>236.4458168803507</v>
      </c>
      <c r="P1147" s="5" t="inlineStr">
        <is>
          <t>Normal</t>
        </is>
      </c>
      <c r="Q1147" s="5" t="inlineStr">
        <is>
          <t>Turn Right</t>
        </is>
      </c>
      <c r="R1147" s="12" t="n">
        <v>0.66</v>
      </c>
      <c r="S1147" s="5" t="inlineStr">
        <is>
          <t>REDUCED</t>
        </is>
      </c>
      <c r="T1147" s="5" t="inlineStr">
        <is>
          <t>Normal operation</t>
        </is>
      </c>
    </row>
    <row r="1148" s="17">
      <c r="A1148" s="7" t="n">
        <v>9065</v>
      </c>
      <c r="B1148" s="8" t="n">
        <v>60698.944491</v>
      </c>
      <c r="C1148" s="9" t="n">
        <v>60.698944491</v>
      </c>
      <c r="D1148" s="9" t="n">
        <v>110.49192886</v>
      </c>
      <c r="E1148" s="9" t="n">
        <v>35.26167608</v>
      </c>
      <c r="F1148" s="10" t="n">
        <v>0.09267165793799606</v>
      </c>
      <c r="G1148" s="10" t="n">
        <v>0.3785278869893255</v>
      </c>
      <c r="H1148" s="10" t="n">
        <v>0.9263645986529407</v>
      </c>
      <c r="I1148" s="10" t="n">
        <v>0.668387</v>
      </c>
      <c r="J1148" s="5" t="inlineStr">
        <is>
          <t>Transition</t>
        </is>
      </c>
      <c r="K1148" s="11" t="n">
        <v>18.58332861566465</v>
      </c>
      <c r="L1148" s="12" t="n">
        <v>2.34678331054375</v>
      </c>
      <c r="M1148" s="12" t="n">
        <v>2.820263699714681</v>
      </c>
      <c r="N1148" s="12" t="n">
        <v>12.14961626251208</v>
      </c>
      <c r="O1148" s="12" t="n">
        <v>249.4482787400721</v>
      </c>
      <c r="P1148" s="5" t="inlineStr">
        <is>
          <t>Normal</t>
        </is>
      </c>
      <c r="Q1148" s="5" t="inlineStr">
        <is>
          <t>Hold</t>
        </is>
      </c>
      <c r="R1148" s="12" t="n">
        <v>0.89</v>
      </c>
      <c r="S1148" s="5" t="inlineStr">
        <is>
          <t>ACCEPTED</t>
        </is>
      </c>
      <c r="T1148" s="5" t="inlineStr">
        <is>
          <t>Normal operation</t>
        </is>
      </c>
    </row>
    <row r="1149" s="17">
      <c r="A1149" s="7" t="n">
        <v>9070</v>
      </c>
      <c r="B1149" s="8" t="n">
        <v>38040.321347</v>
      </c>
      <c r="C1149" s="9" t="n">
        <v>38.040321347</v>
      </c>
      <c r="D1149" s="9" t="n">
        <v>124.109296</v>
      </c>
      <c r="E1149" s="9" t="n">
        <v>57.3306403</v>
      </c>
      <c r="F1149" s="10" t="n">
        <v>0.03006522768463435</v>
      </c>
      <c r="G1149" s="10" t="n">
        <v>0.2780362007838978</v>
      </c>
      <c r="H1149" s="10" t="n">
        <v>0.9236557570539383</v>
      </c>
      <c r="I1149" s="10" t="n">
        <v>0.254106</v>
      </c>
      <c r="J1149" s="5" t="inlineStr">
        <is>
          <t>Transition</t>
        </is>
      </c>
      <c r="K1149" s="11" t="n">
        <v>14.07214198758234</v>
      </c>
      <c r="L1149" s="12" t="n">
        <v>1.978720545342708</v>
      </c>
      <c r="M1149" s="12" t="n">
        <v>2.766932778459182</v>
      </c>
      <c r="N1149" s="12" t="n">
        <v>10.30402641004989</v>
      </c>
      <c r="O1149" s="12" t="n">
        <v>241.3054085430556</v>
      </c>
      <c r="P1149" s="5" t="inlineStr">
        <is>
          <t>Normal</t>
        </is>
      </c>
      <c r="Q1149" s="5" t="inlineStr">
        <is>
          <t>Hold</t>
        </is>
      </c>
      <c r="R1149" s="12" t="n">
        <v>0.68</v>
      </c>
      <c r="S1149" s="5" t="inlineStr">
        <is>
          <t>REDUCED</t>
        </is>
      </c>
      <c r="T1149" s="5" t="inlineStr">
        <is>
          <t>Normal operation</t>
        </is>
      </c>
    </row>
    <row r="1150" s="17">
      <c r="A1150" s="7" t="n">
        <v>9075</v>
      </c>
      <c r="B1150" s="8" t="n">
        <v>63438.405123</v>
      </c>
      <c r="C1150" s="9" t="n">
        <v>63.438405123</v>
      </c>
      <c r="D1150" s="9" t="n">
        <v>118.18453737</v>
      </c>
      <c r="E1150" s="9" t="n">
        <v>30</v>
      </c>
      <c r="F1150" s="10" t="n">
        <v>0.1089782653270448</v>
      </c>
      <c r="G1150" s="10" t="n">
        <v>0.161555700041542</v>
      </c>
      <c r="H1150" s="10" t="n">
        <v>0.9064299250330411</v>
      </c>
      <c r="I1150" s="10" t="n">
        <v>1.031498</v>
      </c>
      <c r="J1150" s="5" t="inlineStr">
        <is>
          <t>Cleaner sand</t>
        </is>
      </c>
      <c r="K1150" s="11" t="n">
        <v>21.77795482210212</v>
      </c>
      <c r="L1150" s="12" t="n">
        <v>1.1</v>
      </c>
      <c r="M1150" s="12" t="n">
        <v>2.683104020575077</v>
      </c>
      <c r="N1150" s="12" t="n">
        <v>11.94190413126246</v>
      </c>
      <c r="O1150" s="12" t="n">
        <v>271.3153073489487</v>
      </c>
      <c r="P1150" s="5" t="inlineStr">
        <is>
          <t>Normal</t>
        </is>
      </c>
      <c r="Q1150" s="5" t="inlineStr">
        <is>
          <t>Hold</t>
        </is>
      </c>
      <c r="R1150" s="12" t="n">
        <v>0.78</v>
      </c>
      <c r="S1150" s="5" t="inlineStr">
        <is>
          <t>ACCEPTED</t>
        </is>
      </c>
      <c r="T1150" s="5" t="inlineStr">
        <is>
          <t>Normal operation</t>
        </is>
      </c>
    </row>
    <row r="1151" s="17">
      <c r="A1151" s="7" t="n">
        <v>9080</v>
      </c>
      <c r="B1151" s="8" t="n">
        <v>58144.943675</v>
      </c>
      <c r="C1151" s="9" t="n">
        <v>58.144943675</v>
      </c>
      <c r="D1151" s="9" t="n">
        <v>107.95061563</v>
      </c>
      <c r="E1151" s="9" t="n">
        <v>51.60130522</v>
      </c>
      <c r="F1151" s="10" t="n">
        <v>0.0470677982756126</v>
      </c>
      <c r="G1151" s="10" t="n">
        <v>0.2728590943379143</v>
      </c>
      <c r="H1151" s="10" t="n">
        <v>0.962194601556626</v>
      </c>
      <c r="I1151" s="10" t="n">
        <v>0.210276</v>
      </c>
      <c r="J1151" s="5" t="inlineStr">
        <is>
          <t>Transition</t>
        </is>
      </c>
      <c r="K1151" s="11" t="n">
        <v>18.362906369011</v>
      </c>
      <c r="L1151" s="12" t="n">
        <v>2.17545433268423</v>
      </c>
      <c r="M1151" s="12" t="n">
        <v>2.028503029584146</v>
      </c>
      <c r="N1151" s="12" t="n">
        <v>12.98717800838751</v>
      </c>
      <c r="O1151" s="12" t="n">
        <v>247.6374726133724</v>
      </c>
      <c r="P1151" s="5" t="inlineStr">
        <is>
          <t>Normal</t>
        </is>
      </c>
      <c r="Q1151" s="5" t="inlineStr">
        <is>
          <t>Hold</t>
        </is>
      </c>
      <c r="R1151" s="12" t="n">
        <v>0.9399999999999999</v>
      </c>
      <c r="S1151" s="5" t="inlineStr">
        <is>
          <t>ACCEPTED</t>
        </is>
      </c>
      <c r="T1151" s="5" t="inlineStr">
        <is>
          <t>Normal operation</t>
        </is>
      </c>
    </row>
    <row r="1152" s="17">
      <c r="A1152" s="7" t="n">
        <v>9085</v>
      </c>
      <c r="B1152" s="8" t="n">
        <v>42839.903418</v>
      </c>
      <c r="C1152" s="9" t="n">
        <v>42.839903418</v>
      </c>
      <c r="D1152" s="9" t="n">
        <v>134.25465996</v>
      </c>
      <c r="E1152" s="9" t="n">
        <v>44.06933134000001</v>
      </c>
      <c r="F1152" s="10" t="n">
        <v>0.07346164220563356</v>
      </c>
      <c r="G1152" s="10" t="n">
        <v>0.1390289446729142</v>
      </c>
      <c r="H1152" s="10" t="n">
        <v>0.9214457040455648</v>
      </c>
      <c r="I1152" s="10" t="n">
        <v>0.624833</v>
      </c>
      <c r="J1152" s="5" t="inlineStr">
        <is>
          <t>Cleaner sand</t>
        </is>
      </c>
      <c r="K1152" s="11" t="n">
        <v>15.40354746374869</v>
      </c>
      <c r="L1152" s="12" t="n">
        <v>1.170950292615938</v>
      </c>
      <c r="M1152" s="12" t="n">
        <v>2.897876254785449</v>
      </c>
      <c r="N1152" s="12" t="n">
        <v>5.705201484054459</v>
      </c>
      <c r="O1152" s="12" t="n">
        <v>263.0421472903142</v>
      </c>
      <c r="P1152" s="5" t="inlineStr">
        <is>
          <t>Normal</t>
        </is>
      </c>
      <c r="Q1152" s="5" t="inlineStr">
        <is>
          <t>Build</t>
        </is>
      </c>
      <c r="R1152" s="12" t="n">
        <v>0.53</v>
      </c>
      <c r="S1152" s="5" t="inlineStr">
        <is>
          <t>REDUCED</t>
        </is>
      </c>
      <c r="T1152" s="5" t="inlineStr">
        <is>
          <t>Normal operation</t>
        </is>
      </c>
    </row>
  </sheetData>
  <conditionalFormatting sqref="P2:P152">
    <cfRule type="expression" priority="1" dxfId="2">
      <formula>$P2="NORMAL"</formula>
    </cfRule>
    <cfRule type="expression" priority="2" dxfId="1">
      <formula>$P2="CAUTION"</formula>
    </cfRule>
    <cfRule type="expression" priority="3" dxfId="0">
      <formula>$P2="BLOCK"</formula>
    </cfRule>
  </conditionalFormatting>
  <conditionalFormatting sqref="S2:S152">
    <cfRule type="expression" priority="4" dxfId="2">
      <formula>$S2="ACCEPTED"</formula>
    </cfRule>
    <cfRule type="expression" priority="5" dxfId="1">
      <formula>$S2="REDUCED"</formula>
    </cfRule>
    <cfRule type="expression" priority="6" dxfId="0">
      <formula>$S2="BLOCKED"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50" zoomScaleSheetLayoutView="100" workbookViewId="0">
      <selection activeCell="A1" sqref="A1"/>
    </sheetView>
  </sheetViews>
  <sheetFormatPr baseColWidth="8" defaultRowHeight="14.4"/>
  <cols>
    <col width="28" customWidth="1" style="17" min="1" max="1"/>
    <col width="16" customWidth="1" style="17" min="2" max="2"/>
    <col width="6" customWidth="1" style="17" min="3" max="3"/>
    <col width="48" customWidth="1" style="17" min="4" max="4"/>
  </cols>
  <sheetData>
    <row r="1">
      <c r="A1" s="18" t="inlineStr">
        <is>
          <t>Prototype KPI Summary</t>
        </is>
      </c>
    </row>
    <row r="3">
      <c r="A3" s="1" t="inlineStr">
        <is>
          <t>Rows in dataset</t>
        </is>
      </c>
      <c r="B3">
        <f>COUNTA(Dashboard_Data!A:A)-1</f>
        <v/>
      </c>
      <c r="D3" s="13" t="inlineStr">
        <is>
          <t>Suggested demo</t>
        </is>
      </c>
    </row>
    <row r="4">
      <c r="A4" s="1" t="inlineStr">
        <is>
          <t>DLS caution rows (&gt;6 and &lt;=8)</t>
        </is>
      </c>
      <c r="B4">
        <f>COUNTIF(Dashboard_Data!P:P,"CAUTION")</f>
        <v/>
      </c>
      <c r="D4" t="inlineStr">
        <is>
          <t>Show a NORMAL row first, then a CAUTION row, then a BLOCK row.</t>
        </is>
      </c>
    </row>
    <row r="5">
      <c r="A5" s="1" t="inlineStr">
        <is>
          <t>DLS blocked rows (&gt;8)</t>
        </is>
      </c>
      <c r="B5">
        <f>COUNTIF(Dashboard_Data!P:P,"BLOCK")</f>
        <v/>
      </c>
      <c r="D5" t="inlineStr">
        <is>
          <t>For example use rows near depths 3700 ft and 3860+ ft to trigger DLS escalation.</t>
        </is>
      </c>
    </row>
    <row r="6">
      <c r="A6" s="1" t="inlineStr">
        <is>
          <t>Accepted commands</t>
        </is>
      </c>
      <c r="B6">
        <f>COUNTIF(Dashboard_Data!S:S,"ACCEPTED")</f>
        <v/>
      </c>
    </row>
    <row r="7">
      <c r="A7" s="1" t="inlineStr">
        <is>
          <t>Reduced commands</t>
        </is>
      </c>
      <c r="B7">
        <f>COUNTIF(Dashboard_Data!S:S,"REDUCED")</f>
        <v/>
      </c>
    </row>
    <row r="8">
      <c r="A8" s="1" t="inlineStr">
        <is>
          <t>Blocked commands</t>
        </is>
      </c>
      <c r="B8">
        <f>COUNTIF(Dashboard_Data!S:S,"BLOCKED")</f>
        <v/>
      </c>
    </row>
    <row r="9">
      <c r="A9" s="1" t="inlineStr">
        <is>
          <t>Avg confidence</t>
        </is>
      </c>
      <c r="B9" s="14">
        <f>AVERAGE(Dashboard_Data!R:R)</f>
        <v/>
      </c>
    </row>
    <row r="10">
      <c r="A10" s="1" t="inlineStr">
        <is>
          <t>Max DLS</t>
        </is>
      </c>
      <c r="B10" s="14">
        <f>MAX(Dashboard_Data!M:M)</f>
        <v/>
      </c>
    </row>
    <row r="11">
      <c r="A11" s="1" t="inlineStr">
        <is>
          <t>Max vibration</t>
        </is>
      </c>
      <c r="B11">
        <f>MAX(Dashboard_Data!L:L)</f>
        <v/>
      </c>
    </row>
  </sheetData>
  <mergeCells count="1">
    <mergeCell ref="A1:D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topLeftCell="A2" zoomScaleNormal="150" zoomScaleSheetLayoutView="100" workbookViewId="0">
      <selection activeCell="A1" sqref="A1"/>
    </sheetView>
  </sheetViews>
  <sheetFormatPr baseColWidth="8" defaultRowHeight="14.4"/>
  <cols>
    <col width="12" customWidth="1" style="17" min="1" max="1"/>
    <col width="14" customWidth="1" style="17" min="2" max="2"/>
    <col width="12" customWidth="1" style="17" min="3" max="4"/>
    <col width="10" customWidth="1" style="17" min="5" max="7"/>
    <col width="12" customWidth="1" style="17" min="8" max="8"/>
  </cols>
  <sheetData>
    <row r="1">
      <c r="A1" s="15" t="inlineStr">
        <is>
          <t>Depth</t>
        </is>
      </c>
      <c r="B1" s="15" t="inlineStr">
        <is>
          <t>WOB</t>
        </is>
      </c>
      <c r="C1" s="15" t="inlineStr">
        <is>
          <t>SURF_RPM</t>
        </is>
      </c>
      <c r="D1" s="15" t="inlineStr">
        <is>
          <t>ROP_AVG</t>
        </is>
      </c>
      <c r="E1" s="15" t="inlineStr">
        <is>
          <t>PHIF</t>
        </is>
      </c>
      <c r="F1" s="15" t="inlineStr">
        <is>
          <t>VSH</t>
        </is>
      </c>
      <c r="G1" s="15" t="inlineStr">
        <is>
          <t>SW</t>
        </is>
      </c>
      <c r="H1" s="15" t="inlineStr">
        <is>
          <t>KLOGH</t>
        </is>
      </c>
    </row>
    <row r="2">
      <c r="A2" t="n">
        <v>3305</v>
      </c>
      <c r="B2" t="n">
        <v>26217.8639999999</v>
      </c>
      <c r="C2" t="n">
        <v>1.3147203</v>
      </c>
      <c r="D2" t="n">
        <v>0.004088054</v>
      </c>
      <c r="E2" t="n">
        <v>0.08671100549499999</v>
      </c>
      <c r="F2" t="n">
        <v>0.07171879464600001</v>
      </c>
      <c r="G2" t="n">
        <v>1.000000000114</v>
      </c>
      <c r="H2" t="n">
        <v>0.001</v>
      </c>
    </row>
    <row r="3">
      <c r="A3" t="n">
        <v>3310</v>
      </c>
      <c r="B3" t="n">
        <v>83492.29300000001</v>
      </c>
      <c r="C3" t="n">
        <v>1.3286739</v>
      </c>
      <c r="D3" t="n">
        <v>0.005159383</v>
      </c>
      <c r="E3" t="n">
        <v>0.095208497586</v>
      </c>
      <c r="F3" t="n">
        <v>0.116548315173</v>
      </c>
      <c r="G3" t="n">
        <v>1</v>
      </c>
      <c r="H3" t="n">
        <v>0.001</v>
      </c>
    </row>
    <row r="4">
      <c r="A4" t="n">
        <v>3315</v>
      </c>
      <c r="B4" t="n">
        <v>97087.882</v>
      </c>
      <c r="C4" t="n">
        <v>1.4201163</v>
      </c>
      <c r="D4" t="n">
        <v>0.0059714693</v>
      </c>
      <c r="E4" t="n">
        <v>0.061636098298</v>
      </c>
      <c r="F4" t="n">
        <v>0.104283234455</v>
      </c>
      <c r="G4" t="n">
        <v>1</v>
      </c>
      <c r="H4" t="n">
        <v>0.001</v>
      </c>
    </row>
    <row r="5">
      <c r="A5" t="n">
        <v>3320</v>
      </c>
      <c r="B5" t="n">
        <v>54793.206</v>
      </c>
      <c r="C5" t="n">
        <v>1.5939307</v>
      </c>
      <c r="D5" t="n">
        <v>0.0054191089</v>
      </c>
      <c r="E5" t="n">
        <v>0.043497663737</v>
      </c>
      <c r="F5" t="n">
        <v>0.110039811043</v>
      </c>
      <c r="G5" t="n">
        <v>1</v>
      </c>
      <c r="H5" t="n">
        <v>0.001</v>
      </c>
    </row>
    <row r="6">
      <c r="A6" t="n">
        <v>3325</v>
      </c>
      <c r="B6" t="n">
        <v>50301.579</v>
      </c>
      <c r="C6" t="n">
        <v>1.653262</v>
      </c>
      <c r="D6" t="n">
        <v>0.0054352483</v>
      </c>
      <c r="E6" t="n">
        <v>0.035252240772</v>
      </c>
      <c r="F6" t="n">
        <v>0.120807705666</v>
      </c>
      <c r="G6" t="n">
        <v>1</v>
      </c>
      <c r="H6" t="n">
        <v>0.001</v>
      </c>
    </row>
    <row r="7">
      <c r="A7" t="n">
        <v>3330</v>
      </c>
      <c r="B7" t="n">
        <v>56835.194</v>
      </c>
      <c r="C7" t="n">
        <v>1.65745</v>
      </c>
      <c r="D7" t="n">
        <v>0.004738274</v>
      </c>
      <c r="E7" t="n">
        <v>0.015965128094</v>
      </c>
      <c r="F7" t="n">
        <v>0.085564924968</v>
      </c>
      <c r="G7" t="n">
        <v>1</v>
      </c>
      <c r="H7" t="n">
        <v>0.001</v>
      </c>
    </row>
    <row r="8">
      <c r="A8" t="n">
        <v>3335</v>
      </c>
      <c r="B8" t="n">
        <v>37638.028</v>
      </c>
      <c r="C8" t="n">
        <v>2.1392383</v>
      </c>
      <c r="D8" t="n">
        <v>0.008811767200000001</v>
      </c>
      <c r="E8" t="n">
        <v>0.046243123377</v>
      </c>
      <c r="F8" t="n">
        <v>0.109858974537</v>
      </c>
      <c r="G8" t="n">
        <v>1</v>
      </c>
      <c r="H8" t="n">
        <v>0.001</v>
      </c>
    </row>
    <row r="9">
      <c r="A9" t="n">
        <v>3340</v>
      </c>
      <c r="B9" t="n">
        <v>37638.028</v>
      </c>
      <c r="C9" t="n">
        <v>2.1392383</v>
      </c>
      <c r="D9" t="n">
        <v>0.008811767200000001</v>
      </c>
      <c r="E9" t="n">
        <v>0.041236564598</v>
      </c>
      <c r="F9" t="n">
        <v>0.071368258063</v>
      </c>
      <c r="G9" t="n">
        <v>1</v>
      </c>
      <c r="H9" t="n">
        <v>0.001</v>
      </c>
    </row>
    <row r="10">
      <c r="A10" t="n">
        <v>3345</v>
      </c>
      <c r="B10" t="n">
        <v>44564.583</v>
      </c>
      <c r="C10" t="n">
        <v>1.9748064</v>
      </c>
      <c r="D10" t="n">
        <v>0.0084562083</v>
      </c>
      <c r="E10" t="n">
        <v>0.013781888835</v>
      </c>
      <c r="F10" t="n">
        <v>0.09075559903200001</v>
      </c>
      <c r="G10" t="n">
        <v>1</v>
      </c>
      <c r="H10" t="n">
        <v>0.001</v>
      </c>
    </row>
    <row r="11">
      <c r="A11" t="n">
        <v>3350</v>
      </c>
      <c r="B11" t="n">
        <v>60928.6029999999</v>
      </c>
      <c r="C11" t="n">
        <v>1.7357419</v>
      </c>
      <c r="D11" t="n">
        <v>0.0073915492</v>
      </c>
      <c r="E11" t="n">
        <v>0.017082658695</v>
      </c>
      <c r="F11" t="n">
        <v>0.097655747699</v>
      </c>
      <c r="G11" t="n">
        <v>1</v>
      </c>
      <c r="H11" t="n">
        <v>0.001</v>
      </c>
    </row>
    <row r="12">
      <c r="A12" t="n">
        <v>3355</v>
      </c>
      <c r="B12" t="n">
        <v>40202.384</v>
      </c>
      <c r="C12" t="n">
        <v>2.5205151</v>
      </c>
      <c r="D12" t="n">
        <v>0.0067930479</v>
      </c>
      <c r="E12" t="n">
        <v>0.01431600839</v>
      </c>
      <c r="F12" t="n">
        <v>0.089343110867</v>
      </c>
      <c r="G12" t="n">
        <v>1</v>
      </c>
      <c r="H12" t="n">
        <v>0.001</v>
      </c>
    </row>
    <row r="13">
      <c r="A13" t="n">
        <v>3360</v>
      </c>
      <c r="B13" t="n">
        <v>43788.455</v>
      </c>
      <c r="C13" t="n">
        <v>2.5870526</v>
      </c>
      <c r="D13" t="n">
        <v>0.0067808329</v>
      </c>
      <c r="E13" t="n">
        <v>0.05379895882</v>
      </c>
      <c r="F13" t="n">
        <v>0.09655029275</v>
      </c>
      <c r="G13" t="n">
        <v>1</v>
      </c>
      <c r="H13" t="n">
        <v>0.001</v>
      </c>
    </row>
    <row r="14">
      <c r="A14" t="n">
        <v>3365</v>
      </c>
      <c r="B14" t="n">
        <v>44938.123</v>
      </c>
      <c r="C14" t="n">
        <v>2.6299641</v>
      </c>
      <c r="D14" t="n">
        <v>0.0067834211</v>
      </c>
      <c r="E14" t="n">
        <v>0.03779870146</v>
      </c>
      <c r="F14" t="n">
        <v>0.111597018839</v>
      </c>
      <c r="G14" t="n">
        <v>1</v>
      </c>
      <c r="H14" t="n">
        <v>0.001</v>
      </c>
    </row>
    <row r="15">
      <c r="A15" t="n">
        <v>3370</v>
      </c>
      <c r="B15" t="n">
        <v>45959.357</v>
      </c>
      <c r="C15" t="n">
        <v>2.639233</v>
      </c>
      <c r="D15" t="n">
        <v>0.0034027231</v>
      </c>
      <c r="E15" t="n">
        <v>0.03652622573</v>
      </c>
      <c r="F15" t="n">
        <v>0.092511973473</v>
      </c>
      <c r="G15" t="n">
        <v>1</v>
      </c>
      <c r="H15" t="n">
        <v>0.001</v>
      </c>
    </row>
    <row r="16">
      <c r="A16" t="n">
        <v>3375</v>
      </c>
      <c r="B16" t="n">
        <v>27652.132</v>
      </c>
      <c r="C16" t="n">
        <v>2.5934011</v>
      </c>
      <c r="D16" t="n">
        <v>0.0073812824</v>
      </c>
      <c r="E16" t="n">
        <v>0.030479465315</v>
      </c>
      <c r="F16" t="n">
        <v>0.113838982993</v>
      </c>
      <c r="G16" t="n">
        <v>1</v>
      </c>
      <c r="H16" t="n">
        <v>0.001</v>
      </c>
    </row>
    <row r="17">
      <c r="A17" t="n">
        <v>3380</v>
      </c>
      <c r="B17" t="n">
        <v>29439.337</v>
      </c>
      <c r="C17" t="n">
        <v>2.5458528</v>
      </c>
      <c r="D17" t="n">
        <v>0.0073796552</v>
      </c>
      <c r="E17" t="n">
        <v>0.026482121187</v>
      </c>
      <c r="F17" t="n">
        <v>0.08797615942500001</v>
      </c>
      <c r="G17" t="n">
        <v>1</v>
      </c>
      <c r="H17" t="n">
        <v>0.001</v>
      </c>
    </row>
    <row r="18">
      <c r="A18" t="n">
        <v>3390</v>
      </c>
      <c r="B18" t="n">
        <v>51058.513</v>
      </c>
      <c r="C18" t="n">
        <v>2.5862395</v>
      </c>
      <c r="D18" t="n">
        <v>0.0073764058</v>
      </c>
      <c r="E18" t="n">
        <v>0.032047358025</v>
      </c>
      <c r="F18" t="n">
        <v>0.07075210379499999</v>
      </c>
      <c r="G18" t="n">
        <v>1</v>
      </c>
      <c r="H18" t="n">
        <v>0.001</v>
      </c>
    </row>
    <row r="19">
      <c r="A19" t="n">
        <v>3395</v>
      </c>
      <c r="B19" t="n">
        <v>54386.651</v>
      </c>
      <c r="C19" t="n">
        <v>2.5757272</v>
      </c>
      <c r="D19" t="n">
        <v>0.0071235497</v>
      </c>
      <c r="E19" t="n">
        <v>0.024143295786</v>
      </c>
      <c r="F19" t="n">
        <v>0.111945171782</v>
      </c>
      <c r="G19" t="n">
        <v>1</v>
      </c>
      <c r="H19" t="n">
        <v>0.001</v>
      </c>
    </row>
    <row r="20">
      <c r="A20" t="n">
        <v>3400</v>
      </c>
      <c r="B20" t="n">
        <v>42902.5479999999</v>
      </c>
      <c r="C20" t="n">
        <v>2.5644255</v>
      </c>
      <c r="D20" t="n">
        <v>0.0069761735</v>
      </c>
      <c r="E20" t="n">
        <v>0.019745276629</v>
      </c>
      <c r="F20" t="n">
        <v>0.055927879061</v>
      </c>
      <c r="G20" t="n">
        <v>1</v>
      </c>
      <c r="H20" t="n">
        <v>0.001</v>
      </c>
    </row>
    <row r="21">
      <c r="A21" t="n">
        <v>3405</v>
      </c>
      <c r="B21" t="n">
        <v>90190.58900000001</v>
      </c>
      <c r="C21" t="n">
        <v>2.6031916</v>
      </c>
      <c r="D21" t="n">
        <v>0.0067889398</v>
      </c>
      <c r="E21" t="n">
        <v>0.002968187721</v>
      </c>
      <c r="F21" t="n">
        <v>0.064927597862</v>
      </c>
      <c r="G21" t="n">
        <v>1</v>
      </c>
      <c r="H21" t="n">
        <v>0.001</v>
      </c>
    </row>
    <row r="22">
      <c r="A22" t="n">
        <v>3415</v>
      </c>
      <c r="B22" t="n">
        <v>32214.548</v>
      </c>
      <c r="C22" t="n">
        <v>2.6391501</v>
      </c>
      <c r="D22" t="n">
        <v>0.0073838963</v>
      </c>
      <c r="E22" t="n">
        <v>0.036297619616</v>
      </c>
      <c r="F22" t="n">
        <v>0.067104465259</v>
      </c>
      <c r="G22" t="n">
        <v>1</v>
      </c>
      <c r="H22" t="n">
        <v>0.001</v>
      </c>
    </row>
    <row r="23">
      <c r="A23" t="n">
        <v>3420</v>
      </c>
      <c r="B23" t="n">
        <v>47159.142</v>
      </c>
      <c r="C23" t="n">
        <v>2.6165824</v>
      </c>
      <c r="D23" t="n">
        <v>0.0073603439</v>
      </c>
      <c r="E23" t="n">
        <v>0.024594233207</v>
      </c>
      <c r="F23" t="n">
        <v>0.073955891648</v>
      </c>
      <c r="G23" t="n">
        <v>1</v>
      </c>
      <c r="H23" t="n">
        <v>0.001</v>
      </c>
    </row>
    <row r="24">
      <c r="A24" t="n">
        <v>3425</v>
      </c>
      <c r="B24" t="n">
        <v>60347.172</v>
      </c>
      <c r="C24" t="n">
        <v>2.3783772</v>
      </c>
      <c r="D24" t="n">
        <v>0.0067103747</v>
      </c>
      <c r="E24" t="n">
        <v>0.048633772095</v>
      </c>
      <c r="F24" t="n">
        <v>0.08639946915500001</v>
      </c>
      <c r="G24" t="n">
        <v>1</v>
      </c>
      <c r="H24" t="n">
        <v>0.001</v>
      </c>
    </row>
    <row r="25">
      <c r="A25" t="n">
        <v>3430</v>
      </c>
      <c r="B25" t="n">
        <v>47047.4909999999</v>
      </c>
      <c r="C25" t="n">
        <v>1.9995412</v>
      </c>
      <c r="D25" t="n">
        <v>0.0073790049</v>
      </c>
      <c r="E25" t="n">
        <v>0.08748431793899999</v>
      </c>
      <c r="F25" t="n">
        <v>0.091781874889</v>
      </c>
      <c r="G25" t="n">
        <v>1</v>
      </c>
      <c r="H25" t="n">
        <v>0.001</v>
      </c>
    </row>
    <row r="26">
      <c r="A26" t="n">
        <v>3435</v>
      </c>
      <c r="B26" t="n">
        <v>49582.124</v>
      </c>
      <c r="C26" t="n">
        <v>1.99964</v>
      </c>
      <c r="D26" t="n">
        <v>0.0071659379</v>
      </c>
      <c r="E26" t="n">
        <v>0.054966144072</v>
      </c>
      <c r="F26" t="n">
        <v>0.067739423258</v>
      </c>
      <c r="G26" t="n">
        <v>1</v>
      </c>
      <c r="H26" t="n">
        <v>0.001</v>
      </c>
    </row>
    <row r="27">
      <c r="A27" t="n">
        <v>3440</v>
      </c>
      <c r="B27" t="n">
        <v>41336.436</v>
      </c>
      <c r="C27" t="n">
        <v>2.0006842</v>
      </c>
      <c r="D27" t="n">
        <v>0.0067949865</v>
      </c>
      <c r="E27" t="n">
        <v>0.09898508994499999</v>
      </c>
      <c r="F27" t="n">
        <v>0.06706730775600001</v>
      </c>
      <c r="G27" t="n">
        <v>1.007839057113</v>
      </c>
      <c r="H27" t="n">
        <v>0.001</v>
      </c>
    </row>
    <row r="28">
      <c r="A28" t="n">
        <v>3445</v>
      </c>
      <c r="B28" t="n">
        <v>60644.639</v>
      </c>
      <c r="C28" t="n">
        <v>1.9690419</v>
      </c>
      <c r="D28" t="n">
        <v>0.0067825142</v>
      </c>
      <c r="E28" t="n">
        <v>0.078905269547</v>
      </c>
      <c r="F28" t="n">
        <v>0.062588588205</v>
      </c>
      <c r="G28" t="n">
        <v>0.9999918057129999</v>
      </c>
      <c r="H28" t="n">
        <v>0.001</v>
      </c>
    </row>
    <row r="29">
      <c r="A29" t="n">
        <v>3450</v>
      </c>
      <c r="B29" t="n">
        <v>52260.5159999999</v>
      </c>
      <c r="C29" t="n">
        <v>1.9936775</v>
      </c>
      <c r="D29" t="n">
        <v>0.0067877609</v>
      </c>
      <c r="E29" t="n">
        <v>0.095700091611</v>
      </c>
      <c r="F29" t="n">
        <v>0.089433020712</v>
      </c>
      <c r="G29" t="n">
        <v>1</v>
      </c>
      <c r="H29" t="n">
        <v>0.001</v>
      </c>
    </row>
    <row r="30">
      <c r="A30" t="n">
        <v>3455</v>
      </c>
      <c r="B30" t="n">
        <v>21961.0229999999</v>
      </c>
      <c r="C30" t="n">
        <v>1.999962</v>
      </c>
      <c r="D30" t="n">
        <v>0.0073662375</v>
      </c>
      <c r="E30" t="n">
        <v>0.094331718376</v>
      </c>
      <c r="F30" t="n">
        <v>0.102332502234</v>
      </c>
      <c r="G30" t="n">
        <v>1</v>
      </c>
      <c r="H30" t="n">
        <v>0.001</v>
      </c>
    </row>
    <row r="31">
      <c r="A31" t="n">
        <v>3460</v>
      </c>
      <c r="B31" t="n">
        <v>25584.316</v>
      </c>
      <c r="C31" t="n">
        <v>2.0026298</v>
      </c>
      <c r="D31" t="n">
        <v>0.0073647377</v>
      </c>
      <c r="E31" t="n">
        <v>0.087120268637</v>
      </c>
      <c r="F31" t="n">
        <v>0.124620504756</v>
      </c>
      <c r="G31" t="n">
        <v>1</v>
      </c>
      <c r="H31" t="n">
        <v>0.001</v>
      </c>
    </row>
    <row r="32">
      <c r="A32" t="n">
        <v>3465</v>
      </c>
      <c r="B32" t="n">
        <v>19615.561</v>
      </c>
      <c r="C32" t="n">
        <v>1.9985111</v>
      </c>
      <c r="D32" t="n">
        <v>0.0073849519</v>
      </c>
      <c r="E32" t="n">
        <v>0.123971971047</v>
      </c>
      <c r="F32" t="n">
        <v>0.082058336892</v>
      </c>
      <c r="G32" t="n">
        <v>1</v>
      </c>
      <c r="H32" t="n">
        <v>0.001</v>
      </c>
    </row>
    <row r="33">
      <c r="A33" t="n">
        <v>3470</v>
      </c>
      <c r="B33" t="n">
        <v>46578.191</v>
      </c>
      <c r="C33" t="n">
        <v>1.9961233</v>
      </c>
      <c r="D33" t="n">
        <v>0.0073622672</v>
      </c>
      <c r="E33" t="n">
        <v>0.105504189311</v>
      </c>
      <c r="F33" t="n">
        <v>0.103100923089</v>
      </c>
      <c r="G33" t="n">
        <v>1</v>
      </c>
      <c r="H33" t="n">
        <v>0.001</v>
      </c>
    </row>
    <row r="34">
      <c r="A34" t="n">
        <v>3475</v>
      </c>
      <c r="B34" t="n">
        <v>43748.485</v>
      </c>
      <c r="C34" t="n">
        <v>2.0013828</v>
      </c>
      <c r="D34" t="n">
        <v>0.0029692832</v>
      </c>
      <c r="E34" t="n">
        <v>0.103983227376</v>
      </c>
      <c r="F34" t="n">
        <v>0.08059694416099999</v>
      </c>
      <c r="G34" t="n">
        <v>1</v>
      </c>
      <c r="H34" t="n">
        <v>0.001</v>
      </c>
    </row>
    <row r="35">
      <c r="A35" t="n">
        <v>3480</v>
      </c>
      <c r="B35" t="n">
        <v>31236.811</v>
      </c>
      <c r="C35" t="n">
        <v>1.9993623</v>
      </c>
      <c r="D35" t="n">
        <v>0.0027096241</v>
      </c>
      <c r="E35" t="n">
        <v>0.086571257493</v>
      </c>
      <c r="F35" t="n">
        <v>0.13969478517</v>
      </c>
      <c r="G35" t="n">
        <v>1</v>
      </c>
      <c r="H35" t="n">
        <v>0.001</v>
      </c>
    </row>
    <row r="36">
      <c r="A36" t="n">
        <v>3485</v>
      </c>
      <c r="B36" t="n">
        <v>30930.061</v>
      </c>
      <c r="C36" t="n">
        <v>2.0007435</v>
      </c>
      <c r="D36" t="n">
        <v>0.0027175196</v>
      </c>
      <c r="E36" t="n">
        <v>0.086426790197</v>
      </c>
      <c r="F36" t="n">
        <v>0.114576758038</v>
      </c>
      <c r="G36" t="n">
        <v>1</v>
      </c>
      <c r="H36" t="n">
        <v>0.001</v>
      </c>
    </row>
    <row r="37">
      <c r="A37" t="n">
        <v>3490</v>
      </c>
      <c r="B37" t="n">
        <v>28597.029</v>
      </c>
      <c r="C37" t="n">
        <v>1.999536</v>
      </c>
      <c r="D37" t="n">
        <v>0.002717936</v>
      </c>
      <c r="E37" t="n">
        <v>0.090819492345</v>
      </c>
      <c r="F37" t="n">
        <v>0.108599717223</v>
      </c>
      <c r="G37" t="n">
        <v>1</v>
      </c>
      <c r="H37" t="n">
        <v>0.001</v>
      </c>
    </row>
    <row r="38">
      <c r="A38" t="n">
        <v>3495</v>
      </c>
      <c r="B38" t="n">
        <v>17397.72</v>
      </c>
      <c r="C38" t="n">
        <v>1.9998483</v>
      </c>
      <c r="D38" t="n">
        <v>0.0029773611</v>
      </c>
      <c r="E38" t="n">
        <v>0.06410714533</v>
      </c>
      <c r="F38" t="n">
        <v>0.128194534222</v>
      </c>
      <c r="G38" t="n">
        <v>1</v>
      </c>
      <c r="H38" t="n">
        <v>0.001</v>
      </c>
    </row>
    <row r="39">
      <c r="A39" t="n">
        <v>3500</v>
      </c>
      <c r="B39" t="n">
        <v>16961.916</v>
      </c>
      <c r="C39" t="n">
        <v>2.000243</v>
      </c>
      <c r="D39" t="n">
        <v>0.0058303925</v>
      </c>
      <c r="E39" t="n">
        <v>0.037509364914</v>
      </c>
      <c r="F39" t="n">
        <v>0.116320426281</v>
      </c>
      <c r="G39" t="n">
        <v>1</v>
      </c>
      <c r="H39" t="n">
        <v>0.001</v>
      </c>
    </row>
    <row r="40">
      <c r="A40" t="n">
        <v>3505</v>
      </c>
      <c r="B40" t="n">
        <v>27492.81</v>
      </c>
      <c r="C40" t="n">
        <v>1.9988978</v>
      </c>
      <c r="D40" t="n">
        <v>0.0073725692</v>
      </c>
      <c r="E40" t="n">
        <v>0.07440895683</v>
      </c>
      <c r="F40" t="n">
        <v>0.144790128014</v>
      </c>
      <c r="G40" t="n">
        <v>1.000007899199</v>
      </c>
      <c r="H40" t="n">
        <v>0.001</v>
      </c>
    </row>
    <row r="41">
      <c r="A41" t="n">
        <v>3510</v>
      </c>
      <c r="B41" t="n">
        <v>36827.998</v>
      </c>
      <c r="C41" t="n">
        <v>1.9994763</v>
      </c>
      <c r="D41" t="n">
        <v>0.0073928129</v>
      </c>
      <c r="E41" t="n">
        <v>0.09872456276</v>
      </c>
      <c r="F41" t="n">
        <v>0.094706889803</v>
      </c>
      <c r="G41" t="n">
        <v>1</v>
      </c>
      <c r="H41" t="n">
        <v>0.001</v>
      </c>
    </row>
    <row r="42">
      <c r="A42" t="n">
        <v>3515</v>
      </c>
      <c r="B42" t="n">
        <v>38973.617</v>
      </c>
      <c r="C42" t="n">
        <v>2.0011975</v>
      </c>
      <c r="D42" t="n">
        <v>0.0073702388</v>
      </c>
      <c r="E42" t="n">
        <v>0.086612015051</v>
      </c>
      <c r="F42" t="n">
        <v>0.108479018179</v>
      </c>
      <c r="G42" t="n">
        <v>1</v>
      </c>
      <c r="H42" t="n">
        <v>0.001</v>
      </c>
    </row>
    <row r="43">
      <c r="A43" t="n">
        <v>3520</v>
      </c>
      <c r="B43" t="n">
        <v>42748.817</v>
      </c>
      <c r="C43" t="n">
        <v>2.0015654</v>
      </c>
      <c r="D43" t="n">
        <v>0.0067953361</v>
      </c>
      <c r="E43" t="n">
        <v>0.060490959467</v>
      </c>
      <c r="F43" t="n">
        <v>0.193100160594</v>
      </c>
      <c r="G43" t="n">
        <v>1</v>
      </c>
      <c r="H43" t="n">
        <v>0.001</v>
      </c>
    </row>
    <row r="44">
      <c r="A44" t="n">
        <v>3525</v>
      </c>
      <c r="B44" t="n">
        <v>49323.529</v>
      </c>
      <c r="C44" t="n">
        <v>2.0011172</v>
      </c>
      <c r="D44" t="n">
        <v>0.0068002068</v>
      </c>
      <c r="E44" t="n">
        <v>0.077220248426</v>
      </c>
      <c r="F44" t="n">
        <v>0.153450211869</v>
      </c>
      <c r="G44" t="n">
        <v>1</v>
      </c>
      <c r="H44" t="n">
        <v>0.001</v>
      </c>
    </row>
    <row r="45">
      <c r="A45" t="n">
        <v>3530</v>
      </c>
      <c r="B45" t="n">
        <v>52143.3529999999</v>
      </c>
      <c r="C45" t="n">
        <v>2.0002998</v>
      </c>
      <c r="D45" t="n">
        <v>0.0067872396</v>
      </c>
      <c r="E45" t="n">
        <v>0.075330780257</v>
      </c>
      <c r="F45" t="n">
        <v>0.124592334294</v>
      </c>
      <c r="G45" t="n">
        <v>1</v>
      </c>
      <c r="H45" t="n">
        <v>0.001</v>
      </c>
    </row>
    <row r="46">
      <c r="A46" t="n">
        <v>3535</v>
      </c>
      <c r="B46" t="n">
        <v>47116.2009999999</v>
      </c>
      <c r="C46" t="n">
        <v>2.0001419</v>
      </c>
      <c r="D46" t="n">
        <v>0.0074238726</v>
      </c>
      <c r="E46" t="n">
        <v>0.050825771786</v>
      </c>
      <c r="F46" t="n">
        <v>0.085855181253</v>
      </c>
      <c r="G46" t="n">
        <v>1</v>
      </c>
      <c r="H46" t="n">
        <v>0.001</v>
      </c>
    </row>
    <row r="47">
      <c r="A47" t="n">
        <v>3540</v>
      </c>
      <c r="B47" t="n">
        <v>45256.052</v>
      </c>
      <c r="C47" t="n">
        <v>2.0000451</v>
      </c>
      <c r="D47" t="n">
        <v>0.0088215706</v>
      </c>
      <c r="E47" t="n">
        <v>0.066195214452</v>
      </c>
      <c r="F47" t="n">
        <v>0.096113033571</v>
      </c>
      <c r="G47" t="n">
        <v>1</v>
      </c>
      <c r="H47" t="n">
        <v>0.001</v>
      </c>
    </row>
    <row r="48">
      <c r="A48" t="n">
        <v>3545</v>
      </c>
      <c r="B48" t="n">
        <v>24169.525</v>
      </c>
      <c r="C48" t="n">
        <v>1.9989966</v>
      </c>
      <c r="D48" t="n">
        <v>0.0088187939</v>
      </c>
      <c r="E48" t="n">
        <v>0.093641539309</v>
      </c>
      <c r="F48" t="n">
        <v>0.074818295406</v>
      </c>
      <c r="G48" t="n">
        <v>0.999958511136</v>
      </c>
      <c r="H48" t="n">
        <v>0.001</v>
      </c>
    </row>
    <row r="49">
      <c r="A49" t="n">
        <v>3550</v>
      </c>
      <c r="B49" t="n">
        <v>25216.4179999999</v>
      </c>
      <c r="C49" t="n">
        <v>2.0021794</v>
      </c>
      <c r="D49" t="n">
        <v>0.008813248500000001</v>
      </c>
      <c r="E49" t="n">
        <v>0.066022211957</v>
      </c>
      <c r="F49" t="n">
        <v>0.151842741668</v>
      </c>
      <c r="G49" t="n">
        <v>1</v>
      </c>
      <c r="H49" t="n">
        <v>0.001</v>
      </c>
    </row>
    <row r="50">
      <c r="A50" t="n">
        <v>3555</v>
      </c>
      <c r="B50" t="n">
        <v>35156.044</v>
      </c>
      <c r="C50" t="n">
        <v>1.9968011</v>
      </c>
      <c r="D50" t="n">
        <v>0.008807715299999999</v>
      </c>
      <c r="E50" t="n">
        <v>0.070435349132</v>
      </c>
      <c r="F50" t="n">
        <v>0.183632666835</v>
      </c>
      <c r="G50" t="n">
        <v>1</v>
      </c>
      <c r="H50" t="n">
        <v>0.001</v>
      </c>
    </row>
    <row r="51">
      <c r="A51" t="n">
        <v>3560</v>
      </c>
      <c r="B51" t="n">
        <v>38720.898</v>
      </c>
      <c r="C51" t="n">
        <v>2.0000476</v>
      </c>
      <c r="D51" t="n">
        <v>0.0081707641</v>
      </c>
      <c r="E51" t="n">
        <v>0.057836556677</v>
      </c>
      <c r="F51" t="n">
        <v>0.155624902502</v>
      </c>
      <c r="G51" t="n">
        <v>1</v>
      </c>
      <c r="H51" t="n">
        <v>0.001</v>
      </c>
    </row>
    <row r="52">
      <c r="A52" t="n">
        <v>3565</v>
      </c>
      <c r="B52" t="n">
        <v>50070.0629999999</v>
      </c>
      <c r="C52" t="n">
        <v>2.0011927</v>
      </c>
      <c r="D52" t="n">
        <v>0.008164484099999999</v>
      </c>
      <c r="E52" t="n">
        <v>0.046429117834</v>
      </c>
      <c r="F52" t="n">
        <v>0.241540435037</v>
      </c>
      <c r="G52" t="n">
        <v>0.995120274299</v>
      </c>
      <c r="H52" t="n">
        <v>0.001</v>
      </c>
    </row>
    <row r="53">
      <c r="A53" t="n">
        <v>3580</v>
      </c>
      <c r="B53" t="n">
        <v>35255.786</v>
      </c>
      <c r="C53" t="n">
        <v>1.9994589</v>
      </c>
      <c r="D53" t="n">
        <v>0.0088201802</v>
      </c>
      <c r="E53" t="n">
        <v>0.050159946556</v>
      </c>
      <c r="F53" t="n">
        <v>0.208637022452</v>
      </c>
      <c r="G53" t="n">
        <v>1.000395106382</v>
      </c>
      <c r="H53" t="n">
        <v>0.001</v>
      </c>
    </row>
    <row r="54">
      <c r="A54" t="n">
        <v>3585</v>
      </c>
      <c r="B54" t="n">
        <v>40459.226</v>
      </c>
      <c r="C54" t="n">
        <v>2.0012029</v>
      </c>
      <c r="D54" t="n">
        <v>0.0088156838</v>
      </c>
      <c r="E54" t="n">
        <v>0.054152831749</v>
      </c>
      <c r="F54" t="n">
        <v>0.098029687374</v>
      </c>
      <c r="G54" t="n">
        <v>1.000000409863</v>
      </c>
      <c r="H54" t="n">
        <v>0.001</v>
      </c>
    </row>
    <row r="55">
      <c r="A55" t="n">
        <v>3590</v>
      </c>
      <c r="B55" t="n">
        <v>53818.568</v>
      </c>
      <c r="C55" t="n">
        <v>1.9967973</v>
      </c>
      <c r="D55" t="n">
        <v>0.008730971400000001</v>
      </c>
      <c r="E55" t="n">
        <v>0.041167096551</v>
      </c>
      <c r="F55" t="n">
        <v>0.212177893669</v>
      </c>
      <c r="G55" t="n">
        <v>1</v>
      </c>
      <c r="H55" t="n">
        <v>0.001</v>
      </c>
    </row>
    <row r="56">
      <c r="A56" t="n">
        <v>3595</v>
      </c>
      <c r="B56" t="n">
        <v>47348.517</v>
      </c>
      <c r="C56" t="n">
        <v>1.9992992</v>
      </c>
      <c r="D56" t="n">
        <v>0.005835064</v>
      </c>
      <c r="E56" t="n">
        <v>0.038702673856</v>
      </c>
      <c r="F56" t="n">
        <v>0.07451968459900001</v>
      </c>
      <c r="G56" t="n">
        <v>1</v>
      </c>
      <c r="H56" t="n">
        <v>0.001</v>
      </c>
    </row>
    <row r="57">
      <c r="A57" t="n">
        <v>3600</v>
      </c>
      <c r="B57" t="n">
        <v>47973.155</v>
      </c>
      <c r="C57" t="n">
        <v>1.9991181</v>
      </c>
      <c r="D57" t="n">
        <v>0.0062784175</v>
      </c>
      <c r="E57" t="n">
        <v>0.025062359006</v>
      </c>
      <c r="F57" t="n">
        <v>0.049672503374</v>
      </c>
      <c r="G57" t="n">
        <v>1</v>
      </c>
      <c r="H57" t="n">
        <v>0.001</v>
      </c>
    </row>
    <row r="58">
      <c r="A58" t="n">
        <v>3605</v>
      </c>
      <c r="B58" t="n">
        <v>57163.252</v>
      </c>
      <c r="C58" t="n">
        <v>2.0001232</v>
      </c>
      <c r="D58" t="n">
        <v>0.0067899</v>
      </c>
      <c r="E58" t="n">
        <v>0.03255305646</v>
      </c>
      <c r="F58" t="n">
        <v>0.053979295995</v>
      </c>
      <c r="G58" t="n">
        <v>1</v>
      </c>
      <c r="H58" t="n">
        <v>0.001</v>
      </c>
    </row>
    <row r="59">
      <c r="A59" t="n">
        <v>3610</v>
      </c>
      <c r="B59" t="n">
        <v>54784.334</v>
      </c>
      <c r="C59" t="n">
        <v>1.998629</v>
      </c>
      <c r="D59" t="n">
        <v>0.0075754587</v>
      </c>
      <c r="E59" t="n">
        <v>0.021621591034</v>
      </c>
      <c r="F59" t="n">
        <v>0.049450714804</v>
      </c>
      <c r="G59" t="n">
        <v>1</v>
      </c>
      <c r="H59" t="n">
        <v>0.001</v>
      </c>
    </row>
    <row r="60">
      <c r="A60" t="n">
        <v>3615</v>
      </c>
      <c r="B60" t="n">
        <v>31588.0589999999</v>
      </c>
      <c r="C60" t="n">
        <v>1.9987412</v>
      </c>
      <c r="D60" t="n">
        <v>0.008754619599999999</v>
      </c>
      <c r="E60" t="n">
        <v>0.037590961382</v>
      </c>
      <c r="F60" t="n">
        <v>0.360765948392</v>
      </c>
      <c r="G60" t="n">
        <v>1</v>
      </c>
      <c r="H60" t="n">
        <v>0.001</v>
      </c>
    </row>
    <row r="61">
      <c r="A61" t="n">
        <v>3620</v>
      </c>
      <c r="B61" t="n">
        <v>26071.437</v>
      </c>
      <c r="C61" t="n">
        <v>1.9990087</v>
      </c>
      <c r="D61" t="n">
        <v>0.0089130362</v>
      </c>
      <c r="E61" t="n">
        <v>0.056720140028</v>
      </c>
      <c r="F61" t="n">
        <v>0.208865467155</v>
      </c>
      <c r="G61" t="n">
        <v>0.999999999969</v>
      </c>
      <c r="H61" t="n">
        <v>0.001</v>
      </c>
    </row>
    <row r="62">
      <c r="A62" t="n">
        <v>3625</v>
      </c>
      <c r="B62" t="n">
        <v>17368.556</v>
      </c>
      <c r="C62" t="n">
        <v>2.0012328</v>
      </c>
      <c r="D62" t="n">
        <v>0.0089277279</v>
      </c>
      <c r="E62" t="n">
        <v>0.042520075677</v>
      </c>
      <c r="F62" t="n">
        <v>0.191015705684</v>
      </c>
      <c r="G62" t="n">
        <v>0.999533422712</v>
      </c>
      <c r="H62" t="n">
        <v>0.001</v>
      </c>
    </row>
    <row r="63">
      <c r="A63" t="n">
        <v>3630</v>
      </c>
      <c r="B63" t="n">
        <v>35515.373</v>
      </c>
      <c r="C63" t="n">
        <v>2.0006316</v>
      </c>
      <c r="D63" t="n">
        <v>0.008823134700000001</v>
      </c>
      <c r="E63" t="n">
        <v>0.005167866387</v>
      </c>
      <c r="F63" t="n">
        <v>0.163397118935</v>
      </c>
      <c r="G63" t="n">
        <v>1</v>
      </c>
      <c r="H63" t="n">
        <v>0.001</v>
      </c>
    </row>
    <row r="64">
      <c r="A64" t="n">
        <v>3635</v>
      </c>
      <c r="B64" t="n">
        <v>37465.439</v>
      </c>
      <c r="C64" t="n">
        <v>1.9984886</v>
      </c>
      <c r="D64" t="n">
        <v>0.0088198775</v>
      </c>
      <c r="E64" t="n">
        <v>0.027181720221</v>
      </c>
      <c r="F64" t="n">
        <v>0.176867886474</v>
      </c>
      <c r="G64" t="n">
        <v>1</v>
      </c>
      <c r="H64" t="n">
        <v>0.001</v>
      </c>
    </row>
    <row r="65">
      <c r="A65" t="n">
        <v>3640</v>
      </c>
      <c r="B65" t="n">
        <v>39125.127</v>
      </c>
      <c r="C65" t="n">
        <v>1.9996975</v>
      </c>
      <c r="D65" t="n">
        <v>0.0080823926</v>
      </c>
      <c r="E65" t="n">
        <v>0.04760377155</v>
      </c>
      <c r="F65" t="n">
        <v>0.224023103968</v>
      </c>
      <c r="G65" t="n">
        <v>1</v>
      </c>
      <c r="H65" t="n">
        <v>0.001</v>
      </c>
    </row>
    <row r="66">
      <c r="A66" t="n">
        <v>3645</v>
      </c>
      <c r="B66" t="n">
        <v>60931.909</v>
      </c>
      <c r="C66" t="n">
        <v>2.0001934</v>
      </c>
      <c r="D66" t="n">
        <v>0.007944746900000001</v>
      </c>
      <c r="E66" t="n">
        <v>0.026774235755</v>
      </c>
      <c r="F66" t="n">
        <v>0.155633053419</v>
      </c>
      <c r="G66" t="n">
        <v>1</v>
      </c>
      <c r="H66" t="n">
        <v>0.001</v>
      </c>
    </row>
    <row r="67">
      <c r="A67" t="n">
        <v>3650</v>
      </c>
      <c r="B67" t="n">
        <v>51585.1859999999</v>
      </c>
      <c r="C67" t="n">
        <v>2.000514</v>
      </c>
      <c r="D67" t="n">
        <v>0.008765452300000001</v>
      </c>
      <c r="E67" t="n">
        <v>0.106339428797</v>
      </c>
      <c r="F67" t="n">
        <v>0.625479086539</v>
      </c>
      <c r="G67" t="n">
        <v>1</v>
      </c>
      <c r="H67" t="n">
        <v>0.001</v>
      </c>
    </row>
    <row r="68">
      <c r="A68" t="n">
        <v>3655</v>
      </c>
      <c r="B68" t="n">
        <v>36926.625</v>
      </c>
      <c r="C68" t="n">
        <v>1.9974083</v>
      </c>
      <c r="D68" t="n">
        <v>0.0088271315</v>
      </c>
      <c r="E68" t="n">
        <v>0.044834783757</v>
      </c>
      <c r="F68" t="n">
        <v>0.387715598531</v>
      </c>
      <c r="G68" t="n">
        <v>1</v>
      </c>
      <c r="H68" t="n">
        <v>0.001</v>
      </c>
    </row>
    <row r="69">
      <c r="A69" t="n">
        <v>3660</v>
      </c>
      <c r="B69" t="n">
        <v>31738.087</v>
      </c>
      <c r="C69" t="n">
        <v>2.0004952</v>
      </c>
      <c r="D69" t="n">
        <v>0.0088243516</v>
      </c>
      <c r="E69" t="n">
        <v>0.044974525777</v>
      </c>
      <c r="F69" t="n">
        <v>0.234647717171</v>
      </c>
      <c r="G69" t="n">
        <v>1</v>
      </c>
      <c r="H69" t="n">
        <v>0.001</v>
      </c>
    </row>
    <row r="70">
      <c r="A70" t="n">
        <v>3665</v>
      </c>
      <c r="B70" t="n">
        <v>48944.501</v>
      </c>
      <c r="C70" t="n">
        <v>2.0000077</v>
      </c>
      <c r="D70" t="n">
        <v>0.0088040987</v>
      </c>
      <c r="E70" t="n">
        <v>0.040471388563</v>
      </c>
      <c r="F70" t="n">
        <v>0.262833372637</v>
      </c>
      <c r="G70" t="n">
        <v>1</v>
      </c>
      <c r="H70" t="n">
        <v>0.001</v>
      </c>
    </row>
    <row r="71">
      <c r="A71" t="n">
        <v>3670</v>
      </c>
      <c r="B71" t="n">
        <v>55795.577</v>
      </c>
      <c r="C71" t="n">
        <v>1.9993536</v>
      </c>
      <c r="D71" t="n">
        <v>0.008816038300000001</v>
      </c>
      <c r="E71" t="n">
        <v>0.055925293413</v>
      </c>
      <c r="F71" t="n">
        <v>0.346865857672</v>
      </c>
      <c r="G71" t="n">
        <v>1</v>
      </c>
      <c r="H71" t="n">
        <v>0.001</v>
      </c>
    </row>
    <row r="72">
      <c r="A72" t="n">
        <v>3675</v>
      </c>
      <c r="B72" t="n">
        <v>48287.015</v>
      </c>
      <c r="C72" t="n">
        <v>2.0001456</v>
      </c>
      <c r="D72" t="n">
        <v>0.0088241207</v>
      </c>
      <c r="E72" t="n">
        <v>0.05506627791</v>
      </c>
      <c r="F72" t="n">
        <v>0.361096590563</v>
      </c>
      <c r="G72" t="n">
        <v>1</v>
      </c>
      <c r="H72" t="n">
        <v>0.001</v>
      </c>
    </row>
    <row r="73">
      <c r="A73" t="n">
        <v>3680</v>
      </c>
      <c r="B73" t="n">
        <v>44576.612</v>
      </c>
      <c r="C73" t="n">
        <v>2.0006543</v>
      </c>
      <c r="D73" t="n">
        <v>0.008157174</v>
      </c>
      <c r="E73" t="n">
        <v>0.033129444601</v>
      </c>
      <c r="F73" t="n">
        <v>0.342980277824</v>
      </c>
      <c r="G73" t="n">
        <v>1</v>
      </c>
      <c r="H73" t="n">
        <v>0.001</v>
      </c>
    </row>
    <row r="74">
      <c r="A74" t="n">
        <v>3685</v>
      </c>
      <c r="B74" t="n">
        <v>34623.502</v>
      </c>
      <c r="C74" t="n">
        <v>2.0000769</v>
      </c>
      <c r="D74" t="n">
        <v>0.0081621552</v>
      </c>
      <c r="E74" t="n">
        <v>0.058048283855</v>
      </c>
      <c r="F74" t="n">
        <v>0.390985516925</v>
      </c>
      <c r="G74" t="n">
        <v>1</v>
      </c>
      <c r="H74" t="n">
        <v>0.001</v>
      </c>
    </row>
    <row r="75">
      <c r="A75" t="n">
        <v>3690</v>
      </c>
      <c r="B75" t="n">
        <v>37186.386</v>
      </c>
      <c r="C75" t="n">
        <v>2.0010945</v>
      </c>
      <c r="D75" t="n">
        <v>0.0081012193</v>
      </c>
      <c r="E75" t="n">
        <v>0.031583966514</v>
      </c>
      <c r="F75" t="n">
        <v>0.226502680961</v>
      </c>
      <c r="G75" t="n">
        <v>1</v>
      </c>
      <c r="H75" t="n">
        <v>0.001</v>
      </c>
    </row>
    <row r="76">
      <c r="A76" t="n">
        <v>3695</v>
      </c>
      <c r="B76" t="n">
        <v>46500.937</v>
      </c>
      <c r="C76" t="n">
        <v>2.0009014</v>
      </c>
      <c r="D76" t="n">
        <v>0.008806542800000001</v>
      </c>
      <c r="E76" t="n">
        <v>0.025940354059</v>
      </c>
      <c r="F76" t="n">
        <v>0.163647581354</v>
      </c>
      <c r="G76" t="n">
        <v>1</v>
      </c>
      <c r="H76" t="n">
        <v>0.001</v>
      </c>
    </row>
    <row r="77">
      <c r="A77" t="n">
        <v>3700</v>
      </c>
      <c r="B77" t="n">
        <v>29632.597</v>
      </c>
      <c r="C77" t="n">
        <v>2.0003736</v>
      </c>
      <c r="D77" t="n">
        <v>0.0087289176</v>
      </c>
      <c r="E77" t="n">
        <v>0.038539254571</v>
      </c>
      <c r="F77" t="n">
        <v>0.365891609346</v>
      </c>
      <c r="G77" t="n">
        <v>1</v>
      </c>
      <c r="H77" t="n">
        <v>0.001</v>
      </c>
    </row>
    <row r="78">
      <c r="A78" t="n">
        <v>3705</v>
      </c>
      <c r="B78" t="n">
        <v>40381.839</v>
      </c>
      <c r="C78" t="n">
        <v>1.9999024</v>
      </c>
      <c r="D78" t="n">
        <v>0.009479080799999999</v>
      </c>
      <c r="E78" t="n">
        <v>0.042935350619</v>
      </c>
      <c r="F78" t="n">
        <v>0.360160648843</v>
      </c>
      <c r="G78" t="n">
        <v>1</v>
      </c>
      <c r="H78" t="n">
        <v>0.001</v>
      </c>
    </row>
    <row r="79">
      <c r="A79" t="n">
        <v>3710</v>
      </c>
      <c r="B79" t="n">
        <v>44243.48</v>
      </c>
      <c r="C79" t="n">
        <v>2.0000417</v>
      </c>
      <c r="D79" t="n">
        <v>0.009073994199999999</v>
      </c>
      <c r="E79" t="n">
        <v>0.028845580434</v>
      </c>
      <c r="F79" t="n">
        <v>0.26786262152</v>
      </c>
      <c r="G79" t="n">
        <v>1</v>
      </c>
      <c r="H79" t="n">
        <v>0.001</v>
      </c>
    </row>
    <row r="80">
      <c r="A80" t="n">
        <v>3715</v>
      </c>
      <c r="B80" t="n">
        <v>39579.177</v>
      </c>
      <c r="C80" t="n">
        <v>2.0015359</v>
      </c>
      <c r="D80" t="n">
        <v>0.0091899641</v>
      </c>
      <c r="E80" t="n">
        <v>0.036167906075</v>
      </c>
      <c r="F80" t="n">
        <v>0.294875363506</v>
      </c>
      <c r="G80" t="n">
        <v>1</v>
      </c>
      <c r="H80" t="n">
        <v>0.001</v>
      </c>
    </row>
    <row r="81">
      <c r="A81" t="n">
        <v>3720</v>
      </c>
      <c r="B81" t="n">
        <v>52606.802</v>
      </c>
      <c r="C81" t="n">
        <v>1.9975223</v>
      </c>
      <c r="D81" t="n">
        <v>0.008370144499999999</v>
      </c>
      <c r="E81" t="n">
        <v>0.032926237718</v>
      </c>
      <c r="F81" t="n">
        <v>0.290502779728</v>
      </c>
      <c r="G81" t="n">
        <v>1</v>
      </c>
      <c r="H81" t="n">
        <v>0.001</v>
      </c>
    </row>
    <row r="82">
      <c r="A82" t="n">
        <v>3725</v>
      </c>
      <c r="B82" t="n">
        <v>51065.323</v>
      </c>
      <c r="C82" t="n">
        <v>2.0020727</v>
      </c>
      <c r="D82" t="n">
        <v>0.0081659787</v>
      </c>
      <c r="E82" t="n">
        <v>0.040825294009</v>
      </c>
      <c r="F82" t="n">
        <v>0.293054655441</v>
      </c>
      <c r="G82" t="n">
        <v>1</v>
      </c>
      <c r="H82" t="n">
        <v>0.001</v>
      </c>
    </row>
    <row r="83">
      <c r="A83" t="n">
        <v>3730</v>
      </c>
      <c r="B83" t="n">
        <v>66499.772</v>
      </c>
      <c r="C83" t="n">
        <v>1.9976212</v>
      </c>
      <c r="D83" t="n">
        <v>0.008152651299999999</v>
      </c>
      <c r="E83" t="n">
        <v>0.041629135797</v>
      </c>
      <c r="F83" t="n">
        <v>0.308985114407</v>
      </c>
      <c r="G83" t="n">
        <v>1</v>
      </c>
      <c r="H83" t="n">
        <v>0.001</v>
      </c>
    </row>
    <row r="84">
      <c r="A84" t="n">
        <v>3735</v>
      </c>
      <c r="B84" t="n">
        <v>40711.114</v>
      </c>
      <c r="C84" t="n">
        <v>1.999127</v>
      </c>
      <c r="D84" t="n">
        <v>0.0094900721</v>
      </c>
      <c r="E84" t="n">
        <v>0.054674074222</v>
      </c>
      <c r="F84" t="n">
        <v>0.379354737015</v>
      </c>
      <c r="G84" t="n">
        <v>1</v>
      </c>
      <c r="H84" t="n">
        <v>0.001</v>
      </c>
    </row>
    <row r="85">
      <c r="A85" t="n">
        <v>3740</v>
      </c>
      <c r="B85" t="n">
        <v>39286.239</v>
      </c>
      <c r="C85" t="n">
        <v>1.9980177</v>
      </c>
      <c r="D85" t="n">
        <v>0.0058695957</v>
      </c>
      <c r="E85" t="n">
        <v>0.056659739552</v>
      </c>
      <c r="F85" t="n">
        <v>0.379345027658</v>
      </c>
      <c r="G85" t="n">
        <v>1</v>
      </c>
      <c r="H85" t="n">
        <v>0.001</v>
      </c>
    </row>
    <row r="86">
      <c r="A86" t="n">
        <v>3745</v>
      </c>
      <c r="B86" t="n">
        <v>70948.749</v>
      </c>
      <c r="C86" t="n">
        <v>1.9989053</v>
      </c>
      <c r="D86" t="n">
        <v>0.008608124999999999</v>
      </c>
      <c r="E86" t="n">
        <v>0.071144798257</v>
      </c>
      <c r="F86" t="n">
        <v>0.387611986049</v>
      </c>
      <c r="G86" t="n">
        <v>1</v>
      </c>
      <c r="H86" t="n">
        <v>0.001</v>
      </c>
    </row>
    <row r="87">
      <c r="A87" t="n">
        <v>3750</v>
      </c>
      <c r="B87" t="n">
        <v>31209.191</v>
      </c>
      <c r="C87" t="n">
        <v>2.0003061</v>
      </c>
      <c r="D87" t="n">
        <v>0.0086998339</v>
      </c>
      <c r="E87" t="n">
        <v>0.071399259481</v>
      </c>
      <c r="F87" t="n">
        <v>0.455446647629</v>
      </c>
      <c r="G87" t="n">
        <v>1</v>
      </c>
      <c r="H87" t="n">
        <v>0.001</v>
      </c>
    </row>
    <row r="88">
      <c r="A88" t="n">
        <v>3755</v>
      </c>
      <c r="B88" t="n">
        <v>38222.4629999999</v>
      </c>
      <c r="C88" t="n">
        <v>1.9993739</v>
      </c>
      <c r="D88" t="n">
        <v>0.008716514099999999</v>
      </c>
      <c r="E88" t="n">
        <v>0.017176436602</v>
      </c>
      <c r="F88" t="n">
        <v>0.228459146634</v>
      </c>
      <c r="G88" t="n">
        <v>1</v>
      </c>
      <c r="H88" t="n">
        <v>0.001</v>
      </c>
    </row>
    <row r="89">
      <c r="A89" t="n">
        <v>3760</v>
      </c>
      <c r="B89" t="n">
        <v>46129.405</v>
      </c>
      <c r="C89" t="n">
        <v>2.0001191</v>
      </c>
      <c r="D89" t="n">
        <v>0.008009564</v>
      </c>
      <c r="E89" t="n">
        <v>0.027820991564</v>
      </c>
      <c r="F89" t="n">
        <v>0.272348988072</v>
      </c>
      <c r="G89" t="n">
        <v>1</v>
      </c>
      <c r="H89" t="n">
        <v>0.001</v>
      </c>
    </row>
    <row r="90">
      <c r="A90" t="n">
        <v>3765</v>
      </c>
      <c r="B90" t="n">
        <v>49690.284</v>
      </c>
      <c r="C90" t="n">
        <v>1.9996966</v>
      </c>
      <c r="D90" t="n">
        <v>0.0080005723</v>
      </c>
      <c r="E90" t="n">
        <v>0.017025147829</v>
      </c>
      <c r="F90" t="n">
        <v>0.269027325251</v>
      </c>
      <c r="G90" t="n">
        <v>1</v>
      </c>
      <c r="H90" t="n">
        <v>0.001</v>
      </c>
    </row>
    <row r="91">
      <c r="A91" t="n">
        <v>3770</v>
      </c>
      <c r="B91" t="n">
        <v>55013.203</v>
      </c>
      <c r="C91" t="n">
        <v>1.9995906</v>
      </c>
      <c r="D91" t="n">
        <v>0.0080109563</v>
      </c>
      <c r="E91" t="n">
        <v>0.020829322057</v>
      </c>
      <c r="F91" t="n">
        <v>0.176783748557</v>
      </c>
      <c r="G91" t="n">
        <v>1</v>
      </c>
      <c r="H91" t="n">
        <v>0.001</v>
      </c>
    </row>
    <row r="92">
      <c r="A92" t="n">
        <v>3775</v>
      </c>
      <c r="B92" t="n">
        <v>40305.859</v>
      </c>
      <c r="C92" t="n">
        <v>1.9987703</v>
      </c>
      <c r="D92" t="n">
        <v>0.009120982499999999</v>
      </c>
      <c r="E92" t="n">
        <v>0.043905555852</v>
      </c>
      <c r="F92" t="n">
        <v>0.291026942615</v>
      </c>
      <c r="G92" t="n">
        <v>1</v>
      </c>
      <c r="H92" t="n">
        <v>0.001</v>
      </c>
    </row>
    <row r="93">
      <c r="A93" t="n">
        <v>3780</v>
      </c>
      <c r="B93" t="n">
        <v>31621.43</v>
      </c>
      <c r="C93" t="n">
        <v>1.9984245</v>
      </c>
      <c r="D93" t="n">
        <v>0.008751008899999999</v>
      </c>
      <c r="E93" t="n">
        <v>0.063229538066</v>
      </c>
      <c r="F93" t="n">
        <v>0.436382869419</v>
      </c>
      <c r="G93" t="n">
        <v>1</v>
      </c>
      <c r="H93" t="n">
        <v>0.001</v>
      </c>
    </row>
    <row r="94">
      <c r="A94" t="n">
        <v>3785</v>
      </c>
      <c r="B94" t="n">
        <v>39829.291</v>
      </c>
      <c r="C94" t="n">
        <v>1.9989039</v>
      </c>
      <c r="D94" t="n">
        <v>0.0087149438</v>
      </c>
      <c r="E94" t="n">
        <v>0.065711094949</v>
      </c>
      <c r="F94" t="n">
        <v>0.436370377139</v>
      </c>
      <c r="G94" t="n">
        <v>1</v>
      </c>
      <c r="H94" t="n">
        <v>0.001</v>
      </c>
    </row>
    <row r="95">
      <c r="A95" t="n">
        <v>3790</v>
      </c>
      <c r="B95" t="n">
        <v>41146.105</v>
      </c>
      <c r="C95" t="n">
        <v>1.9987629</v>
      </c>
      <c r="D95" t="n">
        <v>0.008712453300000001</v>
      </c>
      <c r="E95" t="n">
        <v>0.056422433662</v>
      </c>
      <c r="F95" t="n">
        <v>0.449360828132</v>
      </c>
      <c r="G95" t="n">
        <v>1</v>
      </c>
      <c r="H95" t="n">
        <v>0.001</v>
      </c>
    </row>
    <row r="96">
      <c r="A96" t="n">
        <v>3795</v>
      </c>
      <c r="B96" t="n">
        <v>45492.4779999999</v>
      </c>
      <c r="C96" t="n">
        <v>1.9985495</v>
      </c>
      <c r="D96" t="n">
        <v>0.0087018454</v>
      </c>
      <c r="E96" t="n">
        <v>0.05901722896</v>
      </c>
      <c r="F96" t="n">
        <v>0.424207152465</v>
      </c>
      <c r="G96" t="n">
        <v>1</v>
      </c>
      <c r="H96" t="n">
        <v>0.001</v>
      </c>
    </row>
    <row r="97">
      <c r="A97" t="n">
        <v>3800</v>
      </c>
      <c r="B97" t="n">
        <v>45979.692</v>
      </c>
      <c r="C97" t="n">
        <v>1.9984976</v>
      </c>
      <c r="D97" t="n">
        <v>0.0080045186</v>
      </c>
      <c r="E97" t="n">
        <v>0.068953783054</v>
      </c>
      <c r="F97" t="n">
        <v>0.399520357333</v>
      </c>
      <c r="G97" t="n">
        <v>1</v>
      </c>
      <c r="H97" t="n">
        <v>0.001</v>
      </c>
    </row>
    <row r="98">
      <c r="A98" t="n">
        <v>3805</v>
      </c>
      <c r="B98" t="n">
        <v>45190.017</v>
      </c>
      <c r="C98" t="n">
        <v>1.999683</v>
      </c>
      <c r="D98" t="n">
        <v>0.00799568</v>
      </c>
      <c r="E98" t="n">
        <v>0.06947620986899999</v>
      </c>
      <c r="F98" t="n">
        <v>0.492746650075</v>
      </c>
      <c r="G98" t="n">
        <v>1</v>
      </c>
      <c r="H98" t="n">
        <v>0.001</v>
      </c>
    </row>
    <row r="99">
      <c r="A99" t="n">
        <v>3810</v>
      </c>
      <c r="B99" t="n">
        <v>48461.382</v>
      </c>
      <c r="C99" t="n">
        <v>1.9990276</v>
      </c>
      <c r="D99" t="n">
        <v>0.007997779599999999</v>
      </c>
      <c r="E99" t="n">
        <v>0.07103397055299999</v>
      </c>
      <c r="F99" t="n">
        <v>0.543509387627</v>
      </c>
      <c r="G99" t="n">
        <v>1</v>
      </c>
      <c r="H99" t="n">
        <v>0.001</v>
      </c>
    </row>
    <row r="100">
      <c r="A100" t="n">
        <v>3815</v>
      </c>
      <c r="B100" t="n">
        <v>33638.681</v>
      </c>
      <c r="C100" t="n">
        <v>1.9965401</v>
      </c>
      <c r="D100" t="n">
        <v>0.007980318700000001</v>
      </c>
      <c r="E100" t="n">
        <v>0.089567993719</v>
      </c>
      <c r="F100" t="n">
        <v>0.447509022808</v>
      </c>
      <c r="G100" t="n">
        <v>1</v>
      </c>
      <c r="H100" t="n">
        <v>0.001</v>
      </c>
    </row>
    <row r="101">
      <c r="A101" t="n">
        <v>3820</v>
      </c>
      <c r="B101" t="n">
        <v>23809.854</v>
      </c>
      <c r="C101" t="n">
        <v>1.9971734</v>
      </c>
      <c r="D101" t="n">
        <v>0.0087186772</v>
      </c>
      <c r="E101" t="n">
        <v>0.06177637759</v>
      </c>
      <c r="F101" t="n">
        <v>0.401717612129</v>
      </c>
      <c r="G101" t="n">
        <v>1</v>
      </c>
      <c r="H101" t="n">
        <v>0.001</v>
      </c>
    </row>
    <row r="102">
      <c r="A102" t="n">
        <v>3825</v>
      </c>
      <c r="B102" t="n">
        <v>29839.424</v>
      </c>
      <c r="C102" t="n">
        <v>1.9987841</v>
      </c>
      <c r="D102" t="n">
        <v>0.0086400891</v>
      </c>
      <c r="E102" t="n">
        <v>0.018961989696</v>
      </c>
      <c r="F102" t="n">
        <v>0.43794737865</v>
      </c>
      <c r="G102" t="n">
        <v>1</v>
      </c>
      <c r="H102" t="n">
        <v>0.001</v>
      </c>
    </row>
    <row r="103">
      <c r="A103" t="n">
        <v>3830</v>
      </c>
      <c r="B103" t="n">
        <v>27483.212</v>
      </c>
      <c r="C103" t="n">
        <v>2.0003042</v>
      </c>
      <c r="D103" t="n">
        <v>0.0087257818</v>
      </c>
      <c r="E103" t="n">
        <v>0.075792397114</v>
      </c>
      <c r="F103" t="n">
        <v>0.693671084089</v>
      </c>
      <c r="G103" t="n">
        <v>1.00903837443</v>
      </c>
      <c r="H103" t="n">
        <v>0.001</v>
      </c>
    </row>
    <row r="104">
      <c r="A104" t="n">
        <v>3835</v>
      </c>
      <c r="B104" t="n">
        <v>35711.047</v>
      </c>
      <c r="C104" t="n">
        <v>2.0010445</v>
      </c>
      <c r="D104" t="n">
        <v>0.008698940699999999</v>
      </c>
      <c r="E104" t="n">
        <v>0.279345581926</v>
      </c>
      <c r="F104" t="n">
        <v>1</v>
      </c>
      <c r="G104" t="n">
        <v>0.399762706428</v>
      </c>
      <c r="H104" t="n">
        <v>0.001</v>
      </c>
    </row>
    <row r="105">
      <c r="A105" t="n">
        <v>3840</v>
      </c>
      <c r="B105" t="n">
        <v>55441.037</v>
      </c>
      <c r="C105" t="n">
        <v>1.9996143</v>
      </c>
      <c r="D105" t="n">
        <v>0.0079872819</v>
      </c>
      <c r="E105" t="n">
        <v>0.2152172972</v>
      </c>
      <c r="F105" t="n">
        <v>0.9999873966740001</v>
      </c>
      <c r="G105" t="n">
        <v>0.53481489162</v>
      </c>
      <c r="H105" t="n">
        <v>0.001</v>
      </c>
    </row>
    <row r="106">
      <c r="A106" t="n">
        <v>3845</v>
      </c>
      <c r="B106" t="n">
        <v>69828.84</v>
      </c>
      <c r="C106" t="n">
        <v>1.9999326</v>
      </c>
      <c r="D106" t="n">
        <v>0.008011420999999999</v>
      </c>
      <c r="E106" t="n">
        <v>0.270294667186</v>
      </c>
      <c r="F106" t="n">
        <v>1</v>
      </c>
      <c r="G106" t="n">
        <v>0.356510544643</v>
      </c>
      <c r="H106" t="n">
        <v>0.001</v>
      </c>
    </row>
    <row r="107">
      <c r="A107" t="n">
        <v>3850</v>
      </c>
      <c r="B107" t="n">
        <v>60725.977</v>
      </c>
      <c r="C107" t="n">
        <v>1.9978049</v>
      </c>
      <c r="D107" t="n">
        <v>0.008002642000000001</v>
      </c>
      <c r="E107" t="n">
        <v>0.264957007905</v>
      </c>
      <c r="F107" t="n">
        <v>1</v>
      </c>
      <c r="G107" t="n">
        <v>0.351393473784</v>
      </c>
      <c r="H107" t="n">
        <v>0.001</v>
      </c>
    </row>
    <row r="108">
      <c r="A108" t="n">
        <v>3855</v>
      </c>
      <c r="B108" t="n">
        <v>36845.539</v>
      </c>
      <c r="C108" t="n">
        <v>1.9986469</v>
      </c>
      <c r="D108" t="n">
        <v>0.008719818900000001</v>
      </c>
      <c r="E108" t="n">
        <v>0.221582889753</v>
      </c>
      <c r="F108" t="n">
        <v>1</v>
      </c>
      <c r="G108" t="n">
        <v>0.529283964005</v>
      </c>
      <c r="H108" t="n">
        <v>0.001</v>
      </c>
    </row>
    <row r="109">
      <c r="A109" t="n">
        <v>3860</v>
      </c>
      <c r="B109" t="n">
        <v>29158.2879999999</v>
      </c>
      <c r="C109" t="n">
        <v>1.9991948</v>
      </c>
      <c r="D109" t="n">
        <v>0.008727441400000001</v>
      </c>
      <c r="E109" t="n">
        <v>0.181004889101</v>
      </c>
      <c r="F109" t="n">
        <v>1</v>
      </c>
      <c r="G109" t="n">
        <v>0.60400105322</v>
      </c>
      <c r="H109" t="n">
        <v>0.001</v>
      </c>
    </row>
    <row r="110">
      <c r="A110" t="n">
        <v>3865</v>
      </c>
      <c r="B110" t="n">
        <v>44807.529</v>
      </c>
      <c r="C110" t="n">
        <v>1.9993007</v>
      </c>
      <c r="D110" t="n">
        <v>0.0086974042</v>
      </c>
      <c r="E110" t="n">
        <v>0.151296763648</v>
      </c>
      <c r="F110" t="n">
        <v>1</v>
      </c>
      <c r="G110" t="n">
        <v>0.817337784743</v>
      </c>
      <c r="H110" t="n">
        <v>0.001</v>
      </c>
    </row>
    <row r="111">
      <c r="A111" t="n">
        <v>3870</v>
      </c>
      <c r="B111" t="n">
        <v>58069.453</v>
      </c>
      <c r="C111" t="n">
        <v>1.9995504</v>
      </c>
      <c r="D111" t="n">
        <v>0.008715113199999999</v>
      </c>
      <c r="E111" t="n">
        <v>0.147881452969</v>
      </c>
      <c r="F111" t="n">
        <v>1</v>
      </c>
      <c r="G111" t="n">
        <v>0.794250437916</v>
      </c>
      <c r="H111" t="n">
        <v>0.001</v>
      </c>
    </row>
    <row r="112">
      <c r="A112" t="n">
        <v>3875</v>
      </c>
      <c r="B112" t="n">
        <v>42989.009</v>
      </c>
      <c r="C112" t="n">
        <v>1.9997094</v>
      </c>
      <c r="D112" t="n">
        <v>0.0087252201</v>
      </c>
      <c r="E112" t="n">
        <v>0.006269834799</v>
      </c>
      <c r="F112" t="n">
        <v>1.000000000088</v>
      </c>
      <c r="G112" t="n">
        <v>1.013334866808</v>
      </c>
      <c r="H112" t="n">
        <v>0.001</v>
      </c>
    </row>
    <row r="113">
      <c r="A113" t="n">
        <v>3880</v>
      </c>
      <c r="B113" t="n">
        <v>63292.935</v>
      </c>
      <c r="C113" t="n">
        <v>1.9996722</v>
      </c>
      <c r="D113" t="n">
        <v>0.0080000798</v>
      </c>
      <c r="E113" t="n">
        <v>0.056055725275</v>
      </c>
      <c r="F113" t="n">
        <v>0.782642128889</v>
      </c>
      <c r="G113" t="n">
        <v>1</v>
      </c>
      <c r="H113" t="n">
        <v>0.001</v>
      </c>
    </row>
    <row r="114">
      <c r="A114" t="n">
        <v>3885</v>
      </c>
      <c r="B114" t="n">
        <v>64154.2129999999</v>
      </c>
      <c r="C114" t="n">
        <v>1.9991367</v>
      </c>
      <c r="D114" t="n">
        <v>0.0080109563</v>
      </c>
      <c r="E114" t="n">
        <v>0.089573438368</v>
      </c>
      <c r="F114" t="n">
        <v>0.759587355097</v>
      </c>
      <c r="G114" t="n">
        <v>1</v>
      </c>
      <c r="H114" t="n">
        <v>0.001</v>
      </c>
    </row>
    <row r="115">
      <c r="A115" t="n">
        <v>3890</v>
      </c>
      <c r="B115" t="n">
        <v>56690.941</v>
      </c>
      <c r="C115" t="n">
        <v>1.9991023</v>
      </c>
      <c r="D115" t="n">
        <v>0.0079995899</v>
      </c>
      <c r="E115" t="n">
        <v>0.061272519987</v>
      </c>
      <c r="F115" t="n">
        <v>0.6912038606549999</v>
      </c>
      <c r="G115" t="n">
        <v>1</v>
      </c>
      <c r="H115" t="n">
        <v>0.001</v>
      </c>
    </row>
    <row r="116">
      <c r="A116" t="n">
        <v>3895</v>
      </c>
      <c r="B116" t="n">
        <v>38115.807</v>
      </c>
      <c r="C116" t="n">
        <v>2.001708</v>
      </c>
      <c r="D116" t="n">
        <v>0.010447495</v>
      </c>
      <c r="E116" t="n">
        <v>0.106132880235</v>
      </c>
      <c r="F116" t="n">
        <v>0.736869296436</v>
      </c>
      <c r="G116" t="n">
        <v>0.999999361565</v>
      </c>
      <c r="H116" t="n">
        <v>0.001</v>
      </c>
    </row>
    <row r="117">
      <c r="A117" t="n">
        <v>3900</v>
      </c>
      <c r="B117" t="n">
        <v>31893.992</v>
      </c>
      <c r="C117" t="n">
        <v>1.998052</v>
      </c>
      <c r="D117" t="n">
        <v>0.008718065000000001</v>
      </c>
      <c r="E117" t="n">
        <v>0.119349873438</v>
      </c>
      <c r="F117" t="n">
        <v>0.64863952384</v>
      </c>
      <c r="G117" t="n">
        <v>1.00000000042</v>
      </c>
      <c r="H117" t="n">
        <v>0.001</v>
      </c>
    </row>
    <row r="118">
      <c r="A118" t="n">
        <v>3905</v>
      </c>
      <c r="B118" t="n">
        <v>28826.265</v>
      </c>
      <c r="C118" t="n">
        <v>2.0001599</v>
      </c>
      <c r="D118" t="n">
        <v>0.0087314848</v>
      </c>
      <c r="E118" t="n">
        <v>0.116232220673</v>
      </c>
      <c r="F118" t="n">
        <v>0.636108402917</v>
      </c>
      <c r="G118" t="n">
        <v>1.000166441519</v>
      </c>
      <c r="H118" t="n">
        <v>0.001</v>
      </c>
    </row>
    <row r="119">
      <c r="A119" t="n">
        <v>3910</v>
      </c>
      <c r="B119" t="n">
        <v>26972.945</v>
      </c>
      <c r="C119" t="n">
        <v>1.9995598</v>
      </c>
      <c r="D119" t="n">
        <v>0.0088142798</v>
      </c>
      <c r="E119" t="n">
        <v>0.08728696589399999</v>
      </c>
      <c r="F119" t="n">
        <v>0.929936987263</v>
      </c>
      <c r="G119" t="n">
        <v>1</v>
      </c>
      <c r="H119" t="n">
        <v>0.001</v>
      </c>
    </row>
    <row r="120">
      <c r="A120" t="n">
        <v>3915</v>
      </c>
      <c r="B120" t="n">
        <v>21042.7329999999</v>
      </c>
      <c r="C120" t="n">
        <v>1.998887</v>
      </c>
      <c r="D120" t="n">
        <v>0.008712718600000001</v>
      </c>
      <c r="E120" t="n">
        <v>0.062475335586</v>
      </c>
      <c r="F120" t="n">
        <v>0.758338368535</v>
      </c>
      <c r="G120" t="n">
        <v>1</v>
      </c>
      <c r="H120" t="n">
        <v>0.001</v>
      </c>
    </row>
    <row r="121">
      <c r="A121" t="n">
        <v>3920</v>
      </c>
      <c r="B121" t="n">
        <v>37453.208</v>
      </c>
      <c r="C121" t="n">
        <v>1.9998759</v>
      </c>
      <c r="D121" t="n">
        <v>0.0080076752</v>
      </c>
      <c r="E121" t="n">
        <v>0.037360369223</v>
      </c>
      <c r="F121" t="n">
        <v>0.919411862135</v>
      </c>
      <c r="G121" t="n">
        <v>1</v>
      </c>
      <c r="H121" t="n">
        <v>0.001</v>
      </c>
    </row>
    <row r="122">
      <c r="A122" t="n">
        <v>3925</v>
      </c>
      <c r="B122" t="n">
        <v>45694.986</v>
      </c>
      <c r="C122" t="n">
        <v>1.9990125</v>
      </c>
      <c r="D122" t="n">
        <v>0.007997779599999999</v>
      </c>
      <c r="E122" t="n">
        <v>0.054432394666</v>
      </c>
      <c r="F122" t="n">
        <v>0.761076825759</v>
      </c>
      <c r="G122" t="n">
        <v>1</v>
      </c>
      <c r="H122" t="n">
        <v>0.001</v>
      </c>
    </row>
    <row r="123">
      <c r="A123" t="n">
        <v>3940</v>
      </c>
      <c r="B123" t="n">
        <v>34610.165</v>
      </c>
      <c r="C123" t="n">
        <v>1.9965428</v>
      </c>
      <c r="D123" t="n">
        <v>0.0087176513</v>
      </c>
      <c r="E123" t="n">
        <v>0.088467270145</v>
      </c>
      <c r="F123" t="n">
        <v>0.382698020937</v>
      </c>
      <c r="G123" t="n">
        <v>1</v>
      </c>
      <c r="H123" t="n">
        <v>0.001</v>
      </c>
    </row>
    <row r="124">
      <c r="A124" t="n">
        <v>3945</v>
      </c>
      <c r="B124" t="n">
        <v>51089.58</v>
      </c>
      <c r="C124" t="n">
        <v>2.033445</v>
      </c>
      <c r="D124" t="n">
        <v>0.0086257842</v>
      </c>
      <c r="E124" t="n">
        <v>0.025875740233</v>
      </c>
      <c r="F124" t="n">
        <v>0.2559360056</v>
      </c>
      <c r="G124" t="n">
        <v>1</v>
      </c>
      <c r="H124" t="n">
        <v>0.001</v>
      </c>
    </row>
    <row r="125">
      <c r="A125" t="n">
        <v>3950</v>
      </c>
      <c r="B125" t="n">
        <v>58211.3259999999</v>
      </c>
      <c r="C125" t="n">
        <v>2.0022102</v>
      </c>
      <c r="D125" t="n">
        <v>0.0073116208</v>
      </c>
      <c r="E125" t="n">
        <v>0.059274281376</v>
      </c>
      <c r="F125" t="n">
        <v>0.345554229599</v>
      </c>
      <c r="G125" t="n">
        <v>1</v>
      </c>
      <c r="H125" t="n">
        <v>0.001</v>
      </c>
    </row>
    <row r="126">
      <c r="A126" t="n">
        <v>3955</v>
      </c>
      <c r="B126" t="n">
        <v>86371.098</v>
      </c>
      <c r="C126" t="n">
        <v>1.921884</v>
      </c>
      <c r="D126" t="n">
        <v>0.009609728200000001</v>
      </c>
      <c r="E126" t="n">
        <v>0.190590669935</v>
      </c>
      <c r="F126" t="n">
        <v>0.166917416261</v>
      </c>
      <c r="G126" t="n">
        <v>1.000000299934</v>
      </c>
      <c r="H126" t="n">
        <v>96.627077624146</v>
      </c>
    </row>
    <row r="127">
      <c r="A127" t="n">
        <v>3960</v>
      </c>
      <c r="B127" t="n">
        <v>32453.181</v>
      </c>
      <c r="C127" t="n">
        <v>1.6848092</v>
      </c>
      <c r="D127" t="n">
        <v>0.0026663491</v>
      </c>
      <c r="E127" t="n">
        <v>0.220887929399</v>
      </c>
      <c r="F127" t="n">
        <v>0.255504085168</v>
      </c>
      <c r="G127" t="n">
        <v>0.967894914156</v>
      </c>
      <c r="H127" t="n">
        <v>29.314979559799</v>
      </c>
    </row>
    <row r="128">
      <c r="A128" t="n">
        <v>3965</v>
      </c>
      <c r="B128" t="n">
        <v>32720.292</v>
      </c>
      <c r="C128" t="n">
        <v>1.9998848</v>
      </c>
      <c r="D128" t="n">
        <v>0.008005734</v>
      </c>
      <c r="E128" t="n">
        <v>0.222342725834</v>
      </c>
      <c r="F128" t="n">
        <v>0.262688137182</v>
      </c>
      <c r="G128" t="n">
        <v>1.002692643923</v>
      </c>
      <c r="H128" t="n">
        <v>25.999092722627</v>
      </c>
    </row>
    <row r="129">
      <c r="A129" t="n">
        <v>3970</v>
      </c>
      <c r="B129" t="n">
        <v>29672.6</v>
      </c>
      <c r="C129" t="n">
        <v>1.9984927</v>
      </c>
      <c r="D129" t="n">
        <v>0.008017227599999999</v>
      </c>
      <c r="E129" t="n">
        <v>0.230255179488</v>
      </c>
      <c r="F129" t="n">
        <v>0.183799879788</v>
      </c>
      <c r="G129" t="n">
        <v>0.997732135576</v>
      </c>
      <c r="H129" t="n">
        <v>154.285112655435</v>
      </c>
    </row>
    <row r="130">
      <c r="A130" t="n">
        <v>3975</v>
      </c>
      <c r="B130" t="n">
        <v>43582.5329999999</v>
      </c>
      <c r="C130" t="n">
        <v>1.8850254</v>
      </c>
      <c r="D130" t="n">
        <v>0.0091380434</v>
      </c>
      <c r="E130" t="n">
        <v>0.258917863372</v>
      </c>
      <c r="F130" t="n">
        <v>0.214524312775</v>
      </c>
      <c r="G130" t="n">
        <v>0.941853701055</v>
      </c>
      <c r="H130" t="n">
        <v>137.278572447442</v>
      </c>
    </row>
    <row r="131">
      <c r="A131" t="n">
        <v>3980</v>
      </c>
      <c r="B131" t="n">
        <v>45641.4609999999</v>
      </c>
      <c r="C131" t="n">
        <v>1.9994082</v>
      </c>
      <c r="D131" t="n">
        <v>0.008635572399999999</v>
      </c>
      <c r="E131" t="n">
        <v>0.044943206865</v>
      </c>
      <c r="F131" t="n">
        <v>0.236283338219</v>
      </c>
      <c r="G131" t="n">
        <v>0.999994036244</v>
      </c>
      <c r="H131" t="n">
        <v>1.695416166934</v>
      </c>
    </row>
    <row r="132">
      <c r="A132" t="n">
        <v>3985</v>
      </c>
      <c r="B132" t="n">
        <v>45390.125</v>
      </c>
      <c r="C132" t="n">
        <v>1.9984904</v>
      </c>
      <c r="D132" t="n">
        <v>0.008724313900000001</v>
      </c>
      <c r="E132" t="n">
        <v>0.213101326531</v>
      </c>
      <c r="F132" t="n">
        <v>0.09804532206</v>
      </c>
      <c r="G132" t="n">
        <v>1</v>
      </c>
      <c r="H132" t="n">
        <v>665.637021015042</v>
      </c>
    </row>
    <row r="133">
      <c r="A133" t="n">
        <v>3990</v>
      </c>
      <c r="B133" t="n">
        <v>55678.462</v>
      </c>
      <c r="C133" t="n">
        <v>2.0000979</v>
      </c>
      <c r="D133" t="n">
        <v>0.0090584315</v>
      </c>
      <c r="E133" t="n">
        <v>0.204407288022</v>
      </c>
      <c r="F133" t="n">
        <v>0.137021577546</v>
      </c>
      <c r="G133" t="n">
        <v>0.999495539187</v>
      </c>
      <c r="H133" t="n">
        <v>252.338113524113</v>
      </c>
    </row>
    <row r="134">
      <c r="A134" t="n">
        <v>3995</v>
      </c>
      <c r="B134" t="n">
        <v>65754.122</v>
      </c>
      <c r="C134" t="n">
        <v>1.9986802</v>
      </c>
      <c r="D134" t="n">
        <v>0.008809656799999999</v>
      </c>
      <c r="E134" t="n">
        <v>0.209105034062</v>
      </c>
      <c r="F134" t="n">
        <v>0.108711489733</v>
      </c>
      <c r="G134" t="n">
        <v>0.999999999935</v>
      </c>
      <c r="H134" t="n">
        <v>495.149713882979</v>
      </c>
    </row>
    <row r="135">
      <c r="A135" t="n">
        <v>4000</v>
      </c>
      <c r="B135" t="n">
        <v>72975.35799999999</v>
      </c>
      <c r="C135" t="n">
        <v>1.9995409</v>
      </c>
      <c r="D135" t="n">
        <v>0.008155429699999999</v>
      </c>
      <c r="E135" t="n">
        <v>0.201056138116</v>
      </c>
      <c r="F135" t="n">
        <v>0.092304054535</v>
      </c>
      <c r="G135" t="n">
        <v>0.99999999999</v>
      </c>
      <c r="H135" t="n">
        <v>599.320789949992</v>
      </c>
    </row>
    <row r="136">
      <c r="A136" t="n">
        <v>4005</v>
      </c>
      <c r="B136" t="n">
        <v>77870.783</v>
      </c>
      <c r="C136" t="n">
        <v>1.9997689</v>
      </c>
      <c r="D136" t="n">
        <v>0.0081491823</v>
      </c>
      <c r="E136" t="n">
        <v>0.235363161685</v>
      </c>
      <c r="F136" t="n">
        <v>0.157579875697</v>
      </c>
      <c r="G136" t="n">
        <v>0.993248230415</v>
      </c>
      <c r="H136" t="n">
        <v>290.387764812498</v>
      </c>
    </row>
    <row r="137">
      <c r="A137" t="n">
        <v>4010</v>
      </c>
      <c r="B137" t="n">
        <v>78076.674</v>
      </c>
      <c r="C137" t="n">
        <v>1.9995536</v>
      </c>
      <c r="D137" t="n">
        <v>0.0081690697</v>
      </c>
      <c r="E137" t="n">
        <v>0.200750148355</v>
      </c>
      <c r="F137" t="n">
        <v>0.13436096709</v>
      </c>
      <c r="G137" t="n">
        <v>1.000000000001</v>
      </c>
      <c r="H137" t="n">
        <v>248.250024417707</v>
      </c>
    </row>
    <row r="138">
      <c r="A138" t="n">
        <v>4015</v>
      </c>
      <c r="B138" t="n">
        <v>62886.437</v>
      </c>
      <c r="C138" t="n">
        <v>2.0012174</v>
      </c>
      <c r="D138" t="n">
        <v>0.0072879487</v>
      </c>
      <c r="E138" t="n">
        <v>0.20031277512</v>
      </c>
      <c r="F138" t="n">
        <v>0.137424459561</v>
      </c>
      <c r="G138" t="n">
        <v>1.000017202253</v>
      </c>
      <c r="H138" t="n">
        <v>230.788416515323</v>
      </c>
    </row>
    <row r="139">
      <c r="A139" t="n">
        <v>4020</v>
      </c>
      <c r="B139" t="n">
        <v>42217.174</v>
      </c>
      <c r="C139" t="n">
        <v>2.0011557</v>
      </c>
      <c r="D139" t="n">
        <v>0.0088036087</v>
      </c>
      <c r="E139" t="n">
        <v>0.20462421762</v>
      </c>
      <c r="F139" t="n">
        <v>0.139343617066</v>
      </c>
      <c r="G139" t="n">
        <v>1.00004318624</v>
      </c>
      <c r="H139" t="n">
        <v>242.063412588112</v>
      </c>
    </row>
    <row r="140">
      <c r="A140" t="n">
        <v>4025</v>
      </c>
      <c r="B140" t="n">
        <v>31794.46</v>
      </c>
      <c r="C140" t="n">
        <v>2.0003171</v>
      </c>
      <c r="D140" t="n">
        <v>0.0088138425</v>
      </c>
      <c r="E140" t="n">
        <v>0.214039681988</v>
      </c>
      <c r="F140" t="n">
        <v>0.113573257822</v>
      </c>
      <c r="G140" t="n">
        <v>0.999991945256</v>
      </c>
      <c r="H140" t="n">
        <v>490.272980512765</v>
      </c>
    </row>
    <row r="141">
      <c r="A141" t="n">
        <v>4030</v>
      </c>
      <c r="B141" t="n">
        <v>27584.207</v>
      </c>
      <c r="C141" t="n">
        <v>2.0014861</v>
      </c>
      <c r="D141" t="n">
        <v>0.008821575700000001</v>
      </c>
      <c r="E141" t="n">
        <v>0.224000360987</v>
      </c>
      <c r="F141" t="n">
        <v>0.104591850767</v>
      </c>
      <c r="G141" t="n">
        <v>0.999796014541</v>
      </c>
      <c r="H141" t="n">
        <v>709.158934777162</v>
      </c>
    </row>
    <row r="142">
      <c r="A142" t="n">
        <v>4035</v>
      </c>
      <c r="B142" t="n">
        <v>29556.685</v>
      </c>
      <c r="C142" t="n">
        <v>2.000534</v>
      </c>
      <c r="D142" t="n">
        <v>0.0088040987</v>
      </c>
      <c r="E142" t="n">
        <v>0.230225299611</v>
      </c>
      <c r="F142" t="n">
        <v>0.113885279475</v>
      </c>
      <c r="G142" t="n">
        <v>0.9999999999019999</v>
      </c>
      <c r="H142" t="n">
        <v>661.4133173310749</v>
      </c>
    </row>
    <row r="143">
      <c r="A143" t="n">
        <v>4040</v>
      </c>
      <c r="B143" t="n">
        <v>34031.7279999999</v>
      </c>
      <c r="C143" t="n">
        <v>2.0001419</v>
      </c>
      <c r="D143" t="n">
        <v>0.0087213167</v>
      </c>
      <c r="E143" t="n">
        <v>0.153503760973</v>
      </c>
      <c r="F143" t="n">
        <v>0.187056768754</v>
      </c>
      <c r="G143" t="n">
        <v>1.004728641376</v>
      </c>
      <c r="H143" t="n">
        <v>35.65380065566</v>
      </c>
    </row>
    <row r="144">
      <c r="A144" t="n">
        <v>4045</v>
      </c>
      <c r="B144" t="n">
        <v>42810.41</v>
      </c>
      <c r="C144" t="n">
        <v>1.9996809</v>
      </c>
      <c r="D144" t="n">
        <v>0.0084914637</v>
      </c>
      <c r="E144" t="n">
        <v>0.174020621916</v>
      </c>
      <c r="F144" t="n">
        <v>0.253722647227</v>
      </c>
      <c r="G144" t="n">
        <v>0.992155150922</v>
      </c>
      <c r="H144" t="n">
        <v>12.817196626397</v>
      </c>
    </row>
    <row r="145">
      <c r="A145" t="n">
        <v>4050</v>
      </c>
      <c r="B145" t="n">
        <v>48561.64</v>
      </c>
      <c r="C145" t="n">
        <v>1.9797667</v>
      </c>
      <c r="D145" t="n">
        <v>0.0081012193</v>
      </c>
      <c r="E145" t="n">
        <v>0.210908789431</v>
      </c>
      <c r="F145" t="n">
        <v>0.160896767492</v>
      </c>
      <c r="G145" t="n">
        <v>1.000000004947</v>
      </c>
      <c r="H145" t="n">
        <v>164.661677688832</v>
      </c>
    </row>
    <row r="146">
      <c r="A146" t="n">
        <v>4055</v>
      </c>
      <c r="B146" t="n">
        <v>48997.73</v>
      </c>
      <c r="C146" t="n">
        <v>1.9846151</v>
      </c>
      <c r="D146" t="n">
        <v>0.008153254699999999</v>
      </c>
      <c r="E146" t="n">
        <v>0.228535420338</v>
      </c>
      <c r="F146" t="n">
        <v>0.239818519074</v>
      </c>
      <c r="G146" t="n">
        <v>1</v>
      </c>
      <c r="H146" t="n">
        <v>46.740324971876</v>
      </c>
    </row>
    <row r="147">
      <c r="A147" t="n">
        <v>4060</v>
      </c>
      <c r="B147" t="n">
        <v>54226.759</v>
      </c>
      <c r="C147" t="n">
        <v>1.9980334</v>
      </c>
      <c r="D147" t="n">
        <v>0.0088148207</v>
      </c>
      <c r="E147" t="n">
        <v>0.156014219206</v>
      </c>
      <c r="F147" t="n">
        <v>0.258400143111</v>
      </c>
      <c r="G147" t="n">
        <v>1</v>
      </c>
      <c r="H147" t="n">
        <v>7.762621677646</v>
      </c>
    </row>
    <row r="148">
      <c r="A148" t="n">
        <v>4065</v>
      </c>
      <c r="B148" t="n">
        <v>71081.75199999999</v>
      </c>
      <c r="C148" t="n">
        <v>2.1042577</v>
      </c>
      <c r="D148" t="n">
        <v>0.0088082842</v>
      </c>
      <c r="E148" t="n">
        <v>0.087738425289</v>
      </c>
      <c r="F148" t="n">
        <v>0.29158569139</v>
      </c>
      <c r="G148" t="n">
        <v>1</v>
      </c>
      <c r="H148" t="n">
        <v>0.162924655105</v>
      </c>
    </row>
    <row r="149">
      <c r="A149" t="n">
        <v>4070</v>
      </c>
      <c r="B149" t="n">
        <v>72756.6259999999</v>
      </c>
      <c r="C149" t="n">
        <v>2.3330382</v>
      </c>
      <c r="D149" t="n">
        <v>0.008824361399999999</v>
      </c>
      <c r="E149" t="n">
        <v>0.019423712523</v>
      </c>
      <c r="F149" t="n">
        <v>0.503174812731</v>
      </c>
      <c r="G149" t="n">
        <v>1.000000022321</v>
      </c>
      <c r="H149" t="n">
        <v>-0.001124069812</v>
      </c>
    </row>
    <row r="150">
      <c r="A150" t="n">
        <v>4075</v>
      </c>
      <c r="B150" t="n">
        <v>83526.789</v>
      </c>
      <c r="C150" t="n">
        <v>2.3333259</v>
      </c>
      <c r="D150" t="n">
        <v>0.0087985597</v>
      </c>
      <c r="E150" t="n">
        <v>0.054682587226</v>
      </c>
      <c r="F150" t="n">
        <v>0.689640067439</v>
      </c>
      <c r="G150" t="n">
        <v>1.000097983836</v>
      </c>
      <c r="H150" t="n">
        <v>0.00226149794</v>
      </c>
    </row>
    <row r="151">
      <c r="A151" t="n">
        <v>4080</v>
      </c>
      <c r="B151" t="n">
        <v>84496.549</v>
      </c>
      <c r="C151" t="n">
        <v>2.334673</v>
      </c>
      <c r="D151" t="n">
        <v>0.008374846</v>
      </c>
      <c r="E151" t="n">
        <v>0.022857</v>
      </c>
      <c r="F151" t="n">
        <v>0.640100014644</v>
      </c>
      <c r="G151" t="n">
        <v>1</v>
      </c>
      <c r="H151" t="n">
        <v>0.001</v>
      </c>
    </row>
    <row r="152" s="17">
      <c r="A152" t="n">
        <v>4085</v>
      </c>
      <c r="B152" t="n">
        <v>86658.55899999999</v>
      </c>
      <c r="C152" t="n">
        <v>2.3313385</v>
      </c>
      <c r="D152" t="n">
        <v>0.0084540851</v>
      </c>
      <c r="E152" t="n">
        <v>0.022857</v>
      </c>
      <c r="F152" t="n">
        <v>0.6401</v>
      </c>
      <c r="G152" t="n">
        <v>1</v>
      </c>
      <c r="H152" t="n">
        <v>0.001</v>
      </c>
    </row>
    <row r="153" s="17">
      <c r="A153" s="19" t="n">
        <v>4090</v>
      </c>
      <c r="B153" s="19" t="n">
        <v>39076.94294</v>
      </c>
      <c r="C153" s="19" t="n">
        <v>2.0403448</v>
      </c>
      <c r="D153" s="19" t="n">
        <v>0.005805521</v>
      </c>
      <c r="E153" s="19" t="n">
        <v>0.04334181152789241</v>
      </c>
      <c r="F153" s="19" t="n">
        <v>0.1561290858820225</v>
      </c>
      <c r="G153" s="19" t="n">
        <v>0.9490906463841633</v>
      </c>
      <c r="H153" s="19" t="n">
        <v>0.204331</v>
      </c>
    </row>
    <row r="154" s="17">
      <c r="A154" s="19" t="n">
        <v>4095</v>
      </c>
      <c r="B154" s="19" t="n">
        <v>48569.669406</v>
      </c>
      <c r="C154" s="19" t="n">
        <v>1.9020913</v>
      </c>
      <c r="D154" s="19" t="n">
        <v>0.0051025741</v>
      </c>
      <c r="E154" s="19" t="n">
        <v>0.1562572064384809</v>
      </c>
      <c r="F154" s="19" t="n">
        <v>0.2006320495736077</v>
      </c>
      <c r="G154" s="19" t="n">
        <v>0.9133117067304989</v>
      </c>
      <c r="H154" s="19" t="n">
        <v>1.390471</v>
      </c>
    </row>
    <row r="155" s="17">
      <c r="A155" s="19" t="n">
        <v>4100</v>
      </c>
      <c r="B155" s="19" t="n">
        <v>64560.163381</v>
      </c>
      <c r="C155" s="19" t="n">
        <v>2.1551635</v>
      </c>
      <c r="D155" s="19" t="n">
        <v>0.0037493179</v>
      </c>
      <c r="E155" s="19" t="n">
        <v>0.07021754540072214</v>
      </c>
      <c r="F155" s="19" t="n">
        <v>0.2941481995448368</v>
      </c>
      <c r="G155" s="19" t="n">
        <v>0.926718048591569</v>
      </c>
      <c r="H155" s="19" t="n">
        <v>0.5261400000000001</v>
      </c>
    </row>
    <row r="156" s="17">
      <c r="A156" s="19" t="n">
        <v>4105</v>
      </c>
      <c r="B156" s="19" t="n">
        <v>49971.012714</v>
      </c>
      <c r="C156" s="19" t="n">
        <v>2.0029739</v>
      </c>
      <c r="D156" s="19" t="n">
        <v>0.0080478337</v>
      </c>
      <c r="E156" s="19" t="n">
        <v>0.04286401418029322</v>
      </c>
      <c r="F156" s="19" t="n">
        <v>0.04140302898813591</v>
      </c>
      <c r="G156" s="19" t="n">
        <v>0.9911855329168761</v>
      </c>
      <c r="H156" s="19" t="n">
        <v>0.055647</v>
      </c>
    </row>
    <row r="157" s="17">
      <c r="A157" s="19" t="n">
        <v>4110</v>
      </c>
      <c r="B157" s="19" t="n">
        <v>60374.837386</v>
      </c>
      <c r="C157" s="19" t="n">
        <v>1.9257282</v>
      </c>
      <c r="D157" s="19" t="n">
        <v>0.0075736596</v>
      </c>
      <c r="E157" s="19" t="n">
        <v>0.1151540666788848</v>
      </c>
      <c r="F157" s="19" t="n">
        <v>0.1269332994673099</v>
      </c>
      <c r="G157" s="19" t="n">
        <v>0.9612846397489163</v>
      </c>
      <c r="H157" s="19" t="n">
        <v>0.479066</v>
      </c>
    </row>
    <row r="158" s="17">
      <c r="A158" s="19" t="n">
        <v>4115</v>
      </c>
      <c r="B158" s="19" t="n">
        <v>58596.688146</v>
      </c>
      <c r="C158" s="19" t="n">
        <v>2.3251229</v>
      </c>
      <c r="D158" s="19" t="n">
        <v>0.0042440922</v>
      </c>
      <c r="E158" s="19" t="n">
        <v>0.07867580822296992</v>
      </c>
      <c r="F158" s="19" t="n">
        <v>0.3712568308327462</v>
      </c>
      <c r="G158" s="19" t="n">
        <v>0.8550980234261116</v>
      </c>
      <c r="H158" s="19" t="n">
        <v>1.124487</v>
      </c>
    </row>
    <row r="159" s="17">
      <c r="A159" s="19" t="n">
        <v>4120</v>
      </c>
      <c r="B159" s="19" t="n">
        <v>49818.180938</v>
      </c>
      <c r="C159" s="19" t="n">
        <v>1.9524966</v>
      </c>
      <c r="D159" s="19" t="n">
        <v>0.0057002824</v>
      </c>
      <c r="E159" s="19" t="n">
        <v>0.06005967907276551</v>
      </c>
      <c r="F159" s="19" t="n">
        <v>0.07478950477800754</v>
      </c>
      <c r="G159" s="19" t="n">
        <v>1</v>
      </c>
      <c r="H159" s="19" t="n">
        <v>0.001</v>
      </c>
    </row>
    <row r="160" s="17">
      <c r="A160" s="19" t="n">
        <v>4125</v>
      </c>
      <c r="B160" s="19" t="n">
        <v>58781.471517</v>
      </c>
      <c r="C160" s="19" t="n">
        <v>1.6502579</v>
      </c>
      <c r="D160" s="19" t="n">
        <v>0.0070698537</v>
      </c>
      <c r="E160" s="19" t="n">
        <v>0.1025019799941379</v>
      </c>
      <c r="F160" s="19" t="n">
        <v>0.2101786349474576</v>
      </c>
      <c r="G160" s="19" t="n">
        <v>0.9213194583623334</v>
      </c>
      <c r="H160" s="19" t="n">
        <v>0.855401</v>
      </c>
    </row>
    <row r="161" s="17">
      <c r="A161" s="19" t="n">
        <v>4130</v>
      </c>
      <c r="B161" s="19" t="n">
        <v>74568.870643</v>
      </c>
      <c r="C161" s="19" t="n">
        <v>2.2254777</v>
      </c>
      <c r="D161" s="19" t="n">
        <v>0.0041718364</v>
      </c>
      <c r="E161" s="19" t="n">
        <v>0.07722040157899215</v>
      </c>
      <c r="F161" s="19" t="n">
        <v>0.2669804600732469</v>
      </c>
      <c r="G161" s="19" t="n">
        <v>0.9538760545794301</v>
      </c>
      <c r="H161" s="19" t="n">
        <v>0.352057</v>
      </c>
    </row>
    <row r="162" s="17">
      <c r="A162" s="19" t="n">
        <v>4135</v>
      </c>
      <c r="B162" s="19" t="n">
        <v>42209.384765</v>
      </c>
      <c r="C162" s="19" t="n">
        <v>1.9178025</v>
      </c>
      <c r="D162" s="19" t="n">
        <v>0.0067873888</v>
      </c>
      <c r="E162" s="19" t="n">
        <v>0.037613446160517</v>
      </c>
      <c r="F162" s="19" t="n">
        <v>0.06799726774924503</v>
      </c>
      <c r="G162" s="19" t="n">
        <v>0.9584951671428171</v>
      </c>
      <c r="H162" s="19" t="n">
        <v>0.187314</v>
      </c>
    </row>
    <row r="163" s="17">
      <c r="A163" s="19" t="n">
        <v>4140</v>
      </c>
      <c r="B163" s="19" t="n">
        <v>53792.066566</v>
      </c>
      <c r="C163" s="19" t="n">
        <v>2.2184651</v>
      </c>
      <c r="D163" s="19" t="n">
        <v>0.005577837</v>
      </c>
      <c r="E163" s="19" t="n">
        <v>0.0884228620453708</v>
      </c>
      <c r="F163" s="19" t="n">
        <v>0.08637752434272404</v>
      </c>
      <c r="G163" s="19" t="n">
        <v>0.9577598722518635</v>
      </c>
      <c r="H163" s="19" t="n">
        <v>0.381233</v>
      </c>
    </row>
    <row r="164" s="17">
      <c r="A164" s="19" t="n">
        <v>4145</v>
      </c>
      <c r="B164" s="19" t="n">
        <v>74066.15745899999</v>
      </c>
      <c r="C164" s="19" t="n">
        <v>2.2072377</v>
      </c>
      <c r="D164" s="19" t="n">
        <v>0.0043779323</v>
      </c>
      <c r="E164" s="19" t="n">
        <v>0.06220355069945006</v>
      </c>
      <c r="F164" s="19" t="n">
        <v>0.3160779103468571</v>
      </c>
      <c r="G164" s="19" t="n">
        <v>0.9551042988523011</v>
      </c>
      <c r="H164" s="19" t="n">
        <v>0.325783</v>
      </c>
    </row>
    <row r="165" s="17">
      <c r="A165" s="19" t="n">
        <v>4150</v>
      </c>
      <c r="B165" s="19" t="n">
        <v>55689.001789</v>
      </c>
      <c r="C165" s="19" t="n">
        <v>1.8803063</v>
      </c>
      <c r="D165" s="19" t="n">
        <v>0.0050659151</v>
      </c>
      <c r="E165" s="19" t="n">
        <v>0.06269101488244022</v>
      </c>
      <c r="F165" s="19" t="n">
        <v>0.1350906995355698</v>
      </c>
      <c r="G165" s="19" t="n">
        <v>0.9430018875928764</v>
      </c>
      <c r="H165" s="19" t="n">
        <v>0.370533</v>
      </c>
    </row>
    <row r="166" s="17">
      <c r="A166" s="19" t="n">
        <v>4155</v>
      </c>
      <c r="B166" s="19" t="n">
        <v>46622.155225</v>
      </c>
      <c r="C166" s="19" t="n">
        <v>1.9714387</v>
      </c>
      <c r="D166" s="19" t="n">
        <v>0.0065658518</v>
      </c>
      <c r="E166" s="19" t="n">
        <v>0.1161023686420749</v>
      </c>
      <c r="F166" s="19" t="n">
        <v>0.3114050308599508</v>
      </c>
      <c r="G166" s="19" t="n">
        <v>0.902440392438068</v>
      </c>
      <c r="H166" s="19" t="n">
        <v>1.133871</v>
      </c>
    </row>
    <row r="167" s="17">
      <c r="A167" s="19" t="n">
        <v>4160</v>
      </c>
      <c r="B167" s="19" t="n">
        <v>59103.333806</v>
      </c>
      <c r="C167" s="19" t="n">
        <v>2.2146381</v>
      </c>
      <c r="D167" s="19" t="n">
        <v>0.0029535824</v>
      </c>
      <c r="E167" s="19" t="n">
        <v>0.08816202539278656</v>
      </c>
      <c r="F167" s="19" t="n">
        <v>0.3184431652265493</v>
      </c>
      <c r="G167" s="19" t="n">
        <v>0.9132289093992405</v>
      </c>
      <c r="H167" s="19" t="n">
        <v>0.785933</v>
      </c>
    </row>
    <row r="168" s="17">
      <c r="A168" s="19" t="n">
        <v>4165</v>
      </c>
      <c r="B168" s="19" t="n">
        <v>46906.944067</v>
      </c>
      <c r="C168" s="19" t="n">
        <v>1.8713407</v>
      </c>
      <c r="D168" s="19" t="n">
        <v>0.0052828236</v>
      </c>
      <c r="E168" s="19" t="n">
        <v>0.07250111036984996</v>
      </c>
      <c r="F168" s="19" t="n">
        <v>0.2694101865822929</v>
      </c>
      <c r="G168" s="19" t="n">
        <v>0.952976217705153</v>
      </c>
      <c r="H168" s="19" t="n">
        <v>0.389629</v>
      </c>
    </row>
    <row r="169" s="17">
      <c r="A169" s="19" t="n">
        <v>4170</v>
      </c>
      <c r="B169" s="19" t="n">
        <v>50815.881795</v>
      </c>
      <c r="C169" s="19" t="n">
        <v>1.9297315</v>
      </c>
      <c r="D169" s="19" t="n">
        <v>0.0064342243</v>
      </c>
      <c r="E169" s="19" t="n">
        <v>0.03786974429339588</v>
      </c>
      <c r="F169" s="19" t="n">
        <v>0.178626931726888</v>
      </c>
      <c r="G169" s="19" t="n">
        <v>0.9660538443260561</v>
      </c>
      <c r="H169" s="19" t="n">
        <v>0.115408</v>
      </c>
    </row>
    <row r="170" s="17">
      <c r="A170" s="19" t="n">
        <v>4175</v>
      </c>
      <c r="B170" s="19" t="n">
        <v>73434.099392</v>
      </c>
      <c r="C170" s="19" t="n">
        <v>1.4857813</v>
      </c>
      <c r="D170" s="19" t="n">
        <v>0.0052112788</v>
      </c>
      <c r="E170" s="19" t="n">
        <v>0.1186708848568898</v>
      </c>
      <c r="F170" s="19" t="n">
        <v>0.2297149281497281</v>
      </c>
      <c r="G170" s="19" t="n">
        <v>0.913251822296502</v>
      </c>
      <c r="H170" s="19" t="n">
        <v>1.059542</v>
      </c>
    </row>
    <row r="171" s="17">
      <c r="A171" s="19" t="n">
        <v>4180</v>
      </c>
      <c r="B171" s="19" t="n">
        <v>36707.15998</v>
      </c>
      <c r="C171" s="19" t="n">
        <v>1.9348908</v>
      </c>
      <c r="D171" s="19" t="n">
        <v>0.0074953538</v>
      </c>
      <c r="E171" s="19" t="n">
        <v>0.04578562363825321</v>
      </c>
      <c r="F171" s="19" t="n">
        <v>0.1799037880933119</v>
      </c>
      <c r="G171" s="19" t="n">
        <v>0.9167064347894147</v>
      </c>
      <c r="H171" s="19" t="n">
        <v>0.368529</v>
      </c>
    </row>
    <row r="172" s="17">
      <c r="A172" s="19" t="n">
        <v>4185</v>
      </c>
      <c r="B172" s="19" t="n">
        <v>36285.242097</v>
      </c>
      <c r="C172" s="19" t="n">
        <v>2.1517886</v>
      </c>
      <c r="D172" s="19" t="n">
        <v>0.0034685103</v>
      </c>
      <c r="E172" s="19" t="n">
        <v>0.111358684198097</v>
      </c>
      <c r="F172" s="19" t="n">
        <v>0.1617319573569552</v>
      </c>
      <c r="G172" s="19" t="n">
        <v>0.9434926773771145</v>
      </c>
      <c r="H172" s="19" t="n">
        <v>0.628614</v>
      </c>
    </row>
    <row r="173" s="17">
      <c r="A173" s="19" t="n">
        <v>4190</v>
      </c>
      <c r="B173" s="19" t="n">
        <v>55277.043244</v>
      </c>
      <c r="C173" s="19" t="n">
        <v>2.2081597</v>
      </c>
      <c r="D173" s="19" t="n">
        <v>0.0049599205</v>
      </c>
      <c r="E173" s="19" t="n">
        <v>0.1198382025267564</v>
      </c>
      <c r="F173" s="19" t="n">
        <v>0.3638228458941118</v>
      </c>
      <c r="G173" s="19" t="n">
        <v>0.9237906055709315</v>
      </c>
      <c r="H173" s="19" t="n">
        <v>0.925614</v>
      </c>
    </row>
    <row r="174" s="17">
      <c r="A174" s="19" t="n">
        <v>4195</v>
      </c>
      <c r="B174" s="19" t="n">
        <v>50950.232194</v>
      </c>
      <c r="C174" s="19" t="n">
        <v>2.0137322</v>
      </c>
      <c r="D174" s="19" t="n">
        <v>0.007822177499999999</v>
      </c>
      <c r="E174" s="19" t="n">
        <v>0.0590581058265849</v>
      </c>
      <c r="F174" s="19" t="n">
        <v>0.1775030163715949</v>
      </c>
      <c r="G174" s="19" t="n">
        <v>0.9449763743632087</v>
      </c>
      <c r="H174" s="19" t="n">
        <v>0.331232</v>
      </c>
    </row>
    <row r="175" s="17">
      <c r="A175" s="19" t="n">
        <v>4200</v>
      </c>
      <c r="B175" s="19" t="n">
        <v>67255.969075</v>
      </c>
      <c r="C175" s="19" t="n">
        <v>2.0631667</v>
      </c>
      <c r="D175" s="19" t="n">
        <v>0.0054333452</v>
      </c>
      <c r="E175" s="19" t="n">
        <v>0.1085659953246132</v>
      </c>
      <c r="F175" s="19" t="n">
        <v>0.09340681963060936</v>
      </c>
      <c r="G175" s="19" t="n">
        <v>0.961056284722914</v>
      </c>
      <c r="H175" s="19" t="n">
        <v>0.435529</v>
      </c>
    </row>
    <row r="176" s="17">
      <c r="A176" s="19" t="n">
        <v>4205</v>
      </c>
      <c r="B176" s="19" t="n">
        <v>63807.310595</v>
      </c>
      <c r="C176" s="19" t="n">
        <v>2.3881618</v>
      </c>
      <c r="D176" s="19" t="n">
        <v>0.0033224847</v>
      </c>
      <c r="E176" s="19" t="n">
        <v>0.1048154464067683</v>
      </c>
      <c r="F176" s="19" t="n">
        <v>0.2505282576598953</v>
      </c>
      <c r="G176" s="19" t="n">
        <v>0.8720761533163588</v>
      </c>
      <c r="H176" s="19" t="n">
        <v>1.363774</v>
      </c>
    </row>
    <row r="177" s="17">
      <c r="A177" s="19" t="n">
        <v>4210</v>
      </c>
      <c r="B177" s="19" t="n">
        <v>41581.272106</v>
      </c>
      <c r="C177" s="19" t="n">
        <v>1.7349121</v>
      </c>
      <c r="D177" s="19" t="n">
        <v>0.007344851</v>
      </c>
      <c r="E177" s="19" t="n">
        <v>0.07156875947016664</v>
      </c>
      <c r="F177" s="19" t="n">
        <v>0.250985368747298</v>
      </c>
      <c r="G177" s="19" t="n">
        <v>0.8928389094747219</v>
      </c>
      <c r="H177" s="19" t="n">
        <v>0.781309</v>
      </c>
    </row>
    <row r="178" s="17">
      <c r="A178" s="19" t="n">
        <v>4215</v>
      </c>
      <c r="B178" s="19" t="n">
        <v>65818.903082</v>
      </c>
      <c r="C178" s="19" t="n">
        <v>2.2752048</v>
      </c>
      <c r="D178" s="19" t="n">
        <v>0.0055751123</v>
      </c>
      <c r="E178" s="19" t="n">
        <v>0.1517431134540879</v>
      </c>
      <c r="F178" s="19" t="n">
        <v>0.0826032501384161</v>
      </c>
      <c r="G178" s="19" t="n">
        <v>0.9577615044025228</v>
      </c>
      <c r="H178" s="19" t="n">
        <v>0.680994</v>
      </c>
    </row>
    <row r="179" s="17">
      <c r="A179" s="19" t="n">
        <v>4220</v>
      </c>
      <c r="B179" s="19" t="n">
        <v>62059.339215</v>
      </c>
      <c r="C179" s="19" t="n">
        <v>1.6632051</v>
      </c>
      <c r="D179" s="19" t="n">
        <v>0.0062714249</v>
      </c>
      <c r="E179" s="19" t="n">
        <v>0.1118272987204367</v>
      </c>
      <c r="F179" s="19" t="n">
        <v>0.3365823403561112</v>
      </c>
      <c r="G179" s="19" t="n">
        <v>0.8759955556636538</v>
      </c>
      <c r="H179" s="19" t="n">
        <v>1.406475</v>
      </c>
    </row>
    <row r="180" s="17">
      <c r="A180" s="19" t="n">
        <v>4225</v>
      </c>
      <c r="B180" s="19" t="n">
        <v>51525.489691</v>
      </c>
      <c r="C180" s="19" t="n">
        <v>1.8753467</v>
      </c>
      <c r="D180" s="19" t="n">
        <v>0.0069760449</v>
      </c>
      <c r="E180" s="19" t="n">
        <v>0.06816132687015489</v>
      </c>
      <c r="F180" s="19" t="n">
        <v>0.03079981201786602</v>
      </c>
      <c r="G180" s="19" t="n">
        <v>0.9090526445166991</v>
      </c>
      <c r="H180" s="19" t="n">
        <v>0.661531</v>
      </c>
    </row>
    <row r="181" s="17">
      <c r="A181" s="19" t="n">
        <v>4230</v>
      </c>
      <c r="B181" s="19" t="n">
        <v>45608.067401</v>
      </c>
      <c r="C181" s="19" t="n">
        <v>2.209379</v>
      </c>
      <c r="D181" s="19" t="n">
        <v>0.007983389299999999</v>
      </c>
      <c r="E181" s="19" t="n">
        <v>0.08539243948779426</v>
      </c>
      <c r="F181" s="19" t="n">
        <v>0.09756153932397289</v>
      </c>
      <c r="G181" s="19" t="n">
        <v>0.9192585294414942</v>
      </c>
      <c r="H181" s="19" t="n">
        <v>0.676081</v>
      </c>
    </row>
    <row r="182" s="17">
      <c r="A182" s="19" t="n">
        <v>4235</v>
      </c>
      <c r="B182" s="19" t="n">
        <v>36160.348609</v>
      </c>
      <c r="C182" s="19" t="n">
        <v>1.8892289</v>
      </c>
      <c r="D182" s="19" t="n">
        <v>0.0065250199</v>
      </c>
      <c r="E182" s="19" t="n">
        <v>0.03965193757023479</v>
      </c>
      <c r="F182" s="19" t="n">
        <v>0.05836771979289639</v>
      </c>
      <c r="G182" s="19" t="n">
        <v>0.9748938789448279</v>
      </c>
      <c r="H182" s="19" t="n">
        <v>0.128212</v>
      </c>
    </row>
    <row r="183" s="17">
      <c r="A183" s="19" t="n">
        <v>4240</v>
      </c>
      <c r="B183" s="19" t="n">
        <v>55621.733981</v>
      </c>
      <c r="C183" s="19" t="n">
        <v>1.9744598</v>
      </c>
      <c r="D183" s="19" t="n">
        <v>0.0079237428</v>
      </c>
      <c r="E183" s="19" t="n">
        <v>0.06495441638332419</v>
      </c>
      <c r="F183" s="19" t="n">
        <v>0.270056706665864</v>
      </c>
      <c r="G183" s="19" t="n">
        <v>0.9340735958597721</v>
      </c>
      <c r="H183" s="19" t="n">
        <v>0.466771</v>
      </c>
    </row>
    <row r="184" s="17">
      <c r="A184" s="19" t="n">
        <v>4245</v>
      </c>
      <c r="B184" s="19" t="n">
        <v>69292.08111499999</v>
      </c>
      <c r="C184" s="19" t="n">
        <v>1.7357228</v>
      </c>
      <c r="D184" s="19" t="n">
        <v>0.00422913</v>
      </c>
      <c r="E184" s="19" t="n">
        <v>0.09374123012729908</v>
      </c>
      <c r="F184" s="19" t="n">
        <v>0.124535656705811</v>
      </c>
      <c r="G184" s="19" t="n">
        <v>0.9440927172544309</v>
      </c>
      <c r="H184" s="19" t="n">
        <v>0.55017</v>
      </c>
    </row>
    <row r="185" s="17">
      <c r="A185" s="19" t="n">
        <v>4250</v>
      </c>
      <c r="B185" s="19" t="n">
        <v>70962.406948</v>
      </c>
      <c r="C185" s="19" t="n">
        <v>1.7479972</v>
      </c>
      <c r="D185" s="19" t="n">
        <v>0.0049952489</v>
      </c>
      <c r="E185" s="19" t="n">
        <v>0.1170530207705444</v>
      </c>
      <c r="F185" s="19" t="n">
        <v>0.330920850472035</v>
      </c>
      <c r="G185" s="19" t="n">
        <v>0.8700267650760567</v>
      </c>
      <c r="H185" s="19" t="n">
        <v>1.513397</v>
      </c>
    </row>
    <row r="186" s="17">
      <c r="A186" s="19" t="n">
        <v>4255</v>
      </c>
      <c r="B186" s="19" t="n">
        <v>33127.749014</v>
      </c>
      <c r="C186" s="19" t="n">
        <v>1.7920285</v>
      </c>
      <c r="D186" s="19" t="n">
        <v>0.0070583469</v>
      </c>
      <c r="E186" s="19" t="n">
        <v>0.0618565706493676</v>
      </c>
      <c r="F186" s="19" t="n">
        <v>0.2370497134352881</v>
      </c>
      <c r="G186" s="19" t="n">
        <v>0.9824084456788351</v>
      </c>
      <c r="H186" s="19" t="n">
        <v>0.11873</v>
      </c>
    </row>
    <row r="187" s="17">
      <c r="A187" s="19" t="n">
        <v>4260</v>
      </c>
      <c r="B187" s="19" t="n">
        <v>48474.870288</v>
      </c>
      <c r="C187" s="19" t="n">
        <v>1.8357748</v>
      </c>
      <c r="D187" s="19" t="n">
        <v>0.0068460308</v>
      </c>
      <c r="E187" s="19" t="n">
        <v>0.1359901037240286</v>
      </c>
      <c r="F187" s="19" t="n">
        <v>0.2668705637944572</v>
      </c>
      <c r="G187" s="19" t="n">
        <v>0.9568228081989711</v>
      </c>
      <c r="H187" s="19" t="n">
        <v>0.617714</v>
      </c>
    </row>
    <row r="188" s="17">
      <c r="A188" s="19" t="n">
        <v>4265</v>
      </c>
      <c r="B188" s="19" t="n">
        <v>74244.461344</v>
      </c>
      <c r="C188" s="19" t="n">
        <v>1.735268</v>
      </c>
      <c r="D188" s="19" t="n">
        <v>0.0028012273</v>
      </c>
      <c r="E188" s="19" t="n">
        <v>0.1028829564542401</v>
      </c>
      <c r="F188" s="19" t="n">
        <v>0.3294993346477368</v>
      </c>
      <c r="G188" s="19" t="n">
        <v>0.8853133588208377</v>
      </c>
      <c r="H188" s="19" t="n">
        <v>1.174259</v>
      </c>
    </row>
    <row r="189" s="17">
      <c r="A189" s="19" t="n">
        <v>4270</v>
      </c>
      <c r="B189" s="19" t="n">
        <v>43240.614894</v>
      </c>
      <c r="C189" s="19" t="n">
        <v>1.881882</v>
      </c>
      <c r="D189" s="19" t="n">
        <v>0.0087132939</v>
      </c>
      <c r="E189" s="19" t="n">
        <v>0.03731892904222695</v>
      </c>
      <c r="F189" s="19" t="n">
        <v>0.04296428503423865</v>
      </c>
      <c r="G189" s="19" t="n">
        <v>0.9700889019264054</v>
      </c>
      <c r="H189" s="19" t="n">
        <v>0.128218</v>
      </c>
    </row>
    <row r="190" s="17">
      <c r="A190" s="19" t="n">
        <v>4275</v>
      </c>
      <c r="B190" s="19" t="n">
        <v>37619.602297</v>
      </c>
      <c r="C190" s="19" t="n">
        <v>1.7081669</v>
      </c>
      <c r="D190" s="19" t="n">
        <v>0.0037864526</v>
      </c>
      <c r="E190" s="19" t="n">
        <v>0.09456287844570341</v>
      </c>
      <c r="F190" s="19" t="n">
        <v>0.2019672809138488</v>
      </c>
      <c r="G190" s="19" t="n">
        <v>0.8787590270096837</v>
      </c>
      <c r="H190" s="19" t="n">
        <v>1.154657</v>
      </c>
    </row>
    <row r="191" s="17">
      <c r="A191" s="19" t="n">
        <v>4280</v>
      </c>
      <c r="B191" s="19" t="n">
        <v>56780.894292</v>
      </c>
      <c r="C191" s="19" t="n">
        <v>2.2125089</v>
      </c>
      <c r="D191" s="19" t="n">
        <v>0.0044795024</v>
      </c>
      <c r="E191" s="19" t="n">
        <v>0.0793928364361443</v>
      </c>
      <c r="F191" s="19" t="n">
        <v>0.3546219473884706</v>
      </c>
      <c r="G191" s="19" t="n">
        <v>0.9518717457645007</v>
      </c>
      <c r="H191" s="19" t="n">
        <v>0.411154</v>
      </c>
    </row>
    <row r="192" s="17">
      <c r="A192" s="19" t="n">
        <v>4285</v>
      </c>
      <c r="B192" s="19" t="n">
        <v>51007.670885</v>
      </c>
      <c r="C192" s="19" t="n">
        <v>2.1618319</v>
      </c>
      <c r="D192" s="19" t="n">
        <v>0.008981765399999999</v>
      </c>
      <c r="E192" s="19" t="n">
        <v>0.06711934630978383</v>
      </c>
      <c r="F192" s="19" t="n">
        <v>0.09267994365225719</v>
      </c>
      <c r="G192" s="19" t="n">
        <v>0.9423628636367046</v>
      </c>
      <c r="H192" s="19" t="n">
        <v>0.429065</v>
      </c>
    </row>
    <row r="193" s="17">
      <c r="A193" s="19" t="n">
        <v>4290</v>
      </c>
      <c r="B193" s="19" t="n">
        <v>58390.015958</v>
      </c>
      <c r="C193" s="19" t="n">
        <v>1.9242142</v>
      </c>
      <c r="D193" s="19" t="n">
        <v>0.0067976406</v>
      </c>
      <c r="E193" s="19" t="n">
        <v>0.1018729897389394</v>
      </c>
      <c r="F193" s="19" t="n">
        <v>0.2622219656241666</v>
      </c>
      <c r="G193" s="19" t="n">
        <v>0.9005939971366271</v>
      </c>
      <c r="H193" s="19" t="n">
        <v>1.051697</v>
      </c>
    </row>
    <row r="194" s="17">
      <c r="A194" s="19" t="n">
        <v>4295</v>
      </c>
      <c r="B194" s="19" t="n">
        <v>66744.77465000001</v>
      </c>
      <c r="C194" s="19" t="n">
        <v>2.3824737</v>
      </c>
      <c r="D194" s="19" t="n">
        <v>0.0047111296</v>
      </c>
      <c r="E194" s="19" t="n">
        <v>0.07329371641032459</v>
      </c>
      <c r="F194" s="19" t="n">
        <v>0.202449462962573</v>
      </c>
      <c r="G194" s="19" t="n">
        <v>0.9362569622832642</v>
      </c>
      <c r="H194" s="19" t="n">
        <v>0.468992</v>
      </c>
    </row>
    <row r="195" s="17">
      <c r="A195" s="19" t="n">
        <v>4300</v>
      </c>
      <c r="B195" s="19" t="n">
        <v>36555.601233</v>
      </c>
      <c r="C195" s="19" t="n">
        <v>1.9847645</v>
      </c>
      <c r="D195" s="19" t="n">
        <v>0.0061209803</v>
      </c>
      <c r="E195" s="19" t="n">
        <v>0.05549993235798919</v>
      </c>
      <c r="F195" s="19" t="n">
        <v>0.1068546338167118</v>
      </c>
      <c r="G195" s="19" t="n">
        <v>0.9608600594629102</v>
      </c>
      <c r="H195" s="19" t="n">
        <v>0.26704</v>
      </c>
    </row>
    <row r="196" s="17">
      <c r="A196" s="19" t="n">
        <v>4305</v>
      </c>
      <c r="B196" s="19" t="n">
        <v>48103.528864</v>
      </c>
      <c r="C196" s="19" t="n">
        <v>1.8456596</v>
      </c>
      <c r="D196" s="19" t="n">
        <v>0.0059402482</v>
      </c>
      <c r="E196" s="19" t="n">
        <v>0.1388903356845708</v>
      </c>
      <c r="F196" s="19" t="n">
        <v>0.1371603871334531</v>
      </c>
      <c r="G196" s="19" t="n">
        <v>0.8885682900644719</v>
      </c>
      <c r="H196" s="19" t="n">
        <v>1.556503</v>
      </c>
    </row>
    <row r="197" s="17">
      <c r="A197" s="19" t="n">
        <v>4310</v>
      </c>
      <c r="B197" s="19" t="n">
        <v>57992.65568</v>
      </c>
      <c r="C197" s="19" t="n">
        <v>2.4550409</v>
      </c>
      <c r="D197" s="19" t="n">
        <v>0.0064619322</v>
      </c>
      <c r="E197" s="19" t="n">
        <v>0.06777820264012561</v>
      </c>
      <c r="F197" s="19" t="n">
        <v>0.3426960406865592</v>
      </c>
      <c r="G197" s="19" t="n">
        <v>0.912972870000725</v>
      </c>
      <c r="H197" s="19" t="n">
        <v>0.6214730000000001</v>
      </c>
    </row>
    <row r="198" s="17">
      <c r="A198" s="19" t="n">
        <v>4315</v>
      </c>
      <c r="B198" s="19" t="n">
        <v>44342.206245</v>
      </c>
      <c r="C198" s="19" t="n">
        <v>1.9944413</v>
      </c>
      <c r="D198" s="19" t="n">
        <v>0.0060497656</v>
      </c>
      <c r="E198" s="19" t="n">
        <v>0.04097070770616294</v>
      </c>
      <c r="F198" s="19" t="n">
        <v>0.1269958201776724</v>
      </c>
      <c r="G198" s="19" t="n">
        <v>0.9820608805336553</v>
      </c>
      <c r="H198" s="19" t="n">
        <v>0.06304700000000001</v>
      </c>
    </row>
    <row r="199" s="17">
      <c r="A199" s="19" t="n">
        <v>4320</v>
      </c>
      <c r="B199" s="19" t="n">
        <v>63391.266346</v>
      </c>
      <c r="C199" s="19" t="n">
        <v>1.9443408</v>
      </c>
      <c r="D199" s="19" t="n">
        <v>0.006018764</v>
      </c>
      <c r="E199" s="19" t="n">
        <v>0.1029736993592995</v>
      </c>
      <c r="F199" s="19" t="n">
        <v>0.2085062793263351</v>
      </c>
      <c r="G199" s="19" t="n">
        <v>0.9140900660581793</v>
      </c>
      <c r="H199" s="19" t="n">
        <v>0.883116</v>
      </c>
    </row>
    <row r="200" s="17">
      <c r="A200" s="19" t="n">
        <v>4325</v>
      </c>
      <c r="B200" s="19" t="n">
        <v>58750.43606</v>
      </c>
      <c r="C200" s="19" t="n">
        <v>1.48413</v>
      </c>
      <c r="D200" s="19" t="n">
        <v>0.0038848224</v>
      </c>
      <c r="E200" s="19" t="n">
        <v>0.04717223707266026</v>
      </c>
      <c r="F200" s="19" t="n">
        <v>0.3722451878267835</v>
      </c>
      <c r="G200" s="19" t="n">
        <v>0.8731889675516239</v>
      </c>
      <c r="H200" s="19" t="n">
        <v>0.630116</v>
      </c>
    </row>
    <row r="201" s="17">
      <c r="A201" s="19" t="n">
        <v>4330</v>
      </c>
      <c r="B201" s="19" t="n">
        <v>46940.519191</v>
      </c>
      <c r="C201" s="19" t="n">
        <v>2.0687601</v>
      </c>
      <c r="D201" s="19" t="n">
        <v>0.0068404123</v>
      </c>
      <c r="E201" s="19" t="n">
        <v>0.06695708613781941</v>
      </c>
      <c r="F201" s="19" t="n">
        <v>0.09410764018831159</v>
      </c>
      <c r="G201" s="19" t="n">
        <v>0.965039299303039</v>
      </c>
      <c r="H201" s="19" t="n">
        <v>0.259758</v>
      </c>
    </row>
    <row r="202" s="17">
      <c r="A202" s="19" t="n">
        <v>4335</v>
      </c>
      <c r="B202" s="19" t="n">
        <v>35476.196934</v>
      </c>
      <c r="C202" s="19" t="n">
        <v>1.6897884</v>
      </c>
      <c r="D202" s="19" t="n">
        <v>0.0078921789</v>
      </c>
      <c r="E202" s="19" t="n">
        <v>0.122445926914765</v>
      </c>
      <c r="F202" s="19" t="n">
        <v>0.1525158479381109</v>
      </c>
      <c r="G202" s="19" t="n">
        <v>0.9204479009645528</v>
      </c>
      <c r="H202" s="19" t="n">
        <v>0.972812</v>
      </c>
    </row>
    <row r="203" s="17">
      <c r="A203" s="19" t="n">
        <v>4340</v>
      </c>
      <c r="B203" s="19" t="n">
        <v>66346.48555300001</v>
      </c>
      <c r="C203" s="19" t="n">
        <v>1.7536776</v>
      </c>
      <c r="D203" s="19" t="n">
        <v>0.0042618478</v>
      </c>
      <c r="E203" s="19" t="n">
        <v>0.09348378903230499</v>
      </c>
      <c r="F203" s="19" t="n">
        <v>0.2432854958268512</v>
      </c>
      <c r="G203" s="19" t="n">
        <v>0.9613425103796404</v>
      </c>
      <c r="H203" s="19" t="n">
        <v>0.372707</v>
      </c>
    </row>
    <row r="204" s="17">
      <c r="A204" s="19" t="n">
        <v>4345</v>
      </c>
      <c r="B204" s="19" t="n">
        <v>33712.003459</v>
      </c>
      <c r="C204" s="19" t="n">
        <v>1.8039814</v>
      </c>
      <c r="D204" s="19" t="n">
        <v>0.009461592899999999</v>
      </c>
      <c r="E204" s="19" t="n">
        <v>0.07315211742855593</v>
      </c>
      <c r="F204" s="19" t="n">
        <v>0.2444018955744001</v>
      </c>
      <c r="G204" s="19" t="n">
        <v>0.9057955120229207</v>
      </c>
      <c r="H204" s="19" t="n">
        <v>0.734053</v>
      </c>
    </row>
    <row r="205" s="17">
      <c r="A205" s="19" t="n">
        <v>4350</v>
      </c>
      <c r="B205" s="19" t="n">
        <v>47287.97325</v>
      </c>
      <c r="C205" s="19" t="n">
        <v>2.0392019</v>
      </c>
      <c r="D205" s="19" t="n">
        <v>0.0040456603</v>
      </c>
      <c r="E205" s="19" t="n">
        <v>0.1437426713485858</v>
      </c>
      <c r="F205" s="19" t="n">
        <v>0.2262901336176717</v>
      </c>
      <c r="G205" s="19" t="n">
        <v>0.8993706324013481</v>
      </c>
      <c r="H205" s="19" t="n">
        <v>1.453191</v>
      </c>
    </row>
    <row r="206" s="17">
      <c r="A206" s="19" t="n">
        <v>4355</v>
      </c>
      <c r="B206" s="19" t="n">
        <v>62458.056625</v>
      </c>
      <c r="C206" s="19" t="n">
        <v>2.2254133</v>
      </c>
      <c r="D206" s="19" t="n">
        <v>0.0027289356</v>
      </c>
      <c r="E206" s="19" t="n">
        <v>0.1026849481120164</v>
      </c>
      <c r="F206" s="19" t="n">
        <v>0.3575658592080981</v>
      </c>
      <c r="G206" s="19" t="n">
        <v>0.9395073359974991</v>
      </c>
      <c r="H206" s="19" t="n">
        <v>0.61361</v>
      </c>
    </row>
    <row r="207" s="17">
      <c r="A207" s="19" t="n">
        <v>4360</v>
      </c>
      <c r="B207" s="19" t="n">
        <v>38120.662292</v>
      </c>
      <c r="C207" s="19" t="n">
        <v>2.072306</v>
      </c>
      <c r="D207" s="19" t="n">
        <v>0.0059102477</v>
      </c>
      <c r="E207" s="19" t="n">
        <v>0.03251999592854701</v>
      </c>
      <c r="F207" s="19" t="n">
        <v>0.0680725267179383</v>
      </c>
      <c r="G207" s="19" t="n">
        <v>1</v>
      </c>
      <c r="H207" s="19" t="n">
        <v>0.040443</v>
      </c>
    </row>
    <row r="208" s="17">
      <c r="A208" s="19" t="n">
        <v>4365</v>
      </c>
      <c r="B208" s="19" t="n">
        <v>39061.190952</v>
      </c>
      <c r="C208" s="19" t="n">
        <v>1.928741</v>
      </c>
      <c r="D208" s="19" t="n">
        <v>0.0063919841</v>
      </c>
      <c r="E208" s="19" t="n">
        <v>0.03340614551693055</v>
      </c>
      <c r="F208" s="19" t="n">
        <v>0.06909306401662157</v>
      </c>
      <c r="G208" s="19" t="n">
        <v>0.9234827737654119</v>
      </c>
      <c r="H208" s="19" t="n">
        <v>0.285985</v>
      </c>
    </row>
    <row r="209" s="17">
      <c r="A209" s="19" t="n">
        <v>4370</v>
      </c>
      <c r="B209" s="19" t="n">
        <v>64546.693335</v>
      </c>
      <c r="C209" s="19" t="n">
        <v>1.5325374</v>
      </c>
      <c r="D209" s="19" t="n">
        <v>0.0061987705</v>
      </c>
      <c r="E209" s="19" t="n">
        <v>0.1112270869887077</v>
      </c>
      <c r="F209" s="19" t="n">
        <v>0.2970749463771065</v>
      </c>
      <c r="G209" s="19" t="n">
        <v>0.8820209765547857</v>
      </c>
      <c r="H209" s="19" t="n">
        <v>1.313718</v>
      </c>
    </row>
    <row r="210" s="17">
      <c r="A210" s="19" t="n">
        <v>4375</v>
      </c>
      <c r="B210" s="19" t="n">
        <v>38601.42888</v>
      </c>
      <c r="C210" s="19" t="n">
        <v>1.9448227</v>
      </c>
      <c r="D210" s="19" t="n">
        <v>0.0057147316</v>
      </c>
      <c r="E210" s="19" t="n">
        <v>0.07131023522558605</v>
      </c>
      <c r="F210" s="19" t="n">
        <v>0.1573395943909449</v>
      </c>
      <c r="G210" s="19" t="n">
        <v>0.8597280081931693</v>
      </c>
      <c r="H210" s="19" t="n">
        <v>0.983168</v>
      </c>
    </row>
    <row r="211" s="17">
      <c r="A211" s="19" t="n">
        <v>4380</v>
      </c>
      <c r="B211" s="19" t="n">
        <v>61782.755757</v>
      </c>
      <c r="C211" s="19" t="n">
        <v>2.1009907</v>
      </c>
      <c r="D211" s="19" t="n">
        <v>0.005282369</v>
      </c>
      <c r="E211" s="19" t="n">
        <v>0.1389138562536501</v>
      </c>
      <c r="F211" s="19" t="n">
        <v>0.2443191871136801</v>
      </c>
      <c r="G211" s="19" t="n">
        <v>0.9182964947154281</v>
      </c>
      <c r="H211" s="19" t="n">
        <v>1.163531</v>
      </c>
    </row>
    <row r="212" s="17">
      <c r="A212" s="19" t="n">
        <v>4385</v>
      </c>
      <c r="B212" s="19" t="n">
        <v>69004.411559</v>
      </c>
      <c r="C212" s="19" t="n">
        <v>1.6947092</v>
      </c>
      <c r="D212" s="19" t="n">
        <v>0.0064468869</v>
      </c>
      <c r="E212" s="19" t="n">
        <v>0.1006943126496384</v>
      </c>
      <c r="F212" s="19" t="n">
        <v>0.2074051469853722</v>
      </c>
      <c r="G212" s="19" t="n">
        <v>0.8818713178075283</v>
      </c>
      <c r="H212" s="19" t="n">
        <v>1.230913</v>
      </c>
    </row>
    <row r="213" s="17">
      <c r="A213" s="19" t="n">
        <v>4390</v>
      </c>
      <c r="B213" s="19" t="n">
        <v>43647.663716</v>
      </c>
      <c r="C213" s="19" t="n">
        <v>1.84456</v>
      </c>
      <c r="D213" s="19" t="n">
        <v>0.0069930626</v>
      </c>
      <c r="E213" s="19" t="n">
        <v>0.06459344279846445</v>
      </c>
      <c r="F213" s="19" t="n">
        <v>0.1452545043341013</v>
      </c>
      <c r="G213" s="19" t="n">
        <v>0.9692293488441354</v>
      </c>
      <c r="H213" s="19" t="n">
        <v>0.197502</v>
      </c>
    </row>
    <row r="214" s="17">
      <c r="A214" s="19" t="n">
        <v>4395</v>
      </c>
      <c r="B214" s="19" t="n">
        <v>50078.78963</v>
      </c>
      <c r="C214" s="19" t="n">
        <v>1.8435571</v>
      </c>
      <c r="D214" s="19" t="n">
        <v>0.0078657724</v>
      </c>
      <c r="E214" s="19" t="n">
        <v>0.1071428690065947</v>
      </c>
      <c r="F214" s="19" t="n">
        <v>0.09800417216379308</v>
      </c>
      <c r="G214" s="19" t="n">
        <v>0.9896103510912188</v>
      </c>
      <c r="H214" s="19" t="n">
        <v>0.130258</v>
      </c>
    </row>
    <row r="215" s="17">
      <c r="A215" s="19" t="n">
        <v>4400</v>
      </c>
      <c r="B215" s="19" t="n">
        <v>72474.707738</v>
      </c>
      <c r="C215" s="19" t="n">
        <v>1.572838</v>
      </c>
      <c r="D215" s="19" t="n">
        <v>0.0047045499</v>
      </c>
      <c r="E215" s="19" t="n">
        <v>0.05119630535331766</v>
      </c>
      <c r="F215" s="19" t="n">
        <v>0.345309924828412</v>
      </c>
      <c r="G215" s="19" t="n">
        <v>0.9715101434730156</v>
      </c>
      <c r="H215" s="19" t="n">
        <v>0.156239</v>
      </c>
    </row>
    <row r="216" s="17">
      <c r="A216" s="19" t="n">
        <v>4405</v>
      </c>
      <c r="B216" s="19" t="n">
        <v>48457.772634</v>
      </c>
      <c r="C216" s="19" t="n">
        <v>1.8633602</v>
      </c>
      <c r="D216" s="19" t="n">
        <v>0.008030457100000001</v>
      </c>
      <c r="E216" s="19" t="n">
        <v>0.04956777962444997</v>
      </c>
      <c r="F216" s="19" t="n">
        <v>0.1665624275551267</v>
      </c>
      <c r="G216" s="19" t="n">
        <v>0.9548190917154664</v>
      </c>
      <c r="H216" s="19" t="n">
        <v>0.207654</v>
      </c>
    </row>
    <row r="217" s="17">
      <c r="A217" s="19" t="n">
        <v>4410</v>
      </c>
      <c r="B217" s="19" t="n">
        <v>50402.831001</v>
      </c>
      <c r="C217" s="19" t="n">
        <v>2.1285514</v>
      </c>
      <c r="D217" s="19" t="n">
        <v>0.0070147738</v>
      </c>
      <c r="E217" s="19" t="n">
        <v>0.09424620865215987</v>
      </c>
      <c r="F217" s="19" t="n">
        <v>0.2427529590564792</v>
      </c>
      <c r="G217" s="19" t="n">
        <v>0.9114577782595222</v>
      </c>
      <c r="H217" s="19" t="n">
        <v>0.8829399999999999</v>
      </c>
    </row>
    <row r="218" s="17">
      <c r="A218" s="19" t="n">
        <v>4415</v>
      </c>
      <c r="B218" s="19" t="n">
        <v>73852.489932</v>
      </c>
      <c r="C218" s="19" t="n">
        <v>2.2240043</v>
      </c>
      <c r="D218" s="19" t="n">
        <v>0.0032449835</v>
      </c>
      <c r="E218" s="19" t="n">
        <v>0.1157487350332423</v>
      </c>
      <c r="F218" s="19" t="n">
        <v>0.2543352345876537</v>
      </c>
      <c r="G218" s="19" t="n">
        <v>0.8748366583158594</v>
      </c>
      <c r="H218" s="19" t="n">
        <v>1.449472</v>
      </c>
    </row>
    <row r="219" s="17">
      <c r="A219" s="19" t="n">
        <v>4420</v>
      </c>
      <c r="B219" s="19" t="n">
        <v>39108.15079</v>
      </c>
      <c r="C219" s="19" t="n">
        <v>1.8953076</v>
      </c>
      <c r="D219" s="19" t="n">
        <v>0.009466616000000001</v>
      </c>
      <c r="E219" s="19" t="n">
        <v>0.0592591967537535</v>
      </c>
      <c r="F219" s="19" t="n">
        <v>0.2067678647784701</v>
      </c>
      <c r="G219" s="19" t="n">
        <v>0.928537237805875</v>
      </c>
      <c r="H219" s="19" t="n">
        <v>0.455024</v>
      </c>
    </row>
    <row r="220" s="17">
      <c r="A220" s="19" t="n">
        <v>4425</v>
      </c>
      <c r="B220" s="19" t="n">
        <v>51809.155114</v>
      </c>
      <c r="C220" s="19" t="n">
        <v>2.0217801</v>
      </c>
      <c r="D220" s="19" t="n">
        <v>0.0077968394</v>
      </c>
      <c r="E220" s="19" t="n">
        <v>0.09425079261901446</v>
      </c>
      <c r="F220" s="19" t="n">
        <v>0.3194567071824947</v>
      </c>
      <c r="G220" s="19" t="n">
        <v>0.8994580611944938</v>
      </c>
      <c r="H220" s="19" t="n">
        <v>0.997211</v>
      </c>
    </row>
    <row r="221" s="17">
      <c r="A221" s="19" t="n">
        <v>4430</v>
      </c>
      <c r="B221" s="19" t="n">
        <v>49447.4752</v>
      </c>
      <c r="C221" s="19" t="n">
        <v>1.9875175</v>
      </c>
      <c r="D221" s="19" t="n">
        <v>0.0054834799</v>
      </c>
      <c r="E221" s="19" t="n">
        <v>0.03231893288562011</v>
      </c>
      <c r="F221" s="19" t="n">
        <v>0.03093381909585473</v>
      </c>
      <c r="G221" s="19" t="n">
        <v>0.9781163034499937</v>
      </c>
      <c r="H221" s="19" t="n">
        <v>0.084416</v>
      </c>
    </row>
    <row r="222" s="17">
      <c r="A222" s="19" t="n">
        <v>4435</v>
      </c>
      <c r="B222" s="19" t="n">
        <v>39365.042217</v>
      </c>
      <c r="C222" s="19" t="n">
        <v>1.8627303</v>
      </c>
      <c r="D222" s="19" t="n">
        <v>0.0086885482</v>
      </c>
      <c r="E222" s="19" t="n">
        <v>0.05804209650825999</v>
      </c>
      <c r="F222" s="19" t="n">
        <v>0.1437838158606594</v>
      </c>
      <c r="G222" s="19" t="n">
        <v>0.9612914837609787</v>
      </c>
      <c r="H222" s="19" t="n">
        <v>0.215363</v>
      </c>
    </row>
    <row r="223" s="17">
      <c r="A223" s="19" t="n">
        <v>4440</v>
      </c>
      <c r="B223" s="19" t="n">
        <v>61807.359604</v>
      </c>
      <c r="C223" s="19" t="n">
        <v>1.8861049</v>
      </c>
      <c r="D223" s="19" t="n">
        <v>0.0041765091</v>
      </c>
      <c r="E223" s="19" t="n">
        <v>0.1250009403136443</v>
      </c>
      <c r="F223" s="19" t="n">
        <v>0.1370813979559432</v>
      </c>
      <c r="G223" s="19" t="n">
        <v>0.9349611770116967</v>
      </c>
      <c r="H223" s="19" t="n">
        <v>0.804627</v>
      </c>
    </row>
    <row r="224" s="17">
      <c r="A224" s="19" t="n">
        <v>4445</v>
      </c>
      <c r="B224" s="19" t="n">
        <v>64542.893082</v>
      </c>
      <c r="C224" s="19" t="n">
        <v>2.2186488</v>
      </c>
      <c r="D224" s="19" t="n">
        <v>0.0060283084</v>
      </c>
      <c r="E224" s="19" t="n">
        <v>0.05576288497625506</v>
      </c>
      <c r="F224" s="19" t="n">
        <v>0.3493585921155719</v>
      </c>
      <c r="G224" s="19" t="n">
        <v>0.925158766689231</v>
      </c>
      <c r="H224" s="19" t="n">
        <v>0.44004</v>
      </c>
    </row>
    <row r="225" s="17">
      <c r="A225" s="19" t="n">
        <v>4450</v>
      </c>
      <c r="B225" s="19" t="n">
        <v>37100.642967</v>
      </c>
      <c r="C225" s="19" t="n">
        <v>2.0433976</v>
      </c>
      <c r="D225" s="19" t="n">
        <v>0.0053642163</v>
      </c>
      <c r="E225" s="19" t="n">
        <v>0.05819856688537738</v>
      </c>
      <c r="F225" s="19" t="n">
        <v>0.06661992668469946</v>
      </c>
      <c r="G225" s="19" t="n">
        <v>0.9313844424906856</v>
      </c>
      <c r="H225" s="19" t="n">
        <v>0.394929</v>
      </c>
    </row>
    <row r="226" s="17">
      <c r="A226" s="19" t="n">
        <v>4455</v>
      </c>
      <c r="B226" s="19" t="n">
        <v>60648.437327</v>
      </c>
      <c r="C226" s="19" t="n">
        <v>1.8099067</v>
      </c>
      <c r="D226" s="19" t="n">
        <v>0.0039943227</v>
      </c>
      <c r="E226" s="19" t="n">
        <v>0.1182006234707624</v>
      </c>
      <c r="F226" s="19" t="n">
        <v>0.1113177503071447</v>
      </c>
      <c r="G226" s="19" t="n">
        <v>0.8887266187269255</v>
      </c>
      <c r="H226" s="19" t="n">
        <v>1.305814</v>
      </c>
    </row>
    <row r="227" s="17">
      <c r="A227" s="19" t="n">
        <v>4460</v>
      </c>
      <c r="B227" s="19" t="n">
        <v>65017.702096</v>
      </c>
      <c r="C227" s="19" t="n">
        <v>1.4777524</v>
      </c>
      <c r="D227" s="19" t="n">
        <v>0.005654043</v>
      </c>
      <c r="E227" s="19" t="n">
        <v>0.07733573408401283</v>
      </c>
      <c r="F227" s="19" t="n">
        <v>0.1849706590337661</v>
      </c>
      <c r="G227" s="19" t="n">
        <v>0.9382635673114136</v>
      </c>
      <c r="H227" s="19" t="n">
        <v>0.507396</v>
      </c>
    </row>
    <row r="228" s="17">
      <c r="A228" s="19" t="n">
        <v>4465</v>
      </c>
      <c r="B228" s="19" t="n">
        <v>54108.959207</v>
      </c>
      <c r="C228" s="19" t="n">
        <v>1.9618115</v>
      </c>
      <c r="D228" s="19" t="n">
        <v>0.0064553843</v>
      </c>
      <c r="E228" s="19" t="n">
        <v>0.06521585177731581</v>
      </c>
      <c r="F228" s="19" t="n">
        <v>0.2873074003998273</v>
      </c>
      <c r="G228" s="19" t="n">
        <v>0.9255774588264606</v>
      </c>
      <c r="H228" s="19" t="n">
        <v>0.495143</v>
      </c>
    </row>
    <row r="229" s="17">
      <c r="A229" s="19" t="n">
        <v>4470</v>
      </c>
      <c r="B229" s="19" t="n">
        <v>66465.34748300001</v>
      </c>
      <c r="C229" s="19" t="n">
        <v>2.0826364</v>
      </c>
      <c r="D229" s="19" t="n">
        <v>0.0058085929</v>
      </c>
      <c r="E229" s="19" t="n">
        <v>0.09410322654159652</v>
      </c>
      <c r="F229" s="19" t="n">
        <v>0.161699506586385</v>
      </c>
      <c r="G229" s="19" t="n">
        <v>0.9532360460850783</v>
      </c>
      <c r="H229" s="19" t="n">
        <v>0.422941</v>
      </c>
    </row>
    <row r="230" s="17">
      <c r="A230" s="19" t="n">
        <v>4475</v>
      </c>
      <c r="B230" s="19" t="n">
        <v>68864.67929</v>
      </c>
      <c r="C230" s="19" t="n">
        <v>2.4476628</v>
      </c>
      <c r="D230" s="19" t="n">
        <v>0.0033997036</v>
      </c>
      <c r="E230" s="19" t="n">
        <v>0.08577181612574006</v>
      </c>
      <c r="F230" s="19" t="n">
        <v>0.2810982709332485</v>
      </c>
      <c r="G230" s="19" t="n">
        <v>0.8917321659220376</v>
      </c>
      <c r="H230" s="19" t="n">
        <v>0.930719</v>
      </c>
    </row>
    <row r="231" s="17">
      <c r="A231" s="19" t="n">
        <v>4480</v>
      </c>
      <c r="B231" s="19" t="n">
        <v>55209.050823</v>
      </c>
      <c r="C231" s="19" t="n">
        <v>1.77401</v>
      </c>
      <c r="D231" s="19" t="n">
        <v>0.0071139588</v>
      </c>
      <c r="E231" s="19" t="n">
        <v>0.07176467281779568</v>
      </c>
      <c r="F231" s="19" t="n">
        <v>0.06798474755769442</v>
      </c>
      <c r="G231" s="19" t="n">
        <v>0.934165491621572</v>
      </c>
      <c r="H231" s="19" t="n">
        <v>0.454929</v>
      </c>
    </row>
    <row r="232" s="17">
      <c r="A232" s="19" t="n">
        <v>4485</v>
      </c>
      <c r="B232" s="19" t="n">
        <v>51949.479652</v>
      </c>
      <c r="C232" s="19" t="n">
        <v>1.7942989</v>
      </c>
      <c r="D232" s="19" t="n">
        <v>0.0047709043</v>
      </c>
      <c r="E232" s="19" t="n">
        <v>0.1480472134375213</v>
      </c>
      <c r="F232" s="19" t="n">
        <v>0.1727768790284539</v>
      </c>
      <c r="G232" s="19" t="n">
        <v>0.96827296990693</v>
      </c>
      <c r="H232" s="19" t="n">
        <v>0.478595</v>
      </c>
    </row>
    <row r="233" s="17">
      <c r="A233" s="19" t="n">
        <v>4490</v>
      </c>
      <c r="B233" s="19" t="n">
        <v>55520.661788</v>
      </c>
      <c r="C233" s="19" t="n">
        <v>2.333941</v>
      </c>
      <c r="D233" s="19" t="n">
        <v>0.0048307501</v>
      </c>
      <c r="E233" s="19" t="n">
        <v>0.04576613272661177</v>
      </c>
      <c r="F233" s="19" t="n">
        <v>0.2759071481529106</v>
      </c>
      <c r="G233" s="19" t="n">
        <v>0.8775879107909834</v>
      </c>
      <c r="H233" s="19" t="n">
        <v>0.566101</v>
      </c>
    </row>
    <row r="234" s="17">
      <c r="A234" s="19" t="n">
        <v>4495</v>
      </c>
      <c r="B234" s="19" t="n">
        <v>46833.054658</v>
      </c>
      <c r="C234" s="19" t="n">
        <v>2.0094608</v>
      </c>
      <c r="D234" s="19" t="n">
        <v>0.008641396500000001</v>
      </c>
      <c r="E234" s="19" t="n">
        <v>0.03388348592676994</v>
      </c>
      <c r="F234" s="19" t="n">
        <v>0.09122177131534574</v>
      </c>
      <c r="G234" s="19" t="n">
        <v>0.9531387216546767</v>
      </c>
      <c r="H234" s="19" t="n">
        <v>0.2057</v>
      </c>
    </row>
    <row r="235" s="17">
      <c r="A235" s="19" t="n">
        <v>4500</v>
      </c>
      <c r="B235" s="19" t="n">
        <v>39397.207178</v>
      </c>
      <c r="C235" s="19" t="n">
        <v>1.9568726</v>
      </c>
      <c r="D235" s="19" t="n">
        <v>0.003639294</v>
      </c>
      <c r="E235" s="19" t="n">
        <v>0.1339530035192831</v>
      </c>
      <c r="F235" s="19" t="n">
        <v>0.3274193046076509</v>
      </c>
      <c r="G235" s="19" t="n">
        <v>0.8712831663738616</v>
      </c>
      <c r="H235" s="19" t="n">
        <v>1.70455</v>
      </c>
    </row>
    <row r="236" s="17">
      <c r="A236" s="19" t="n">
        <v>4505</v>
      </c>
      <c r="B236" s="19" t="n">
        <v>64875.348248</v>
      </c>
      <c r="C236" s="19" t="n">
        <v>2.3466298</v>
      </c>
      <c r="D236" s="19" t="n">
        <v>0.00380189</v>
      </c>
      <c r="E236" s="19" t="n">
        <v>0.07418557984788177</v>
      </c>
      <c r="F236" s="19" t="n">
        <v>0.3100609246024869</v>
      </c>
      <c r="G236" s="19" t="n">
        <v>0.9547451171038607</v>
      </c>
      <c r="H236" s="19" t="n">
        <v>0.356421</v>
      </c>
    </row>
    <row r="237" s="17">
      <c r="A237" s="19" t="n">
        <v>4510</v>
      </c>
      <c r="B237" s="19" t="n">
        <v>57537.980061</v>
      </c>
      <c r="C237" s="19" t="n">
        <v>1.9984648</v>
      </c>
      <c r="D237" s="19" t="n">
        <v>0.0075724661</v>
      </c>
      <c r="E237" s="19" t="n">
        <v>0.0326423368070088</v>
      </c>
      <c r="F237" s="19" t="n">
        <v>0.05883366673162076</v>
      </c>
      <c r="G237" s="19" t="n">
        <v>0.9676605087144506</v>
      </c>
      <c r="H237" s="19" t="n">
        <v>0.147343</v>
      </c>
    </row>
    <row r="238" s="17">
      <c r="A238" s="19" t="n">
        <v>4515</v>
      </c>
      <c r="B238" s="19" t="n">
        <v>61706.005233</v>
      </c>
      <c r="C238" s="19" t="n">
        <v>1.98779</v>
      </c>
      <c r="D238" s="19" t="n">
        <v>0.0069146336</v>
      </c>
      <c r="E238" s="19" t="n">
        <v>0.08626753478042143</v>
      </c>
      <c r="F238" s="19" t="n">
        <v>0.2864128677796519</v>
      </c>
      <c r="G238" s="19" t="n">
        <v>0.8949587508712744</v>
      </c>
      <c r="H238" s="19" t="n">
        <v>0.946256</v>
      </c>
    </row>
    <row r="239" s="17">
      <c r="A239" s="19" t="n">
        <v>4520</v>
      </c>
      <c r="B239" s="19" t="n">
        <v>64864.28097</v>
      </c>
      <c r="C239" s="19" t="n">
        <v>2.2153599</v>
      </c>
      <c r="D239" s="19" t="n">
        <v>0.0047225578</v>
      </c>
      <c r="E239" s="19" t="n">
        <v>0.06008821088512463</v>
      </c>
      <c r="F239" s="19" t="n">
        <v>0.3543471920031732</v>
      </c>
      <c r="G239" s="19" t="n">
        <v>0.9229090976694541</v>
      </c>
      <c r="H239" s="19" t="n">
        <v>0.472272</v>
      </c>
    </row>
    <row r="240" s="17">
      <c r="A240" s="19" t="n">
        <v>4525</v>
      </c>
      <c r="B240" s="19" t="n">
        <v>45045.060076</v>
      </c>
      <c r="C240" s="19" t="n">
        <v>2.1641659</v>
      </c>
      <c r="D240" s="19" t="n">
        <v>0.0080034752</v>
      </c>
      <c r="E240" s="19" t="n">
        <v>0.06749341854525592</v>
      </c>
      <c r="F240" s="19" t="n">
        <v>0.192507680227876</v>
      </c>
      <c r="G240" s="19" t="n">
        <v>0.8940633968552377</v>
      </c>
      <c r="H240" s="19" t="n">
        <v>0.745243</v>
      </c>
    </row>
    <row r="241" s="17">
      <c r="A241" s="19" t="n">
        <v>4530</v>
      </c>
      <c r="B241" s="19" t="n">
        <v>53635.462112</v>
      </c>
      <c r="C241" s="19" t="n">
        <v>1.7550081</v>
      </c>
      <c r="D241" s="19" t="n">
        <v>0.0042568173</v>
      </c>
      <c r="E241" s="19" t="n">
        <v>0.1123080182116512</v>
      </c>
      <c r="F241" s="19" t="n">
        <v>0.1991883630332932</v>
      </c>
      <c r="G241" s="19" t="n">
        <v>0.9253924510406668</v>
      </c>
      <c r="H241" s="19" t="n">
        <v>0.86564</v>
      </c>
    </row>
    <row r="242" s="17">
      <c r="A242" s="19" t="n">
        <v>4535</v>
      </c>
      <c r="B242" s="19" t="n">
        <v>60870.479513</v>
      </c>
      <c r="C242" s="19" t="n">
        <v>2.2579707</v>
      </c>
      <c r="D242" s="19" t="n">
        <v>0.0055849862</v>
      </c>
      <c r="E242" s="19" t="n">
        <v>0.07930057302932063</v>
      </c>
      <c r="F242" s="19" t="n">
        <v>0.3652471597528052</v>
      </c>
      <c r="G242" s="19" t="n">
        <v>0.8734790207178903</v>
      </c>
      <c r="H242" s="19" t="n">
        <v>1.027171</v>
      </c>
    </row>
    <row r="243" s="17">
      <c r="A243" s="19" t="n">
        <v>4540</v>
      </c>
      <c r="B243" s="19" t="n">
        <v>53051.053176</v>
      </c>
      <c r="C243" s="19" t="n">
        <v>2.0739136</v>
      </c>
      <c r="D243" s="19" t="n">
        <v>0.0086664545</v>
      </c>
      <c r="E243" s="19" t="n">
        <v>0.04696775706077547</v>
      </c>
      <c r="F243" s="19" t="n">
        <v>0.1591384991673664</v>
      </c>
      <c r="G243" s="19" t="n">
        <v>0.9522034774234298</v>
      </c>
      <c r="H243" s="19" t="n">
        <v>0.208096</v>
      </c>
    </row>
    <row r="244" s="17">
      <c r="A244" s="19" t="n">
        <v>4545</v>
      </c>
      <c r="B244" s="19" t="n">
        <v>67858.922668</v>
      </c>
      <c r="C244" s="19" t="n">
        <v>2.0433166</v>
      </c>
      <c r="D244" s="19" t="n">
        <v>0.0045519565</v>
      </c>
      <c r="E244" s="19" t="n">
        <v>0.1592061491150367</v>
      </c>
      <c r="F244" s="19" t="n">
        <v>0.278992475846999</v>
      </c>
      <c r="G244" s="19" t="n">
        <v>0.9090941460251294</v>
      </c>
      <c r="H244" s="19" t="n">
        <v>1.483292</v>
      </c>
    </row>
    <row r="245" s="17">
      <c r="A245" s="19" t="n">
        <v>4550</v>
      </c>
      <c r="B245" s="19" t="n">
        <v>65909.631541</v>
      </c>
      <c r="C245" s="19" t="n">
        <v>2.4046544</v>
      </c>
      <c r="D245" s="19" t="n">
        <v>0.0055819134</v>
      </c>
      <c r="E245" s="19" t="n">
        <v>0.09829355012845337</v>
      </c>
      <c r="F245" s="19" t="n">
        <v>0.354359401294623</v>
      </c>
      <c r="G245" s="19" t="n">
        <v>0.9290451119827835</v>
      </c>
      <c r="H245" s="19" t="n">
        <v>0.697198</v>
      </c>
    </row>
    <row r="246" s="17">
      <c r="A246" s="19" t="n">
        <v>4555</v>
      </c>
      <c r="B246" s="19" t="n">
        <v>43948.561812</v>
      </c>
      <c r="C246" s="19" t="n">
        <v>1.7644888</v>
      </c>
      <c r="D246" s="19" t="n">
        <v>0.0085790994</v>
      </c>
      <c r="E246" s="19" t="n">
        <v>0.03342470563972934</v>
      </c>
      <c r="F246" s="19" t="n">
        <v>0.2117263742730567</v>
      </c>
      <c r="G246" s="19" t="n">
        <v>0.8817712124839213</v>
      </c>
      <c r="H246" s="19" t="n">
        <v>0.378052</v>
      </c>
    </row>
    <row r="247" s="17">
      <c r="A247" s="19" t="n">
        <v>4560</v>
      </c>
      <c r="B247" s="19" t="n">
        <v>54498.431015</v>
      </c>
      <c r="C247" s="19" t="n">
        <v>1.9186984</v>
      </c>
      <c r="D247" s="19" t="n">
        <v>0.0056869265</v>
      </c>
      <c r="E247" s="19" t="n">
        <v>0.04068337517945957</v>
      </c>
      <c r="F247" s="19" t="n">
        <v>0.1524038821603436</v>
      </c>
      <c r="G247" s="19" t="n">
        <v>0.9269143112094805</v>
      </c>
      <c r="H247" s="19" t="n">
        <v>0.340498</v>
      </c>
    </row>
    <row r="248" s="17">
      <c r="A248" s="19" t="n">
        <v>4565</v>
      </c>
      <c r="B248" s="19" t="n">
        <v>56361.026847</v>
      </c>
      <c r="C248" s="19" t="n">
        <v>1.6195501</v>
      </c>
      <c r="D248" s="19" t="n">
        <v>0.0029840992</v>
      </c>
      <c r="E248" s="19" t="n">
        <v>0.09614395061947091</v>
      </c>
      <c r="F248" s="19" t="n">
        <v>0.3488344868297047</v>
      </c>
      <c r="G248" s="19" t="n">
        <v>0.8393261953821116</v>
      </c>
      <c r="H248" s="19" t="n">
        <v>1.530324</v>
      </c>
    </row>
    <row r="249" s="17">
      <c r="A249" s="19" t="n">
        <v>4570</v>
      </c>
      <c r="B249" s="19" t="n">
        <v>42958.776314</v>
      </c>
      <c r="C249" s="19" t="n">
        <v>1.9168824</v>
      </c>
      <c r="D249" s="19" t="n">
        <v>0.006787111</v>
      </c>
      <c r="E249" s="19" t="n">
        <v>0.05420734856700103</v>
      </c>
      <c r="F249" s="19" t="n">
        <v>0.2184326897057956</v>
      </c>
      <c r="G249" s="19" t="n">
        <v>0.8956655576162382</v>
      </c>
      <c r="H249" s="19" t="n">
        <v>0.589404</v>
      </c>
    </row>
    <row r="250" s="17">
      <c r="A250" s="19" t="n">
        <v>4575</v>
      </c>
      <c r="B250" s="19" t="n">
        <v>60701.488632</v>
      </c>
      <c r="C250" s="19" t="n">
        <v>2.0562835</v>
      </c>
      <c r="D250" s="19" t="n">
        <v>0.003478402</v>
      </c>
      <c r="E250" s="19" t="n">
        <v>0.09510745618032881</v>
      </c>
      <c r="F250" s="19" t="n">
        <v>0.1923420027158322</v>
      </c>
      <c r="G250" s="19" t="n">
        <v>0.9732133625459115</v>
      </c>
      <c r="H250" s="19" t="n">
        <v>0.238078</v>
      </c>
    </row>
    <row r="251" s="17">
      <c r="A251" s="19" t="n">
        <v>4580</v>
      </c>
      <c r="B251" s="19" t="n">
        <v>63281.61586</v>
      </c>
      <c r="C251" s="19" t="n">
        <v>1.7210685</v>
      </c>
      <c r="D251" s="19" t="n">
        <v>0.0044660266</v>
      </c>
      <c r="E251" s="19" t="n">
        <v>0.09612199952468835</v>
      </c>
      <c r="F251" s="19" t="n">
        <v>0.3308455527368012</v>
      </c>
      <c r="G251" s="19" t="n">
        <v>0.9507538734898351</v>
      </c>
      <c r="H251" s="19" t="n">
        <v>0.482259</v>
      </c>
    </row>
    <row r="252" s="17">
      <c r="A252" s="19" t="n">
        <v>4585</v>
      </c>
      <c r="B252" s="19" t="n">
        <v>38326.234146</v>
      </c>
      <c r="C252" s="19" t="n">
        <v>2.0520956</v>
      </c>
      <c r="D252" s="19" t="n">
        <v>0.008805365000000001</v>
      </c>
      <c r="E252" s="19" t="n">
        <v>0.05138595633111058</v>
      </c>
      <c r="F252" s="19" t="n">
        <v>0.1260856915059459</v>
      </c>
      <c r="G252" s="19" t="n">
        <v>0.9884815785190183</v>
      </c>
      <c r="H252" s="19" t="n">
        <v>0.07170799999999999</v>
      </c>
    </row>
    <row r="253" s="17">
      <c r="A253" s="19" t="n">
        <v>4590</v>
      </c>
      <c r="B253" s="19" t="n">
        <v>39443.703057</v>
      </c>
      <c r="C253" s="19" t="n">
        <v>1.8669577</v>
      </c>
      <c r="D253" s="19" t="n">
        <v>0.0078677504</v>
      </c>
      <c r="E253" s="19" t="n">
        <v>0.1295372186216815</v>
      </c>
      <c r="F253" s="19" t="n">
        <v>0.09287003675830345</v>
      </c>
      <c r="G253" s="19" t="n">
        <v>0.9360632957015322</v>
      </c>
      <c r="H253" s="19" t="n">
        <v>0.816105</v>
      </c>
    </row>
    <row r="254" s="17">
      <c r="A254" s="19" t="n">
        <v>4595</v>
      </c>
      <c r="B254" s="19" t="n">
        <v>57369.082533</v>
      </c>
      <c r="C254" s="19" t="n">
        <v>1.6836084</v>
      </c>
      <c r="D254" s="19" t="n">
        <v>0.0036218327</v>
      </c>
      <c r="E254" s="19" t="n">
        <v>0.118227916710986</v>
      </c>
      <c r="F254" s="19" t="n">
        <v>0.3016420910109954</v>
      </c>
      <c r="G254" s="19" t="n">
        <v>0.8662377772438085</v>
      </c>
      <c r="H254" s="19" t="n">
        <v>1.578736</v>
      </c>
    </row>
    <row r="255" s="17">
      <c r="A255" s="19" t="n">
        <v>4600</v>
      </c>
      <c r="B255" s="19" t="n">
        <v>45113.458228</v>
      </c>
      <c r="C255" s="19" t="n">
        <v>2.1175476</v>
      </c>
      <c r="D255" s="19" t="n">
        <v>0.008169802699999999</v>
      </c>
      <c r="E255" s="19" t="n">
        <v>0.07261208798309182</v>
      </c>
      <c r="F255" s="19" t="n">
        <v>0.1939607700876692</v>
      </c>
      <c r="G255" s="19" t="n">
        <v>0.9401292898750424</v>
      </c>
      <c r="H255" s="19" t="n">
        <v>0.48302</v>
      </c>
    </row>
    <row r="256" s="17">
      <c r="A256" s="19" t="n">
        <v>4605</v>
      </c>
      <c r="B256" s="19" t="n">
        <v>36256.204144</v>
      </c>
      <c r="C256" s="19" t="n">
        <v>1.7096486</v>
      </c>
      <c r="D256" s="19" t="n">
        <v>0.0055788653</v>
      </c>
      <c r="E256" s="19" t="n">
        <v>0.1567701839007596</v>
      </c>
      <c r="F256" s="19" t="n">
        <v>0.1859305903513443</v>
      </c>
      <c r="G256" s="19" t="n">
        <v>0.8885671495270798</v>
      </c>
      <c r="H256" s="19" t="n">
        <v>1.728547</v>
      </c>
    </row>
    <row r="257" s="17">
      <c r="A257" s="19" t="n">
        <v>4610</v>
      </c>
      <c r="B257" s="19" t="n">
        <v>58199.812851</v>
      </c>
      <c r="C257" s="19" t="n">
        <v>1.5884807</v>
      </c>
      <c r="D257" s="19" t="n">
        <v>0.0052101167</v>
      </c>
      <c r="E257" s="19" t="n">
        <v>0.06144954097391683</v>
      </c>
      <c r="F257" s="19" t="n">
        <v>0.3482209779728556</v>
      </c>
      <c r="G257" s="19" t="n">
        <v>0.8977184667400736</v>
      </c>
      <c r="H257" s="19" t="n">
        <v>0.628204</v>
      </c>
    </row>
    <row r="258" s="17">
      <c r="A258" s="19" t="n">
        <v>4615</v>
      </c>
      <c r="B258" s="19" t="n">
        <v>53112.59147</v>
      </c>
      <c r="C258" s="19" t="n">
        <v>2.0488042</v>
      </c>
      <c r="D258" s="19" t="n">
        <v>0.008698896899999999</v>
      </c>
      <c r="E258" s="19" t="n">
        <v>0.06095913949819864</v>
      </c>
      <c r="F258" s="19" t="n">
        <v>0.2651039199672273</v>
      </c>
      <c r="G258" s="19" t="n">
        <v>0.923610704462677</v>
      </c>
      <c r="H258" s="19" t="n">
        <v>0.496079</v>
      </c>
    </row>
    <row r="259" s="17">
      <c r="A259" s="19" t="n">
        <v>4620</v>
      </c>
      <c r="B259" s="19" t="n">
        <v>47893.086999</v>
      </c>
      <c r="C259" s="19" t="n">
        <v>1.9039667</v>
      </c>
      <c r="D259" s="19" t="n">
        <v>0.0045529377</v>
      </c>
      <c r="E259" s="19" t="n">
        <v>0.1172959801822035</v>
      </c>
      <c r="F259" s="19" t="n">
        <v>0.1053463741872107</v>
      </c>
      <c r="G259" s="19" t="n">
        <v>0.9399636490361749</v>
      </c>
      <c r="H259" s="19" t="n">
        <v>0.725153</v>
      </c>
    </row>
    <row r="260" s="17">
      <c r="A260" s="19" t="n">
        <v>4625</v>
      </c>
      <c r="B260" s="19" t="n">
        <v>51790.953693</v>
      </c>
      <c r="C260" s="19" t="n">
        <v>1.929622</v>
      </c>
      <c r="D260" s="19" t="n">
        <v>0.008799209299999999</v>
      </c>
      <c r="E260" s="19" t="n">
        <v>0.03427287977563974</v>
      </c>
      <c r="F260" s="19" t="n">
        <v>0.0594573515678567</v>
      </c>
      <c r="G260" s="19" t="n">
        <v>0.9582675485566067</v>
      </c>
      <c r="H260" s="19" t="n">
        <v>0.150727</v>
      </c>
    </row>
    <row r="261" s="17">
      <c r="A261" s="19" t="n">
        <v>4630</v>
      </c>
      <c r="B261" s="19" t="n">
        <v>39813.20856</v>
      </c>
      <c r="C261" s="19" t="n">
        <v>2.0108531</v>
      </c>
      <c r="D261" s="19" t="n">
        <v>0.0073229883</v>
      </c>
      <c r="E261" s="19" t="n">
        <v>0.06517458103523141</v>
      </c>
      <c r="F261" s="19" t="n">
        <v>0.09932870852644148</v>
      </c>
      <c r="G261" s="19" t="n">
        <v>0.9378874578921113</v>
      </c>
      <c r="H261" s="19" t="n">
        <v>0.394194</v>
      </c>
    </row>
    <row r="262" s="17">
      <c r="A262" s="19" t="n">
        <v>4635</v>
      </c>
      <c r="B262" s="19" t="n">
        <v>51658.619789</v>
      </c>
      <c r="C262" s="19" t="n">
        <v>1.9123649</v>
      </c>
      <c r="D262" s="19" t="n">
        <v>0.0053390827</v>
      </c>
      <c r="E262" s="19" t="n">
        <v>0.130685173694905</v>
      </c>
      <c r="F262" s="19" t="n">
        <v>0.2142689531650299</v>
      </c>
      <c r="G262" s="19" t="n">
        <v>0.9439888526930449</v>
      </c>
      <c r="H262" s="19" t="n">
        <v>0.765727</v>
      </c>
    </row>
    <row r="263" s="17">
      <c r="A263" s="19" t="n">
        <v>4640</v>
      </c>
      <c r="B263" s="19" t="n">
        <v>62862.605182</v>
      </c>
      <c r="C263" s="19" t="n">
        <v>2.3744596</v>
      </c>
      <c r="D263" s="19" t="n">
        <v>0.0043096867</v>
      </c>
      <c r="E263" s="19" t="n">
        <v>0.04142942649562633</v>
      </c>
      <c r="F263" s="19" t="n">
        <v>0.2743992287198068</v>
      </c>
      <c r="G263" s="19" t="n">
        <v>0.8944686094355574</v>
      </c>
      <c r="H263" s="19" t="n">
        <v>0.459202</v>
      </c>
    </row>
    <row r="264" s="17">
      <c r="A264" s="19" t="n">
        <v>4645</v>
      </c>
      <c r="B264" s="19" t="n">
        <v>45492.787439</v>
      </c>
      <c r="C264" s="19" t="n">
        <v>1.8364507</v>
      </c>
      <c r="D264" s="19" t="n">
        <v>0.0074080027</v>
      </c>
      <c r="E264" s="19" t="n">
        <v>0.06989513413665011</v>
      </c>
      <c r="F264" s="19" t="n">
        <v>0.06578356126799124</v>
      </c>
      <c r="G264" s="19" t="n">
        <v>0.9369205968468969</v>
      </c>
      <c r="H264" s="19" t="n">
        <v>0.447407</v>
      </c>
    </row>
    <row r="265" s="17">
      <c r="A265" s="19" t="n">
        <v>4650</v>
      </c>
      <c r="B265" s="19" t="n">
        <v>66865.82861</v>
      </c>
      <c r="C265" s="19" t="n">
        <v>1.9879407</v>
      </c>
      <c r="D265" s="19" t="n">
        <v>0.0064201784</v>
      </c>
      <c r="E265" s="19" t="n">
        <v>0.1558120814379323</v>
      </c>
      <c r="F265" s="19" t="n">
        <v>0.1234362907605528</v>
      </c>
      <c r="G265" s="19" t="n">
        <v>0.9082959100393126</v>
      </c>
      <c r="H265" s="19" t="n">
        <v>1.427261</v>
      </c>
    </row>
    <row r="266" s="17">
      <c r="A266" s="19" t="n">
        <v>4655</v>
      </c>
      <c r="B266" s="19" t="n">
        <v>73474.65900100001</v>
      </c>
      <c r="C266" s="19" t="n">
        <v>2.2321409</v>
      </c>
      <c r="D266" s="19" t="n">
        <v>0.0061289811</v>
      </c>
      <c r="E266" s="19" t="n">
        <v>0.1182961387730655</v>
      </c>
      <c r="F266" s="19" t="n">
        <v>0.3200940794980426</v>
      </c>
      <c r="G266" s="19" t="n">
        <v>0.9226712568684754</v>
      </c>
      <c r="H266" s="19" t="n">
        <v>0.948752</v>
      </c>
    </row>
    <row r="267" s="17">
      <c r="A267" s="19" t="n">
        <v>4660</v>
      </c>
      <c r="B267" s="19" t="n">
        <v>56927.586551</v>
      </c>
      <c r="C267" s="19" t="n">
        <v>2.1482309</v>
      </c>
      <c r="D267" s="19" t="n">
        <v>0.009425227499999999</v>
      </c>
      <c r="E267" s="19" t="n">
        <v>0.03171860568818242</v>
      </c>
      <c r="F267" s="19" t="n">
        <v>0.05761708297672936</v>
      </c>
      <c r="G267" s="19" t="n">
        <v>0.994549725165583</v>
      </c>
      <c r="H267" s="19" t="n">
        <v>0.01271</v>
      </c>
    </row>
    <row r="268" s="17">
      <c r="A268" s="19" t="n">
        <v>4665</v>
      </c>
      <c r="B268" s="19" t="n">
        <v>44134.132522</v>
      </c>
      <c r="C268" s="19" t="n">
        <v>1.8309085</v>
      </c>
      <c r="D268" s="19" t="n">
        <v>0.0043635972</v>
      </c>
      <c r="E268" s="19" t="n">
        <v>0.159083801590098</v>
      </c>
      <c r="F268" s="19" t="n">
        <v>0.2258173998610899</v>
      </c>
      <c r="G268" s="19" t="n">
        <v>0.9169670728555889</v>
      </c>
      <c r="H268" s="19" t="n">
        <v>1.3198</v>
      </c>
    </row>
    <row r="269" s="17">
      <c r="A269" s="19" t="n">
        <v>4670</v>
      </c>
      <c r="B269" s="19" t="n">
        <v>69588.40090199999</v>
      </c>
      <c r="C269" s="19" t="n">
        <v>2.2260164</v>
      </c>
      <c r="D269" s="19" t="n">
        <v>0.0048190277</v>
      </c>
      <c r="E269" s="19" t="n">
        <v>0.1091618218528382</v>
      </c>
      <c r="F269" s="19" t="n">
        <v>0.2491058245738015</v>
      </c>
      <c r="G269" s="19" t="n">
        <v>0.877843495948251</v>
      </c>
      <c r="H269" s="19" t="n">
        <v>1.356998</v>
      </c>
    </row>
    <row r="270" s="17">
      <c r="A270" s="19" t="n">
        <v>4675</v>
      </c>
      <c r="B270" s="19" t="n">
        <v>52229.039443</v>
      </c>
      <c r="C270" s="19" t="n">
        <v>1.9223244</v>
      </c>
      <c r="D270" s="19" t="n">
        <v>0.0077376754</v>
      </c>
      <c r="E270" s="19" t="n">
        <v>0.07372654700543993</v>
      </c>
      <c r="F270" s="19" t="n">
        <v>0.04295324614507072</v>
      </c>
      <c r="G270" s="19" t="n">
        <v>0.9258895202070949</v>
      </c>
      <c r="H270" s="19" t="n">
        <v>0.550175</v>
      </c>
    </row>
    <row r="271" s="17">
      <c r="A271" s="19" t="n">
        <v>4680</v>
      </c>
      <c r="B271" s="19" t="n">
        <v>56317.361175</v>
      </c>
      <c r="C271" s="19" t="n">
        <v>1.987138</v>
      </c>
      <c r="D271" s="19" t="n">
        <v>0.0054063914</v>
      </c>
      <c r="E271" s="19" t="n">
        <v>0.103441281229199</v>
      </c>
      <c r="F271" s="19" t="n">
        <v>0.1711484302064634</v>
      </c>
      <c r="G271" s="19" t="n">
        <v>0.946864353205718</v>
      </c>
      <c r="H271" s="19" t="n">
        <v>0.563171</v>
      </c>
    </row>
    <row r="272" s="17">
      <c r="A272" s="19" t="n">
        <v>4685</v>
      </c>
      <c r="B272" s="19" t="n">
        <v>71337.288915</v>
      </c>
      <c r="C272" s="19" t="n">
        <v>1.7256342</v>
      </c>
      <c r="D272" s="19" t="n">
        <v>0.0061645716</v>
      </c>
      <c r="E272" s="19" t="n">
        <v>0.07518545102253565</v>
      </c>
      <c r="F272" s="19" t="n">
        <v>0.2826359776941967</v>
      </c>
      <c r="G272" s="19" t="n">
        <v>0.9500089352581422</v>
      </c>
      <c r="H272" s="19" t="n">
        <v>0.374137</v>
      </c>
    </row>
    <row r="273" s="17">
      <c r="A273" s="19" t="n">
        <v>4690</v>
      </c>
      <c r="B273" s="19" t="n">
        <v>54061.393097</v>
      </c>
      <c r="C273" s="19" t="n">
        <v>1.9343263</v>
      </c>
      <c r="D273" s="19" t="n">
        <v>0.0052611783</v>
      </c>
      <c r="E273" s="19" t="n">
        <v>0.06739855366316214</v>
      </c>
      <c r="F273" s="19" t="n">
        <v>0.06574354150659051</v>
      </c>
      <c r="G273" s="19" t="n">
        <v>0.9153870992801512</v>
      </c>
      <c r="H273" s="19" t="n">
        <v>0.5518380000000001</v>
      </c>
    </row>
    <row r="274" s="17">
      <c r="A274" s="19" t="n">
        <v>4695</v>
      </c>
      <c r="B274" s="19" t="n">
        <v>42988.488703</v>
      </c>
      <c r="C274" s="19" t="n">
        <v>2.0042995</v>
      </c>
      <c r="D274" s="19" t="n">
        <v>0.0049666238</v>
      </c>
      <c r="E274" s="19" t="n">
        <v>0.09184493371469493</v>
      </c>
      <c r="F274" s="19" t="n">
        <v>0.08987467540719386</v>
      </c>
      <c r="G274" s="19" t="n">
        <v>0.9370108382696035</v>
      </c>
      <c r="H274" s="19" t="n">
        <v>0.606839</v>
      </c>
    </row>
    <row r="275" s="17">
      <c r="A275" s="19" t="n">
        <v>4700</v>
      </c>
      <c r="B275" s="19" t="n">
        <v>69639.275676</v>
      </c>
      <c r="C275" s="19" t="n">
        <v>2.3570969</v>
      </c>
      <c r="D275" s="19" t="n">
        <v>0.0056281297</v>
      </c>
      <c r="E275" s="19" t="n">
        <v>0.0683119405911901</v>
      </c>
      <c r="F275" s="19" t="n">
        <v>0.3139810231055961</v>
      </c>
      <c r="G275" s="19" t="n">
        <v>0.9267743873472769</v>
      </c>
      <c r="H275" s="19" t="n">
        <v>0.490046</v>
      </c>
    </row>
    <row r="276" s="17">
      <c r="A276" s="19" t="n">
        <v>4705</v>
      </c>
      <c r="B276" s="19" t="n">
        <v>39212.512605</v>
      </c>
      <c r="C276" s="19" t="n">
        <v>2.1365752</v>
      </c>
      <c r="D276" s="19" t="n">
        <v>0.0077673809</v>
      </c>
      <c r="E276" s="19" t="n">
        <v>0.05397356942563078</v>
      </c>
      <c r="F276" s="19" t="n">
        <v>0.05037448563165629</v>
      </c>
      <c r="G276" s="19" t="n">
        <v>0.9678329008945615</v>
      </c>
      <c r="H276" s="19" t="n">
        <v>0.218283</v>
      </c>
    </row>
    <row r="277" s="17">
      <c r="A277" s="19" t="n">
        <v>4710</v>
      </c>
      <c r="B277" s="19" t="n">
        <v>60371.566294</v>
      </c>
      <c r="C277" s="19" t="n">
        <v>1.742936</v>
      </c>
      <c r="D277" s="19" t="n">
        <v>0.004273704</v>
      </c>
      <c r="E277" s="19" t="n">
        <v>0.1239178717347486</v>
      </c>
      <c r="F277" s="19" t="n">
        <v>0.2668172566216729</v>
      </c>
      <c r="G277" s="19" t="n">
        <v>0.9213479164997659</v>
      </c>
      <c r="H277" s="19" t="n">
        <v>1.006772</v>
      </c>
    </row>
    <row r="278" s="17">
      <c r="A278" s="19" t="n">
        <v>4715</v>
      </c>
      <c r="B278" s="19" t="n">
        <v>68761.761916</v>
      </c>
      <c r="C278" s="19" t="n">
        <v>1.807943</v>
      </c>
      <c r="D278" s="19" t="n">
        <v>0.0056720593</v>
      </c>
      <c r="E278" s="19" t="n">
        <v>0.06204350290584806</v>
      </c>
      <c r="F278" s="19" t="n">
        <v>0.2476963569345931</v>
      </c>
      <c r="G278" s="19" t="n">
        <v>0.9161586998454059</v>
      </c>
      <c r="H278" s="19" t="n">
        <v>0.542859</v>
      </c>
    </row>
    <row r="279" s="17">
      <c r="A279" s="19" t="n">
        <v>4720</v>
      </c>
      <c r="B279" s="19" t="n">
        <v>50913.730646</v>
      </c>
      <c r="C279" s="19" t="n">
        <v>2.0409667</v>
      </c>
      <c r="D279" s="19" t="n">
        <v>0.0059795697</v>
      </c>
      <c r="E279" s="19" t="n">
        <v>0.03644732919425846</v>
      </c>
      <c r="F279" s="19" t="n">
        <v>0.07436388281044426</v>
      </c>
      <c r="G279" s="19" t="n">
        <v>0.9799028960194457</v>
      </c>
      <c r="H279" s="19" t="n">
        <v>0.068838</v>
      </c>
    </row>
    <row r="280" s="17">
      <c r="A280" s="19" t="n">
        <v>4725</v>
      </c>
      <c r="B280" s="19" t="n">
        <v>56196.148314</v>
      </c>
      <c r="C280" s="19" t="n">
        <v>1.7397138</v>
      </c>
      <c r="D280" s="19" t="n">
        <v>0.0053975624</v>
      </c>
      <c r="E280" s="19" t="n">
        <v>0.08795997454177608</v>
      </c>
      <c r="F280" s="19" t="n">
        <v>0.1389681696041133</v>
      </c>
      <c r="G280" s="19" t="n">
        <v>0.9388411059483893</v>
      </c>
      <c r="H280" s="19" t="n">
        <v>0.5626949999999999</v>
      </c>
    </row>
    <row r="281" s="17">
      <c r="A281" s="19" t="n">
        <v>4730</v>
      </c>
      <c r="B281" s="19" t="n">
        <v>73631.004</v>
      </c>
      <c r="C281" s="19" t="n">
        <v>1.7912378</v>
      </c>
      <c r="D281" s="19" t="n">
        <v>0.0031896293</v>
      </c>
      <c r="E281" s="19" t="n">
        <v>0.06206179281327007</v>
      </c>
      <c r="F281" s="19" t="n">
        <v>0.188196323438916</v>
      </c>
      <c r="G281" s="19" t="n">
        <v>0.9208812045068973</v>
      </c>
      <c r="H281" s="19" t="n">
        <v>0.491748</v>
      </c>
    </row>
    <row r="282" s="17">
      <c r="A282" s="19" t="n">
        <v>4735</v>
      </c>
      <c r="B282" s="19" t="n">
        <v>45857.380955</v>
      </c>
      <c r="C282" s="19" t="n">
        <v>2.0894839</v>
      </c>
      <c r="D282" s="19" t="n">
        <v>0.0071165562</v>
      </c>
      <c r="E282" s="19" t="n">
        <v>0.05455553643556143</v>
      </c>
      <c r="F282" s="19" t="n">
        <v>0.1447144935984079</v>
      </c>
      <c r="G282" s="19" t="n">
        <v>0.9792347865562079</v>
      </c>
      <c r="H282" s="19" t="n">
        <v>0.129358</v>
      </c>
    </row>
    <row r="283" s="17">
      <c r="A283" s="19" t="n">
        <v>4740</v>
      </c>
      <c r="B283" s="19" t="n">
        <v>50266.306242</v>
      </c>
      <c r="C283" s="19" t="n">
        <v>2.1014497</v>
      </c>
      <c r="D283" s="19" t="n">
        <v>0.0060981908</v>
      </c>
      <c r="E283" s="19" t="n">
        <v>0.1050991879788083</v>
      </c>
      <c r="F283" s="19" t="n">
        <v>0.1260816042497472</v>
      </c>
      <c r="G283" s="19" t="n">
        <v>0.8877118108435574</v>
      </c>
      <c r="H283" s="19" t="n">
        <v>1.198972</v>
      </c>
    </row>
    <row r="284" s="17">
      <c r="A284" s="19" t="n">
        <v>4745</v>
      </c>
      <c r="B284" s="19" t="n">
        <v>74473.56507500001</v>
      </c>
      <c r="C284" s="19" t="n">
        <v>2.1868568</v>
      </c>
      <c r="D284" s="19" t="n">
        <v>0.0041532407</v>
      </c>
      <c r="E284" s="19" t="n">
        <v>0.07494928441984314</v>
      </c>
      <c r="F284" s="19" t="n">
        <v>0.3597965492495117</v>
      </c>
      <c r="G284" s="19" t="n">
        <v>0.910381897003583</v>
      </c>
      <c r="H284" s="19" t="n">
        <v>0.673284</v>
      </c>
    </row>
    <row r="285" s="17">
      <c r="A285" s="19" t="n">
        <v>4750</v>
      </c>
      <c r="B285" s="19" t="n">
        <v>57400.17417</v>
      </c>
      <c r="C285" s="19" t="n">
        <v>1.913452</v>
      </c>
      <c r="D285" s="19" t="n">
        <v>0.0088005011</v>
      </c>
      <c r="E285" s="19" t="n">
        <v>0.03971982779265143</v>
      </c>
      <c r="F285" s="19" t="n">
        <v>0.2443329456174524</v>
      </c>
      <c r="G285" s="19" t="n">
        <v>0.990994862820189</v>
      </c>
      <c r="H285" s="19" t="n">
        <v>0.044015</v>
      </c>
    </row>
    <row r="286" s="17">
      <c r="A286" s="19" t="n">
        <v>4755</v>
      </c>
      <c r="B286" s="19" t="n">
        <v>53991.412423</v>
      </c>
      <c r="C286" s="19" t="n">
        <v>1.9128652</v>
      </c>
      <c r="D286" s="19" t="n">
        <v>0.0082395761</v>
      </c>
      <c r="E286" s="19" t="n">
        <v>0.04335806251879026</v>
      </c>
      <c r="F286" s="19" t="n">
        <v>0.04343898738520718</v>
      </c>
      <c r="G286" s="19" t="n">
        <v>0.9564771284755331</v>
      </c>
      <c r="H286" s="19" t="n">
        <v>0.189621</v>
      </c>
    </row>
    <row r="287" s="17">
      <c r="A287" s="19" t="n">
        <v>4760</v>
      </c>
      <c r="B287" s="19" t="n">
        <v>73686.89769500001</v>
      </c>
      <c r="C287" s="19" t="n">
        <v>2.1376586</v>
      </c>
      <c r="D287" s="19" t="n">
        <v>0.0053282394</v>
      </c>
      <c r="E287" s="19" t="n">
        <v>0.09660939341263119</v>
      </c>
      <c r="F287" s="19" t="n">
        <v>0.3159676875705522</v>
      </c>
      <c r="G287" s="19" t="n">
        <v>0.8857769978188328</v>
      </c>
      <c r="H287" s="19" t="n">
        <v>1.124671</v>
      </c>
    </row>
    <row r="288" s="17">
      <c r="A288" s="19" t="n">
        <v>4765</v>
      </c>
      <c r="B288" s="19" t="n">
        <v>41982.789211</v>
      </c>
      <c r="C288" s="19" t="n">
        <v>2.0365339</v>
      </c>
      <c r="D288" s="19" t="n">
        <v>0.0074825602</v>
      </c>
      <c r="E288" s="19" t="n">
        <v>0.0343931040307227</v>
      </c>
      <c r="F288" s="19" t="n">
        <v>0.0401048344109631</v>
      </c>
      <c r="G288" s="19" t="n">
        <v>0.9926426378507781</v>
      </c>
      <c r="H288" s="19" t="n">
        <v>0.054408</v>
      </c>
    </row>
    <row r="289" s="17">
      <c r="A289" s="19" t="n">
        <v>4770</v>
      </c>
      <c r="B289" s="19" t="n">
        <v>48555.258986</v>
      </c>
      <c r="C289" s="19" t="n">
        <v>2.0530431</v>
      </c>
      <c r="D289" s="19" t="n">
        <v>0.0038121946</v>
      </c>
      <c r="E289" s="19" t="n">
        <v>0.09994177696400601</v>
      </c>
      <c r="F289" s="19" t="n">
        <v>0.3147742094058099</v>
      </c>
      <c r="G289" s="19" t="n">
        <v>0.9218537613983192</v>
      </c>
      <c r="H289" s="19" t="n">
        <v>0.814708</v>
      </c>
    </row>
    <row r="290" s="17">
      <c r="A290" s="19" t="n">
        <v>4775</v>
      </c>
      <c r="B290" s="19" t="n">
        <v>59923.643168</v>
      </c>
      <c r="C290" s="19" t="n">
        <v>1.5517868</v>
      </c>
      <c r="D290" s="19" t="n">
        <v>0.004923113</v>
      </c>
      <c r="E290" s="19" t="n">
        <v>0.1074131858543951</v>
      </c>
      <c r="F290" s="19" t="n">
        <v>0.2687690939715451</v>
      </c>
      <c r="G290" s="19" t="n">
        <v>0.90570877233039</v>
      </c>
      <c r="H290" s="19" t="n">
        <v>1.00126</v>
      </c>
    </row>
    <row r="291" s="17">
      <c r="A291" s="19" t="n">
        <v>4780</v>
      </c>
      <c r="B291" s="19" t="n">
        <v>56947.981498</v>
      </c>
      <c r="C291" s="19" t="n">
        <v>2.0714143</v>
      </c>
      <c r="D291" s="19" t="n">
        <v>0.0068887963</v>
      </c>
      <c r="E291" s="19" t="n">
        <v>0.03317344662378625</v>
      </c>
      <c r="F291" s="19" t="n">
        <v>0.1629498264368627</v>
      </c>
      <c r="G291" s="19" t="n">
        <v>1</v>
      </c>
      <c r="H291" s="19" t="n">
        <v>0.001</v>
      </c>
    </row>
    <row r="292" s="17">
      <c r="A292" s="19" t="n">
        <v>4785</v>
      </c>
      <c r="B292" s="19" t="n">
        <v>40424.028831</v>
      </c>
      <c r="C292" s="19" t="n">
        <v>2.0964967</v>
      </c>
      <c r="D292" s="19" t="n">
        <v>0.0058809456</v>
      </c>
      <c r="E292" s="19" t="n">
        <v>0.1407710351543349</v>
      </c>
      <c r="F292" s="19" t="n">
        <v>0.3294246056005379</v>
      </c>
      <c r="G292" s="19" t="n">
        <v>0.8660435082505573</v>
      </c>
      <c r="H292" s="19" t="n">
        <v>1.9183</v>
      </c>
    </row>
    <row r="293" s="17">
      <c r="A293" s="19" t="n">
        <v>4790</v>
      </c>
      <c r="B293" s="19" t="n">
        <v>64705.098312</v>
      </c>
      <c r="C293" s="19" t="n">
        <v>2.2712915</v>
      </c>
      <c r="D293" s="19" t="n">
        <v>0.0042735018</v>
      </c>
      <c r="E293" s="19" t="n">
        <v>0.06183148956459639</v>
      </c>
      <c r="F293" s="19" t="n">
        <v>0.3183708643726437</v>
      </c>
      <c r="G293" s="19" t="n">
        <v>0.9925108648073546</v>
      </c>
      <c r="H293" s="19" t="n">
        <v>0.072958</v>
      </c>
    </row>
    <row r="294" s="17">
      <c r="A294" s="19" t="n">
        <v>4795</v>
      </c>
      <c r="B294" s="19" t="n">
        <v>33169.211713</v>
      </c>
      <c r="C294" s="19" t="n">
        <v>2.0207363</v>
      </c>
      <c r="D294" s="19" t="n">
        <v>0.0072887965</v>
      </c>
      <c r="E294" s="19" t="n">
        <v>0.04080461160968357</v>
      </c>
      <c r="F294" s="19" t="n">
        <v>0.1969147247407829</v>
      </c>
      <c r="G294" s="19" t="n">
        <v>0.9408343037912814</v>
      </c>
      <c r="H294" s="19" t="n">
        <v>0.283653</v>
      </c>
    </row>
    <row r="295" s="17">
      <c r="A295" s="19" t="n">
        <v>4800</v>
      </c>
      <c r="B295" s="19" t="n">
        <v>53485.22536</v>
      </c>
      <c r="C295" s="19" t="n">
        <v>2.1779148</v>
      </c>
      <c r="D295" s="19" t="n">
        <v>0.0080097434</v>
      </c>
      <c r="E295" s="19" t="n">
        <v>0.1273523675109988</v>
      </c>
      <c r="F295" s="19" t="n">
        <v>0.2477899070609946</v>
      </c>
      <c r="G295" s="19" t="n">
        <v>0.8455143013240043</v>
      </c>
      <c r="H295" s="19" t="n">
        <v>2.006097</v>
      </c>
    </row>
    <row r="296" s="17">
      <c r="A296" s="19" t="n">
        <v>4805</v>
      </c>
      <c r="B296" s="19" t="n">
        <v>55872.888109</v>
      </c>
      <c r="C296" s="19" t="n">
        <v>1.7954808</v>
      </c>
      <c r="D296" s="19" t="n">
        <v>0.0057168586</v>
      </c>
      <c r="E296" s="19" t="n">
        <v>0.09715843584735215</v>
      </c>
      <c r="F296" s="19" t="n">
        <v>0.3503335298843146</v>
      </c>
      <c r="G296" s="19" t="n">
        <v>0.9177595513454473</v>
      </c>
      <c r="H296" s="19" t="n">
        <v>0.798701</v>
      </c>
    </row>
    <row r="297" s="17">
      <c r="A297" s="19" t="n">
        <v>4810</v>
      </c>
      <c r="B297" s="19" t="n">
        <v>42197.167272</v>
      </c>
      <c r="C297" s="19" t="n">
        <v>1.932748</v>
      </c>
      <c r="D297" s="19" t="n">
        <v>0.0056684505</v>
      </c>
      <c r="E297" s="19" t="n">
        <v>0.03030510457993665</v>
      </c>
      <c r="F297" s="19" t="n">
        <v>0.05124891637701902</v>
      </c>
      <c r="G297" s="19" t="n">
        <v>0.9020049725571558</v>
      </c>
      <c r="H297" s="19" t="n">
        <v>0.290138</v>
      </c>
    </row>
    <row r="298" s="17">
      <c r="A298" s="19" t="n">
        <v>4815</v>
      </c>
      <c r="B298" s="19" t="n">
        <v>56636.155756</v>
      </c>
      <c r="C298" s="19" t="n">
        <v>1.9995962</v>
      </c>
      <c r="D298" s="19" t="n">
        <v>0.0074706255</v>
      </c>
      <c r="E298" s="19" t="n">
        <v>0.1433058341482462</v>
      </c>
      <c r="F298" s="19" t="n">
        <v>0.2084577415851896</v>
      </c>
      <c r="G298" s="19" t="n">
        <v>0.8760648203328156</v>
      </c>
      <c r="H298" s="19" t="n">
        <v>1.820126</v>
      </c>
    </row>
    <row r="299" s="17">
      <c r="A299" s="19" t="n">
        <v>4820</v>
      </c>
      <c r="B299" s="19" t="n">
        <v>37133.7054</v>
      </c>
      <c r="C299" s="19" t="n">
        <v>1.9134627</v>
      </c>
      <c r="D299" s="19" t="n">
        <v>0.005390968</v>
      </c>
      <c r="E299" s="19" t="n">
        <v>0.06230981557688654</v>
      </c>
      <c r="F299" s="19" t="n">
        <v>0.1581350989448121</v>
      </c>
      <c r="G299" s="19" t="n">
        <v>0.9769982879800813</v>
      </c>
      <c r="H299" s="19" t="n">
        <v>0.17316</v>
      </c>
    </row>
    <row r="300" s="17">
      <c r="A300" s="19" t="n">
        <v>4825</v>
      </c>
      <c r="B300" s="19" t="n">
        <v>32100.969646</v>
      </c>
      <c r="C300" s="19" t="n">
        <v>1.8653774</v>
      </c>
      <c r="D300" s="19" t="n">
        <v>0.008501371799999999</v>
      </c>
      <c r="E300" s="19" t="n">
        <v>0.07011942423610473</v>
      </c>
      <c r="F300" s="19" t="n">
        <v>0.2980368827162694</v>
      </c>
      <c r="G300" s="19" t="n">
        <v>0.9057834765361684</v>
      </c>
      <c r="H300" s="19" t="n">
        <v>0.698331</v>
      </c>
    </row>
    <row r="301" s="17">
      <c r="A301" s="19" t="n">
        <v>4830</v>
      </c>
      <c r="B301" s="19" t="n">
        <v>48651.043821</v>
      </c>
      <c r="C301" s="19" t="n">
        <v>2.260348</v>
      </c>
      <c r="D301" s="19" t="n">
        <v>0.0034918589</v>
      </c>
      <c r="E301" s="19" t="n">
        <v>0.09050684135791204</v>
      </c>
      <c r="F301" s="19" t="n">
        <v>0.1301534003887929</v>
      </c>
      <c r="G301" s="19" t="n">
        <v>0.9055364429703141</v>
      </c>
      <c r="H301" s="19" t="n">
        <v>0.872648</v>
      </c>
    </row>
    <row r="302" s="17">
      <c r="A302" s="19" t="n">
        <v>4835</v>
      </c>
      <c r="B302" s="19" t="n">
        <v>65750.104911</v>
      </c>
      <c r="C302" s="19" t="n">
        <v>1.677708</v>
      </c>
      <c r="D302" s="19" t="n">
        <v>0.0030151321</v>
      </c>
      <c r="E302" s="19" t="n">
        <v>0.05696461290788773</v>
      </c>
      <c r="F302" s="19" t="n">
        <v>0.3209161094122912</v>
      </c>
      <c r="G302" s="19" t="n">
        <v>0.9899705573095501</v>
      </c>
      <c r="H302" s="19" t="n">
        <v>0.086939</v>
      </c>
    </row>
    <row r="303" s="17">
      <c r="A303" s="19" t="n">
        <v>4840</v>
      </c>
      <c r="B303" s="19" t="n">
        <v>47187.272136</v>
      </c>
      <c r="C303" s="19" t="n">
        <v>1.8046107</v>
      </c>
      <c r="D303" s="19" t="n">
        <v>0.0066219074</v>
      </c>
      <c r="E303" s="19" t="n">
        <v>0.0647468280408858</v>
      </c>
      <c r="F303" s="19" t="n">
        <v>0.1440352476434408</v>
      </c>
      <c r="G303" s="19" t="n">
        <v>0.9366691418506509</v>
      </c>
      <c r="H303" s="19" t="n">
        <v>0.433673</v>
      </c>
    </row>
    <row r="304" s="17">
      <c r="A304" s="19" t="n">
        <v>4845</v>
      </c>
      <c r="B304" s="19" t="n">
        <v>61620.822531</v>
      </c>
      <c r="C304" s="19" t="n">
        <v>2.1757254</v>
      </c>
      <c r="D304" s="19" t="n">
        <v>0.0073368132</v>
      </c>
      <c r="E304" s="19" t="n">
        <v>0.1576416073215041</v>
      </c>
      <c r="F304" s="19" t="n">
        <v>0.123707026183735</v>
      </c>
      <c r="G304" s="19" t="n">
        <v>0.8933463241054496</v>
      </c>
      <c r="H304" s="19" t="n">
        <v>1.667351</v>
      </c>
    </row>
    <row r="305" s="17">
      <c r="A305" s="19" t="n">
        <v>4850</v>
      </c>
      <c r="B305" s="19" t="n">
        <v>74686.072671</v>
      </c>
      <c r="C305" s="19" t="n">
        <v>2.1369496</v>
      </c>
      <c r="D305" s="19" t="n">
        <v>0.0059846243</v>
      </c>
      <c r="E305" s="19" t="n">
        <v>0.05081977624102334</v>
      </c>
      <c r="F305" s="19" t="n">
        <v>0.2566515558731879</v>
      </c>
      <c r="G305" s="19" t="n">
        <v>0.9210637728316164</v>
      </c>
      <c r="H305" s="19" t="n">
        <v>0.405647</v>
      </c>
    </row>
    <row r="306" s="17">
      <c r="A306" s="19" t="n">
        <v>4855</v>
      </c>
      <c r="B306" s="19" t="n">
        <v>47566.219921</v>
      </c>
      <c r="C306" s="19" t="n">
        <v>1.9115358</v>
      </c>
      <c r="D306" s="19" t="n">
        <v>0.008141619100000001</v>
      </c>
      <c r="E306" s="19" t="n">
        <v>0.07118732824648738</v>
      </c>
      <c r="F306" s="19" t="n">
        <v>0.02574970791319927</v>
      </c>
      <c r="G306" s="19" t="n">
        <v>0.9641782844516475</v>
      </c>
      <c r="H306" s="19" t="n">
        <v>0.235833</v>
      </c>
    </row>
    <row r="307" s="17">
      <c r="A307" s="19" t="n">
        <v>4860</v>
      </c>
      <c r="B307" s="19" t="n">
        <v>48253.076344</v>
      </c>
      <c r="C307" s="19" t="n">
        <v>1.9824692</v>
      </c>
      <c r="D307" s="19" t="n">
        <v>0.0042920682</v>
      </c>
      <c r="E307" s="19" t="n">
        <v>0.1138907452663787</v>
      </c>
      <c r="F307" s="19" t="n">
        <v>0.2186544474290001</v>
      </c>
      <c r="G307" s="19" t="n">
        <v>0.9363022139164625</v>
      </c>
      <c r="H307" s="19" t="n">
        <v>0.712382</v>
      </c>
    </row>
    <row r="308" s="17">
      <c r="A308" s="19" t="n">
        <v>4865</v>
      </c>
      <c r="B308" s="19" t="n">
        <v>73850.95073900001</v>
      </c>
      <c r="C308" s="19" t="n">
        <v>2.1710693</v>
      </c>
      <c r="D308" s="19" t="n">
        <v>0.0030126747</v>
      </c>
      <c r="E308" s="19" t="n">
        <v>0.05911753824517547</v>
      </c>
      <c r="F308" s="19" t="n">
        <v>0.2326433832550498</v>
      </c>
      <c r="G308" s="19" t="n">
        <v>0.9046839418906841</v>
      </c>
      <c r="H308" s="19" t="n">
        <v>0.590819</v>
      </c>
    </row>
    <row r="309" s="17">
      <c r="A309" s="19" t="n">
        <v>4870</v>
      </c>
      <c r="B309" s="19" t="n">
        <v>57069.288311</v>
      </c>
      <c r="C309" s="19" t="n">
        <v>2.0921192</v>
      </c>
      <c r="D309" s="19" t="n">
        <v>0.008009346000000001</v>
      </c>
      <c r="E309" s="19" t="n">
        <v>0.07304449687760492</v>
      </c>
      <c r="F309" s="19" t="n">
        <v>0.1093043792685269</v>
      </c>
      <c r="G309" s="19" t="n">
        <v>0.9225107915351073</v>
      </c>
      <c r="H309" s="19" t="n">
        <v>0.602495</v>
      </c>
    </row>
    <row r="310" s="17">
      <c r="A310" s="19" t="n">
        <v>4875</v>
      </c>
      <c r="B310" s="19" t="n">
        <v>47704.522417</v>
      </c>
      <c r="C310" s="19" t="n">
        <v>1.8331354</v>
      </c>
      <c r="D310" s="19" t="n">
        <v>0.0058954099</v>
      </c>
      <c r="E310" s="19" t="n">
        <v>0.1457998975424524</v>
      </c>
      <c r="F310" s="19" t="n">
        <v>0.1520004689863438</v>
      </c>
      <c r="G310" s="19" t="n">
        <v>0.891832593326561</v>
      </c>
      <c r="H310" s="19" t="n">
        <v>1.618623</v>
      </c>
    </row>
    <row r="311" s="17">
      <c r="A311" s="19" t="n">
        <v>4880</v>
      </c>
      <c r="B311" s="19" t="n">
        <v>66872.13995300001</v>
      </c>
      <c r="C311" s="19" t="n">
        <v>2.1556339</v>
      </c>
      <c r="D311" s="19" t="n">
        <v>0.0045448711</v>
      </c>
      <c r="E311" s="19" t="n">
        <v>0.05265944614177104</v>
      </c>
      <c r="F311" s="19" t="n">
        <v>0.3340674346757803</v>
      </c>
      <c r="G311" s="19" t="n">
        <v>0.9952033903263136</v>
      </c>
      <c r="H311" s="19" t="n">
        <v>0.04796</v>
      </c>
    </row>
    <row r="312" s="17">
      <c r="A312" s="19" t="n">
        <v>4885</v>
      </c>
      <c r="B312" s="19" t="n">
        <v>48100.017285</v>
      </c>
      <c r="C312" s="19" t="n">
        <v>1.9934906</v>
      </c>
      <c r="D312" s="19" t="n">
        <v>0.0051481416</v>
      </c>
      <c r="E312" s="19" t="n">
        <v>0.0367020619494096</v>
      </c>
      <c r="F312" s="19" t="n">
        <v>0.1335173372503431</v>
      </c>
      <c r="G312" s="19" t="n">
        <v>0.9989212072487927</v>
      </c>
      <c r="H312" s="19" t="n">
        <v>0.024304</v>
      </c>
    </row>
    <row r="313" s="17">
      <c r="A313" s="19" t="n">
        <v>4890</v>
      </c>
      <c r="B313" s="19" t="n">
        <v>68306.53116499999</v>
      </c>
      <c r="C313" s="19" t="n">
        <v>2.303185</v>
      </c>
      <c r="D313" s="19" t="n">
        <v>0.0038320254</v>
      </c>
      <c r="E313" s="19" t="n">
        <v>0.1046166372573624</v>
      </c>
      <c r="F313" s="19" t="n">
        <v>0.1234589298994543</v>
      </c>
      <c r="G313" s="19" t="n">
        <v>0.8448892180381475</v>
      </c>
      <c r="H313" s="19" t="n">
        <v>1.624077</v>
      </c>
    </row>
    <row r="314" s="17">
      <c r="A314" s="19" t="n">
        <v>4895</v>
      </c>
      <c r="B314" s="19" t="n">
        <v>65319.221782</v>
      </c>
      <c r="C314" s="19" t="n">
        <v>2.1861477</v>
      </c>
      <c r="D314" s="19" t="n">
        <v>0.0061315469</v>
      </c>
      <c r="E314" s="19" t="n">
        <v>0.05780831629698954</v>
      </c>
      <c r="F314" s="19" t="n">
        <v>0.2598528080483451</v>
      </c>
      <c r="G314" s="19" t="n">
        <v>0.9519271857864864</v>
      </c>
      <c r="H314" s="19" t="n">
        <v>0.317677</v>
      </c>
    </row>
    <row r="315" s="17">
      <c r="A315" s="19" t="n">
        <v>4900</v>
      </c>
      <c r="B315" s="19" t="n">
        <v>36052.06148</v>
      </c>
      <c r="C315" s="19" t="n">
        <v>1.9822991</v>
      </c>
      <c r="D315" s="19" t="n">
        <v>0.008134473099999999</v>
      </c>
      <c r="E315" s="19" t="n">
        <v>0.06021276901382961</v>
      </c>
      <c r="F315" s="19" t="n">
        <v>0.1600277128564234</v>
      </c>
      <c r="G315" s="19" t="n">
        <v>0.9345761885953754</v>
      </c>
      <c r="H315" s="19" t="n">
        <v>0.400894</v>
      </c>
    </row>
    <row r="316" s="17">
      <c r="A316" s="19" t="n">
        <v>4905</v>
      </c>
      <c r="B316" s="19" t="n">
        <v>41122.951874</v>
      </c>
      <c r="C316" s="19" t="n">
        <v>2.200646</v>
      </c>
      <c r="D316" s="19" t="n">
        <v>0.0075325238</v>
      </c>
      <c r="E316" s="19" t="n">
        <v>0.1523591966594601</v>
      </c>
      <c r="F316" s="19" t="n">
        <v>0.2382314903276445</v>
      </c>
      <c r="G316" s="19" t="n">
        <v>0.914876022275677</v>
      </c>
      <c r="H316" s="19" t="n">
        <v>1.299436</v>
      </c>
    </row>
    <row r="317" s="17">
      <c r="A317" s="19" t="n">
        <v>4910</v>
      </c>
      <c r="B317" s="19" t="n">
        <v>62499.246659</v>
      </c>
      <c r="C317" s="19" t="n">
        <v>1.8023951</v>
      </c>
      <c r="D317" s="19" t="n">
        <v>0.0040761363</v>
      </c>
      <c r="E317" s="19" t="n">
        <v>0.09841477797927255</v>
      </c>
      <c r="F317" s="19" t="n">
        <v>0.3283332199320335</v>
      </c>
      <c r="G317" s="19" t="n">
        <v>0.9170957110179508</v>
      </c>
      <c r="H317" s="19" t="n">
        <v>0.860584</v>
      </c>
    </row>
    <row r="318" s="17">
      <c r="A318" s="19" t="n">
        <v>4915</v>
      </c>
      <c r="B318" s="19" t="n">
        <v>46875.628851</v>
      </c>
      <c r="C318" s="19" t="n">
        <v>1.8936002</v>
      </c>
      <c r="D318" s="19" t="n">
        <v>0.0070132672</v>
      </c>
      <c r="E318" s="19" t="n">
        <v>0.04725192734850164</v>
      </c>
      <c r="F318" s="19" t="n">
        <v>0.1612406449689185</v>
      </c>
      <c r="G318" s="19" t="n">
        <v>0.9442063546422806</v>
      </c>
      <c r="H318" s="19" t="n">
        <v>0.270205</v>
      </c>
    </row>
    <row r="319" s="17">
      <c r="A319" s="19" t="n">
        <v>4920</v>
      </c>
      <c r="B319" s="19" t="n">
        <v>37962.77697</v>
      </c>
      <c r="C319" s="19" t="n">
        <v>1.75051</v>
      </c>
      <c r="D319" s="19" t="n">
        <v>0.0068205762</v>
      </c>
      <c r="E319" s="19" t="n">
        <v>0.1421842730043813</v>
      </c>
      <c r="F319" s="19" t="n">
        <v>0.151368586418069</v>
      </c>
      <c r="G319" s="19" t="n">
        <v>0.9159912079289946</v>
      </c>
      <c r="H319" s="19" t="n">
        <v>1.242731</v>
      </c>
    </row>
    <row r="320" s="17">
      <c r="A320" s="19" t="n">
        <v>4925</v>
      </c>
      <c r="B320" s="19" t="n">
        <v>63862.021226</v>
      </c>
      <c r="C320" s="19" t="n">
        <v>1.5473399</v>
      </c>
      <c r="D320" s="19" t="n">
        <v>0.0041477983</v>
      </c>
      <c r="E320" s="19" t="n">
        <v>0.08209992393874865</v>
      </c>
      <c r="F320" s="19" t="n">
        <v>0.1931380187013056</v>
      </c>
      <c r="G320" s="19" t="n">
        <v>0.8848424273943649</v>
      </c>
      <c r="H320" s="19" t="n">
        <v>0.978734</v>
      </c>
    </row>
    <row r="321" s="17">
      <c r="A321" s="19" t="n">
        <v>4930</v>
      </c>
      <c r="B321" s="19" t="n">
        <v>36851.447092</v>
      </c>
      <c r="C321" s="19" t="n">
        <v>1.7527625</v>
      </c>
      <c r="D321" s="19" t="n">
        <v>0.007093447</v>
      </c>
      <c r="E321" s="19" t="n">
        <v>0.03641655555023868</v>
      </c>
      <c r="F321" s="19" t="n">
        <v>0.2481038682585254</v>
      </c>
      <c r="G321" s="19" t="n">
        <v>0.9291615762053126</v>
      </c>
      <c r="H321" s="19" t="n">
        <v>0.256172</v>
      </c>
    </row>
    <row r="322" s="17">
      <c r="A322" s="19" t="n">
        <v>4935</v>
      </c>
      <c r="B322" s="19" t="n">
        <v>61012.706591</v>
      </c>
      <c r="C322" s="19" t="n">
        <v>1.7392475</v>
      </c>
      <c r="D322" s="19" t="n">
        <v>0.0075364228</v>
      </c>
      <c r="E322" s="19" t="n">
        <v>0.08860151354652515</v>
      </c>
      <c r="F322" s="19" t="n">
        <v>0.1800851323632542</v>
      </c>
      <c r="G322" s="19" t="n">
        <v>0.8961859877372806</v>
      </c>
      <c r="H322" s="19" t="n">
        <v>0.936582</v>
      </c>
    </row>
    <row r="323" s="17">
      <c r="A323" s="19" t="n">
        <v>4940</v>
      </c>
      <c r="B323" s="19" t="n">
        <v>67548.11270500001</v>
      </c>
      <c r="C323" s="19" t="n">
        <v>1.8029724</v>
      </c>
      <c r="D323" s="19" t="n">
        <v>0.0062356671</v>
      </c>
      <c r="E323" s="19" t="n">
        <v>0.08716673758513779</v>
      </c>
      <c r="F323" s="19" t="n">
        <v>0.3493261447129219</v>
      </c>
      <c r="G323" s="19" t="n">
        <v>0.9083829395360044</v>
      </c>
      <c r="H323" s="19" t="n">
        <v>0.840795</v>
      </c>
    </row>
    <row r="324" s="17">
      <c r="A324" s="19" t="n">
        <v>4945</v>
      </c>
      <c r="B324" s="19" t="n">
        <v>44651.500273</v>
      </c>
      <c r="C324" s="19" t="n">
        <v>1.9356756</v>
      </c>
      <c r="D324" s="19" t="n">
        <v>0.0054122184</v>
      </c>
      <c r="E324" s="19" t="n">
        <v>0.04485287821461565</v>
      </c>
      <c r="F324" s="19" t="n">
        <v>0.1068296294986634</v>
      </c>
      <c r="G324" s="19" t="n">
        <v>0.9388466665026417</v>
      </c>
      <c r="H324" s="19" t="n">
        <v>0.313694</v>
      </c>
    </row>
    <row r="325" s="17">
      <c r="A325" s="19" t="n">
        <v>4950</v>
      </c>
      <c r="B325" s="19" t="n">
        <v>51939.978936</v>
      </c>
      <c r="C325" s="19" t="n">
        <v>2.01424</v>
      </c>
      <c r="D325" s="19" t="n">
        <v>0.0052381746</v>
      </c>
      <c r="E325" s="19" t="n">
        <v>0.06714128075666415</v>
      </c>
      <c r="F325" s="19" t="n">
        <v>0.0432627091022732</v>
      </c>
      <c r="G325" s="19" t="n">
        <v>0.9527984384501389</v>
      </c>
      <c r="H325" s="19" t="n">
        <v>0.297495</v>
      </c>
    </row>
    <row r="326" s="17">
      <c r="A326" s="19" t="n">
        <v>4955</v>
      </c>
      <c r="B326" s="19" t="n">
        <v>56879.36678</v>
      </c>
      <c r="C326" s="19" t="n">
        <v>1.8235375</v>
      </c>
      <c r="D326" s="19" t="n">
        <v>0.0033243876</v>
      </c>
      <c r="E326" s="19" t="n">
        <v>0.06867311330648468</v>
      </c>
      <c r="F326" s="19" t="n">
        <v>0.3617538454061443</v>
      </c>
      <c r="G326" s="19" t="n">
        <v>0.8833850988461202</v>
      </c>
      <c r="H326" s="19" t="n">
        <v>0.850534</v>
      </c>
    </row>
    <row r="327" s="17">
      <c r="A327" s="19" t="n">
        <v>4960</v>
      </c>
      <c r="B327" s="19" t="n">
        <v>32043.515114</v>
      </c>
      <c r="C327" s="19" t="n">
        <v>2.1864911</v>
      </c>
      <c r="D327" s="19" t="n">
        <v>0.0067531951</v>
      </c>
      <c r="E327" s="19" t="n">
        <v>0.06544305837208597</v>
      </c>
      <c r="F327" s="19" t="n">
        <v>0.1563919574505175</v>
      </c>
      <c r="G327" s="19" t="n">
        <v>0.9668209481804363</v>
      </c>
      <c r="H327" s="19" t="n">
        <v>0.23651</v>
      </c>
    </row>
    <row r="328" s="17">
      <c r="A328" s="19" t="n">
        <v>4965</v>
      </c>
      <c r="B328" s="19" t="n">
        <v>64938.935003</v>
      </c>
      <c r="C328" s="19" t="n">
        <v>1.8148627</v>
      </c>
      <c r="D328" s="19" t="n">
        <v>0.0066268225</v>
      </c>
      <c r="E328" s="19" t="n">
        <v>0.1041370914959838</v>
      </c>
      <c r="F328" s="19" t="n">
        <v>0.146159974196058</v>
      </c>
      <c r="G328" s="19" t="n">
        <v>0.9731074604106749</v>
      </c>
      <c r="H328" s="19" t="n">
        <v>0.305697</v>
      </c>
    </row>
    <row r="329" s="17">
      <c r="A329" s="19" t="n">
        <v>4970</v>
      </c>
      <c r="B329" s="19" t="n">
        <v>70499.838063</v>
      </c>
      <c r="C329" s="19" t="n">
        <v>1.7397819</v>
      </c>
      <c r="D329" s="19" t="n">
        <v>0.0060794424</v>
      </c>
      <c r="E329" s="19" t="n">
        <v>0.06613283160415741</v>
      </c>
      <c r="F329" s="19" t="n">
        <v>0.3372783730748012</v>
      </c>
      <c r="G329" s="19" t="n">
        <v>0.9131019903634759</v>
      </c>
      <c r="H329" s="19" t="n">
        <v>0.586318</v>
      </c>
    </row>
    <row r="330" s="17">
      <c r="A330" s="19" t="n">
        <v>4975</v>
      </c>
      <c r="B330" s="19" t="n">
        <v>57886.499828</v>
      </c>
      <c r="C330" s="19" t="n">
        <v>2.1225925</v>
      </c>
      <c r="D330" s="19" t="n">
        <v>0.0057526466</v>
      </c>
      <c r="E330" s="19" t="n">
        <v>0.064681281158943</v>
      </c>
      <c r="F330" s="19" t="n">
        <v>0.05141325479884641</v>
      </c>
      <c r="G330" s="19" t="n">
        <v>0.9232010618020244</v>
      </c>
      <c r="H330" s="19" t="n">
        <v>0.51012</v>
      </c>
    </row>
    <row r="331" s="17">
      <c r="A331" s="19" t="n">
        <v>4980</v>
      </c>
      <c r="B331" s="19" t="n">
        <v>38457.391326</v>
      </c>
      <c r="C331" s="19" t="n">
        <v>1.7493053</v>
      </c>
      <c r="D331" s="19" t="n">
        <v>0.0074304376</v>
      </c>
      <c r="E331" s="19" t="n">
        <v>0.1265900757185385</v>
      </c>
      <c r="F331" s="19" t="n">
        <v>0.2276683630649493</v>
      </c>
      <c r="G331" s="19" t="n">
        <v>0.9129906517488054</v>
      </c>
      <c r="H331" s="19" t="n">
        <v>1.130088</v>
      </c>
    </row>
    <row r="332" s="17">
      <c r="A332" s="19" t="n">
        <v>4985</v>
      </c>
      <c r="B332" s="19" t="n">
        <v>74591.01209400001</v>
      </c>
      <c r="C332" s="19" t="n">
        <v>2.157822</v>
      </c>
      <c r="D332" s="19" t="n">
        <v>0.0052210641</v>
      </c>
      <c r="E332" s="19" t="n">
        <v>0.0908838079058267</v>
      </c>
      <c r="F332" s="19" t="n">
        <v>0.2695394590456212</v>
      </c>
      <c r="G332" s="19" t="n">
        <v>0.9313651096131021</v>
      </c>
      <c r="H332" s="19" t="n">
        <v>0.633918</v>
      </c>
    </row>
    <row r="333" s="17">
      <c r="A333" s="19" t="n">
        <v>4990</v>
      </c>
      <c r="B333" s="19" t="n">
        <v>49746.220596</v>
      </c>
      <c r="C333" s="19" t="n">
        <v>2.0053519</v>
      </c>
      <c r="D333" s="19" t="n">
        <v>0.0060284465</v>
      </c>
      <c r="E333" s="19" t="n">
        <v>0.04278359605678528</v>
      </c>
      <c r="F333" s="19" t="n">
        <v>0.1663246335914943</v>
      </c>
      <c r="G333" s="19" t="n">
        <v>0.9937473744747287</v>
      </c>
      <c r="H333" s="19" t="n">
        <v>0.038086</v>
      </c>
    </row>
    <row r="334" s="17">
      <c r="A334" s="19" t="n">
        <v>4995</v>
      </c>
      <c r="B334" s="19" t="n">
        <v>41481.05978</v>
      </c>
      <c r="C334" s="19" t="n">
        <v>1.9835627</v>
      </c>
      <c r="D334" s="19" t="n">
        <v>0.0058713444</v>
      </c>
      <c r="E334" s="19" t="n">
        <v>0.1499665945642943</v>
      </c>
      <c r="F334" s="19" t="n">
        <v>0.3333758573431239</v>
      </c>
      <c r="G334" s="19" t="n">
        <v>0.8673573846558945</v>
      </c>
      <c r="H334" s="19" t="n">
        <v>2.017683</v>
      </c>
    </row>
    <row r="335" s="17">
      <c r="A335" s="19" t="n">
        <v>5000</v>
      </c>
      <c r="B335" s="19" t="n">
        <v>69662.094226</v>
      </c>
      <c r="C335" s="19" t="n">
        <v>1.4690348</v>
      </c>
      <c r="D335" s="19" t="n">
        <v>0.006130185</v>
      </c>
      <c r="E335" s="19" t="n">
        <v>0.06585614248031488</v>
      </c>
      <c r="F335" s="19" t="n">
        <v>0.1873629165188469</v>
      </c>
      <c r="G335" s="19" t="n">
        <v>0.8947901348872068</v>
      </c>
      <c r="H335" s="19" t="n">
        <v>0.738985</v>
      </c>
    </row>
    <row r="336" s="17">
      <c r="A336" s="19" t="n">
        <v>5005</v>
      </c>
      <c r="B336" s="19" t="n">
        <v>37759.360351</v>
      </c>
      <c r="C336" s="19" t="n">
        <v>2.0385669</v>
      </c>
      <c r="D336" s="19" t="n">
        <v>0.0081708409</v>
      </c>
      <c r="E336" s="19" t="n">
        <v>0.07112438659678581</v>
      </c>
      <c r="F336" s="19" t="n">
        <v>0.1993728610303609</v>
      </c>
      <c r="G336" s="19" t="n">
        <v>0.9918741100529818</v>
      </c>
      <c r="H336" s="19" t="n">
        <v>0.054333</v>
      </c>
    </row>
    <row r="337" s="17">
      <c r="A337" s="19" t="n">
        <v>5010</v>
      </c>
      <c r="B337" s="19" t="n">
        <v>68635.210674</v>
      </c>
      <c r="C337" s="19" t="n">
        <v>1.8354765</v>
      </c>
      <c r="D337" s="19" t="n">
        <v>0.005568973</v>
      </c>
      <c r="E337" s="19" t="n">
        <v>0.1227631353285149</v>
      </c>
      <c r="F337" s="19" t="n">
        <v>0.1114525339267364</v>
      </c>
      <c r="G337" s="19" t="n">
        <v>0.9406309241526808</v>
      </c>
      <c r="H337" s="19" t="n">
        <v>0.739537</v>
      </c>
    </row>
    <row r="338" s="17">
      <c r="A338" s="19" t="n">
        <v>5015</v>
      </c>
      <c r="B338" s="19" t="n">
        <v>48108.683306</v>
      </c>
      <c r="C338" s="19" t="n">
        <v>1.8693522</v>
      </c>
      <c r="D338" s="19" t="n">
        <v>0.007934462099999999</v>
      </c>
      <c r="E338" s="19" t="n">
        <v>0.03231601816722342</v>
      </c>
      <c r="F338" s="19" t="n">
        <v>0.1378830789427546</v>
      </c>
      <c r="G338" s="19" t="n">
        <v>0.9486758076017464</v>
      </c>
      <c r="H338" s="19" t="n">
        <v>0.150662</v>
      </c>
    </row>
    <row r="339" s="17">
      <c r="A339" s="19" t="n">
        <v>5020</v>
      </c>
      <c r="B339" s="19" t="n">
        <v>38119.249952</v>
      </c>
      <c r="C339" s="19" t="n">
        <v>2.0704056</v>
      </c>
      <c r="D339" s="19" t="n">
        <v>0.0057761172</v>
      </c>
      <c r="E339" s="19" t="n">
        <v>0.03769441192283812</v>
      </c>
      <c r="F339" s="19" t="n">
        <v>0.1124426931557355</v>
      </c>
      <c r="G339" s="19" t="n">
        <v>0.9136376607581157</v>
      </c>
      <c r="H339" s="19" t="n">
        <v>0.309051</v>
      </c>
    </row>
    <row r="340" s="17">
      <c r="A340" s="19" t="n">
        <v>5025</v>
      </c>
      <c r="B340" s="19" t="n">
        <v>41192.722141</v>
      </c>
      <c r="C340" s="19" t="n">
        <v>1.7622035</v>
      </c>
      <c r="D340" s="19" t="n">
        <v>0.0067333682</v>
      </c>
      <c r="E340" s="19" t="n">
        <v>0.1097744390139468</v>
      </c>
      <c r="F340" s="19" t="n">
        <v>0.1985761179868433</v>
      </c>
      <c r="G340" s="19" t="n">
        <v>0.8636906336733785</v>
      </c>
      <c r="H340" s="19" t="n">
        <v>1.537081</v>
      </c>
    </row>
    <row r="341" s="17">
      <c r="A341" s="19" t="n">
        <v>5030</v>
      </c>
      <c r="B341" s="19" t="n">
        <v>64052.58974</v>
      </c>
      <c r="C341" s="19" t="n">
        <v>1.7109412</v>
      </c>
      <c r="D341" s="19" t="n">
        <v>0.0059468207</v>
      </c>
      <c r="E341" s="19" t="n">
        <v>0.1184937925494726</v>
      </c>
      <c r="F341" s="19" t="n">
        <v>0.3745331097832854</v>
      </c>
      <c r="G341" s="19" t="n">
        <v>0.9011979482980614</v>
      </c>
      <c r="H341" s="19" t="n">
        <v>1.177696</v>
      </c>
    </row>
    <row r="342" s="17">
      <c r="A342" s="19" t="n">
        <v>5035</v>
      </c>
      <c r="B342" s="19" t="n">
        <v>43400.494817</v>
      </c>
      <c r="C342" s="19" t="n">
        <v>2.0135203</v>
      </c>
      <c r="D342" s="19" t="n">
        <v>0.0052903697</v>
      </c>
      <c r="E342" s="19" t="n">
        <v>0.06342863243298488</v>
      </c>
      <c r="F342" s="19" t="n">
        <v>0.0718253696675826</v>
      </c>
      <c r="G342" s="19" t="n">
        <v>0.9443275850757488</v>
      </c>
      <c r="H342" s="19" t="n">
        <v>0.395997</v>
      </c>
    </row>
    <row r="343" s="17">
      <c r="A343" s="19" t="n">
        <v>5040</v>
      </c>
      <c r="B343" s="19" t="n">
        <v>45856.562478</v>
      </c>
      <c r="C343" s="19" t="n">
        <v>1.6987931</v>
      </c>
      <c r="D343" s="19" t="n">
        <v>0.0040067919</v>
      </c>
      <c r="E343" s="19" t="n">
        <v>0.1402768516421331</v>
      </c>
      <c r="F343" s="19" t="n">
        <v>0.1022887579032224</v>
      </c>
      <c r="G343" s="19" t="n">
        <v>0.8793788195402649</v>
      </c>
      <c r="H343" s="19" t="n">
        <v>1.739372</v>
      </c>
    </row>
    <row r="344" s="17">
      <c r="A344" s="19" t="n">
        <v>5045</v>
      </c>
      <c r="B344" s="19" t="n">
        <v>59247.717098</v>
      </c>
      <c r="C344" s="19" t="n">
        <v>2.3713386</v>
      </c>
      <c r="D344" s="19" t="n">
        <v>0.0060883849</v>
      </c>
      <c r="E344" s="19" t="n">
        <v>0.07535592677206071</v>
      </c>
      <c r="F344" s="19" t="n">
        <v>0.3678281346004546</v>
      </c>
      <c r="G344" s="19" t="n">
        <v>0.8824586777415258</v>
      </c>
      <c r="H344" s="19" t="n">
        <v>0.920579</v>
      </c>
    </row>
    <row r="345" s="17">
      <c r="A345" s="19" t="n">
        <v>5050</v>
      </c>
      <c r="B345" s="19" t="n">
        <v>33659.449509</v>
      </c>
      <c r="C345" s="19" t="n">
        <v>1.9282</v>
      </c>
      <c r="D345" s="19" t="n">
        <v>0.0072711814</v>
      </c>
      <c r="E345" s="19" t="n">
        <v>0.0515348944170396</v>
      </c>
      <c r="F345" s="19" t="n">
        <v>0.223245382325693</v>
      </c>
      <c r="G345" s="19" t="n">
        <v>0.9129689337033937</v>
      </c>
      <c r="H345" s="19" t="n">
        <v>0.455052</v>
      </c>
    </row>
    <row r="346" s="17">
      <c r="A346" s="19" t="n">
        <v>5055</v>
      </c>
      <c r="B346" s="19" t="n">
        <v>65122.98759</v>
      </c>
      <c r="C346" s="19" t="n">
        <v>1.7044239</v>
      </c>
      <c r="D346" s="19" t="n">
        <v>0.0060309459</v>
      </c>
      <c r="E346" s="19" t="n">
        <v>0.1440210817510764</v>
      </c>
      <c r="F346" s="19" t="n">
        <v>0.1795408344770924</v>
      </c>
      <c r="G346" s="19" t="n">
        <v>0.9408718221898156</v>
      </c>
      <c r="H346" s="19" t="n">
        <v>0.9002790000000001</v>
      </c>
    </row>
    <row r="347" s="17">
      <c r="A347" s="19" t="n">
        <v>5060</v>
      </c>
      <c r="B347" s="19" t="n">
        <v>61529.180017</v>
      </c>
      <c r="C347" s="19" t="n">
        <v>2.4653573</v>
      </c>
      <c r="D347" s="19" t="n">
        <v>0.002886561</v>
      </c>
      <c r="E347" s="19" t="n">
        <v>0.08871948698152546</v>
      </c>
      <c r="F347" s="19" t="n">
        <v>0.1811263262925586</v>
      </c>
      <c r="G347" s="19" t="n">
        <v>0.9531323595928465</v>
      </c>
      <c r="H347" s="19" t="n">
        <v>0.426503</v>
      </c>
    </row>
    <row r="348" s="17">
      <c r="A348" s="19" t="n">
        <v>5065</v>
      </c>
      <c r="B348" s="19" t="n">
        <v>39158.098092</v>
      </c>
      <c r="C348" s="19" t="n">
        <v>2.1852771</v>
      </c>
      <c r="D348" s="19" t="n">
        <v>0.0074098957</v>
      </c>
      <c r="E348" s="19" t="n">
        <v>0.05938017481659517</v>
      </c>
      <c r="F348" s="19" t="n">
        <v>0.1755328096790812</v>
      </c>
      <c r="G348" s="19" t="n">
        <v>0.9233863126408837</v>
      </c>
      <c r="H348" s="19" t="n">
        <v>0.497239</v>
      </c>
    </row>
    <row r="349" s="17">
      <c r="A349" s="19" t="n">
        <v>5070</v>
      </c>
      <c r="B349" s="19" t="n">
        <v>57311.110722</v>
      </c>
      <c r="C349" s="19" t="n">
        <v>2.094201</v>
      </c>
      <c r="D349" s="19" t="n">
        <v>0.0039613253</v>
      </c>
      <c r="E349" s="19" t="n">
        <v>0.0960627735186336</v>
      </c>
      <c r="F349" s="19" t="n">
        <v>0.1736972831553673</v>
      </c>
      <c r="G349" s="19" t="n">
        <v>0.9309239772213994</v>
      </c>
      <c r="H349" s="19" t="n">
        <v>0.676548</v>
      </c>
    </row>
    <row r="350" s="17">
      <c r="A350" s="19" t="n">
        <v>5075</v>
      </c>
      <c r="B350" s="19" t="n">
        <v>55814.796708</v>
      </c>
      <c r="C350" s="19" t="n">
        <v>1.4871307</v>
      </c>
      <c r="D350" s="19" t="n">
        <v>0.0031481474</v>
      </c>
      <c r="E350" s="19" t="n">
        <v>0.09915756559866784</v>
      </c>
      <c r="F350" s="19" t="n">
        <v>0.3581301473459907</v>
      </c>
      <c r="G350" s="19" t="n">
        <v>0.8833717707020529</v>
      </c>
      <c r="H350" s="19" t="n">
        <v>1.193141</v>
      </c>
    </row>
    <row r="351" s="17">
      <c r="A351" s="19" t="n">
        <v>5080</v>
      </c>
      <c r="B351" s="19" t="n">
        <v>54820.45397</v>
      </c>
      <c r="C351" s="19" t="n">
        <v>1.8868293</v>
      </c>
      <c r="D351" s="19" t="n">
        <v>0.0064243947</v>
      </c>
      <c r="E351" s="19" t="n">
        <v>0.05539697710899023</v>
      </c>
      <c r="F351" s="19" t="n">
        <v>0.06942159492178487</v>
      </c>
      <c r="G351" s="19" t="n">
        <v>0.9017068064132305</v>
      </c>
      <c r="H351" s="19" t="n">
        <v>0.533207</v>
      </c>
    </row>
    <row r="352" s="17">
      <c r="A352" s="19" t="n">
        <v>5085</v>
      </c>
      <c r="B352" s="19" t="n">
        <v>51115.325583</v>
      </c>
      <c r="C352" s="19" t="n">
        <v>1.6423278</v>
      </c>
      <c r="D352" s="19" t="n">
        <v>0.0064240939</v>
      </c>
      <c r="E352" s="19" t="n">
        <v>0.1361166191904099</v>
      </c>
      <c r="F352" s="19" t="n">
        <v>0.1270719201265694</v>
      </c>
      <c r="G352" s="19" t="n">
        <v>0.8934110494046514</v>
      </c>
      <c r="H352" s="19" t="n">
        <v>1.442209</v>
      </c>
    </row>
    <row r="353" s="17">
      <c r="A353" s="19" t="n">
        <v>5090</v>
      </c>
      <c r="B353" s="19" t="n">
        <v>61347.210076</v>
      </c>
      <c r="C353" s="19" t="n">
        <v>1.6140435</v>
      </c>
      <c r="D353" s="19" t="n">
        <v>0.004069659</v>
      </c>
      <c r="E353" s="19" t="n">
        <v>0.1072844989695421</v>
      </c>
      <c r="F353" s="19" t="n">
        <v>0.3687321066091964</v>
      </c>
      <c r="G353" s="19" t="n">
        <v>0.8707976455756473</v>
      </c>
      <c r="H353" s="19" t="n">
        <v>1.394451</v>
      </c>
    </row>
    <row r="354" s="17">
      <c r="A354" s="19" t="n">
        <v>5095</v>
      </c>
      <c r="B354" s="19" t="n">
        <v>52114.036576</v>
      </c>
      <c r="C354" s="19" t="n">
        <v>2.1143214</v>
      </c>
      <c r="D354" s="19" t="n">
        <v>0.0055537762</v>
      </c>
      <c r="E354" s="19" t="n">
        <v>0.05145596688255064</v>
      </c>
      <c r="F354" s="19" t="n">
        <v>0.1347038675206018</v>
      </c>
      <c r="G354" s="19" t="n">
        <v>0.9150225054291697</v>
      </c>
      <c r="H354" s="19" t="n">
        <v>0.440022</v>
      </c>
    </row>
    <row r="355" s="17">
      <c r="A355" s="19" t="n">
        <v>5100</v>
      </c>
      <c r="B355" s="19" t="n">
        <v>59862.522096</v>
      </c>
      <c r="C355" s="19" t="n">
        <v>2.0397878</v>
      </c>
      <c r="D355" s="19" t="n">
        <v>0.006222024</v>
      </c>
      <c r="E355" s="19" t="n">
        <v>0.09778490117846564</v>
      </c>
      <c r="F355" s="19" t="n">
        <v>0.3035712957669138</v>
      </c>
      <c r="G355" s="19" t="n">
        <v>0.8742834121771104</v>
      </c>
      <c r="H355" s="19" t="n">
        <v>1.220738</v>
      </c>
    </row>
    <row r="356" s="17">
      <c r="A356" s="19" t="n">
        <v>5105</v>
      </c>
      <c r="B356" s="19" t="n">
        <v>64796.641354</v>
      </c>
      <c r="C356" s="19" t="n">
        <v>2.456364</v>
      </c>
      <c r="D356" s="19" t="n">
        <v>0.0030359331</v>
      </c>
      <c r="E356" s="19" t="n">
        <v>0.09719411106468151</v>
      </c>
      <c r="F356" s="19" t="n">
        <v>0.326590431561959</v>
      </c>
      <c r="G356" s="19" t="n">
        <v>0.9042435829279587</v>
      </c>
      <c r="H356" s="19" t="n">
        <v>0.964927</v>
      </c>
    </row>
    <row r="357" s="17">
      <c r="A357" s="19" t="n">
        <v>5110</v>
      </c>
      <c r="B357" s="19" t="n">
        <v>36668.877494</v>
      </c>
      <c r="C357" s="19" t="n">
        <v>2.1331657</v>
      </c>
      <c r="D357" s="19" t="n">
        <v>0.0090719367</v>
      </c>
      <c r="E357" s="19" t="n">
        <v>0.06632211363416993</v>
      </c>
      <c r="F357" s="19" t="n">
        <v>0.1263422005122689</v>
      </c>
      <c r="G357" s="19" t="n">
        <v>1</v>
      </c>
      <c r="H357" s="19" t="n">
        <v>0.030752</v>
      </c>
    </row>
    <row r="358" s="17">
      <c r="A358" s="19" t="n">
        <v>5115</v>
      </c>
      <c r="B358" s="19" t="n">
        <v>43518.851976</v>
      </c>
      <c r="C358" s="19" t="n">
        <v>1.8064527</v>
      </c>
      <c r="D358" s="19" t="n">
        <v>0.0062188449</v>
      </c>
      <c r="E358" s="19" t="n">
        <v>0.1367283638927088</v>
      </c>
      <c r="F358" s="19" t="n">
        <v>0.2680735095090004</v>
      </c>
      <c r="G358" s="19" t="n">
        <v>0.9031851089577031</v>
      </c>
      <c r="H358" s="19" t="n">
        <v>1.315323</v>
      </c>
    </row>
    <row r="359" s="17">
      <c r="A359" s="19" t="n">
        <v>5120</v>
      </c>
      <c r="B359" s="19" t="n">
        <v>66123.15416000001</v>
      </c>
      <c r="C359" s="19" t="n">
        <v>2.4176485</v>
      </c>
      <c r="D359" s="19" t="n">
        <v>0.0041922004</v>
      </c>
      <c r="E359" s="19" t="n">
        <v>0.05374395102930872</v>
      </c>
      <c r="F359" s="19" t="n">
        <v>0.2258687049492605</v>
      </c>
      <c r="G359" s="19" t="n">
        <v>0.9445433034565146</v>
      </c>
      <c r="H359" s="19" t="n">
        <v>0.345092</v>
      </c>
    </row>
    <row r="360" s="17">
      <c r="A360" s="19" t="n">
        <v>5125</v>
      </c>
      <c r="B360" s="19" t="n">
        <v>44341.459646</v>
      </c>
      <c r="C360" s="19" t="n">
        <v>2.0254583</v>
      </c>
      <c r="D360" s="19" t="n">
        <v>0.007974993499999999</v>
      </c>
      <c r="E360" s="19" t="n">
        <v>0.0508281554858015</v>
      </c>
      <c r="F360" s="19" t="n">
        <v>0.1157129414224932</v>
      </c>
      <c r="G360" s="19" t="n">
        <v>0.9801456083782206</v>
      </c>
      <c r="H360" s="19" t="n">
        <v>0.092248</v>
      </c>
    </row>
    <row r="361" s="17">
      <c r="A361" s="19" t="n">
        <v>5130</v>
      </c>
      <c r="B361" s="19" t="n">
        <v>40671.279156</v>
      </c>
      <c r="C361" s="19" t="n">
        <v>2.1175194</v>
      </c>
      <c r="D361" s="19" t="n">
        <v>0.0058034823</v>
      </c>
      <c r="E361" s="19" t="n">
        <v>0.1589877272145153</v>
      </c>
      <c r="F361" s="19" t="n">
        <v>0.2356816453436109</v>
      </c>
      <c r="G361" s="19" t="n">
        <v>0.9117467302972861</v>
      </c>
      <c r="H361" s="19" t="n">
        <v>1.438001</v>
      </c>
    </row>
    <row r="362" s="17">
      <c r="A362" s="19" t="n">
        <v>5135</v>
      </c>
      <c r="B362" s="19" t="n">
        <v>70175.135243</v>
      </c>
      <c r="C362" s="19" t="n">
        <v>2.1546993</v>
      </c>
      <c r="D362" s="19" t="n">
        <v>0.0049990656</v>
      </c>
      <c r="E362" s="19" t="n">
        <v>0.09309767586127746</v>
      </c>
      <c r="F362" s="19" t="n">
        <v>0.3629226553169115</v>
      </c>
      <c r="G362" s="19" t="n">
        <v>0.8722070494575137</v>
      </c>
      <c r="H362" s="19" t="n">
        <v>1.218874</v>
      </c>
    </row>
    <row r="363" s="17">
      <c r="A363" s="19" t="n">
        <v>5140</v>
      </c>
      <c r="B363" s="19" t="n">
        <v>33565.986861</v>
      </c>
      <c r="C363" s="19" t="n">
        <v>1.8412231</v>
      </c>
      <c r="D363" s="19" t="n">
        <v>0.0070423127</v>
      </c>
      <c r="E363" s="19" t="n">
        <v>0.05603637084260767</v>
      </c>
      <c r="F363" s="19" t="n">
        <v>0.229570550101602</v>
      </c>
      <c r="G363" s="19" t="n">
        <v>0.9205697789281386</v>
      </c>
      <c r="H363" s="19" t="n">
        <v>0.491694</v>
      </c>
    </row>
    <row r="364" s="17">
      <c r="A364" s="19" t="n">
        <v>5145</v>
      </c>
      <c r="B364" s="19" t="n">
        <v>49850.264916</v>
      </c>
      <c r="C364" s="19" t="n">
        <v>1.8687017</v>
      </c>
      <c r="D364" s="19" t="n">
        <v>0.006062181</v>
      </c>
      <c r="E364" s="19" t="n">
        <v>0.05793709545333514</v>
      </c>
      <c r="F364" s="19" t="n">
        <v>0.07326218161676691</v>
      </c>
      <c r="G364" s="19" t="n">
        <v>0.9256397835973723</v>
      </c>
      <c r="H364" s="19" t="n">
        <v>0.474598</v>
      </c>
    </row>
    <row r="365" s="17">
      <c r="A365" s="19" t="n">
        <v>5150</v>
      </c>
      <c r="B365" s="19" t="n">
        <v>67687.046162</v>
      </c>
      <c r="C365" s="19" t="n">
        <v>2.4271608</v>
      </c>
      <c r="D365" s="19" t="n">
        <v>0.0055133958</v>
      </c>
      <c r="E365" s="19" t="n">
        <v>0.110797370309876</v>
      </c>
      <c r="F365" s="19" t="n">
        <v>0.1991905013406641</v>
      </c>
      <c r="G365" s="19" t="n">
        <v>0.9164538156543335</v>
      </c>
      <c r="H365" s="19" t="n">
        <v>0.950062</v>
      </c>
    </row>
    <row r="366" s="17">
      <c r="A366" s="19" t="n">
        <v>5155</v>
      </c>
      <c r="B366" s="19" t="n">
        <v>49117.625088</v>
      </c>
      <c r="C366" s="19" t="n">
        <v>2.162789</v>
      </c>
      <c r="D366" s="19" t="n">
        <v>0.0071978525</v>
      </c>
      <c r="E366" s="19" t="n">
        <v>0.03555681462567754</v>
      </c>
      <c r="F366" s="19" t="n">
        <v>0.09121250652436923</v>
      </c>
      <c r="G366" s="19" t="n">
        <v>0.9276066789074053</v>
      </c>
      <c r="H366" s="19" t="n">
        <v>0.249672</v>
      </c>
    </row>
    <row r="367" s="17">
      <c r="A367" s="19" t="n">
        <v>5160</v>
      </c>
      <c r="B367" s="19" t="n">
        <v>44729.99235</v>
      </c>
      <c r="C367" s="19" t="n">
        <v>1.7462642</v>
      </c>
      <c r="D367" s="19" t="n">
        <v>0.007255857</v>
      </c>
      <c r="E367" s="19" t="n">
        <v>0.1249317025260108</v>
      </c>
      <c r="F367" s="19" t="n">
        <v>0.1246544144445524</v>
      </c>
      <c r="G367" s="19" t="n">
        <v>0.9151753968114411</v>
      </c>
      <c r="H367" s="19" t="n">
        <v>1.074569</v>
      </c>
    </row>
    <row r="368" s="17">
      <c r="A368" s="19" t="n">
        <v>5165</v>
      </c>
      <c r="B368" s="19" t="n">
        <v>66907.482885</v>
      </c>
      <c r="C368" s="19" t="n">
        <v>2.1474106</v>
      </c>
      <c r="D368" s="19" t="n">
        <v>0.002823298</v>
      </c>
      <c r="E368" s="19" t="n">
        <v>0.09363455867976499</v>
      </c>
      <c r="F368" s="19" t="n">
        <v>0.3005053755740829</v>
      </c>
      <c r="G368" s="19" t="n">
        <v>0.9158411677068029</v>
      </c>
      <c r="H368" s="19" t="n">
        <v>0.805679</v>
      </c>
    </row>
    <row r="369" s="17">
      <c r="A369" s="19" t="n">
        <v>5170</v>
      </c>
      <c r="B369" s="19" t="n">
        <v>48811.204106</v>
      </c>
      <c r="C369" s="19" t="n">
        <v>1.9412716</v>
      </c>
      <c r="D369" s="19" t="n">
        <v>0.006749615</v>
      </c>
      <c r="E369" s="19" t="n">
        <v>0.06044825550984813</v>
      </c>
      <c r="F369" s="19" t="n">
        <v>0.1480924945458811</v>
      </c>
      <c r="G369" s="19" t="n">
        <v>0.9313445835061153</v>
      </c>
      <c r="H369" s="19" t="n">
        <v>0.407807</v>
      </c>
    </row>
    <row r="370" s="17">
      <c r="A370" s="19" t="n">
        <v>5175</v>
      </c>
      <c r="B370" s="19" t="n">
        <v>61417.036676</v>
      </c>
      <c r="C370" s="19" t="n">
        <v>2.2100776</v>
      </c>
      <c r="D370" s="19" t="n">
        <v>0.0034987263</v>
      </c>
      <c r="E370" s="19" t="n">
        <v>0.1482406138731192</v>
      </c>
      <c r="F370" s="19" t="n">
        <v>0.08438426817494464</v>
      </c>
      <c r="G370" s="19" t="n">
        <v>0.8737234492748139</v>
      </c>
      <c r="H370" s="19" t="n">
        <v>1.859264</v>
      </c>
    </row>
    <row r="371" s="17">
      <c r="A371" s="19" t="n">
        <v>5180</v>
      </c>
      <c r="B371" s="19" t="n">
        <v>58794.769093</v>
      </c>
      <c r="C371" s="19" t="n">
        <v>2.4874753</v>
      </c>
      <c r="D371" s="19" t="n">
        <v>0.0030335767</v>
      </c>
      <c r="E371" s="19" t="n">
        <v>0.1071878601295741</v>
      </c>
      <c r="F371" s="19" t="n">
        <v>0.2117481832986136</v>
      </c>
      <c r="G371" s="19" t="n">
        <v>0.8963841612886474</v>
      </c>
      <c r="H371" s="19" t="n">
        <v>1.151185</v>
      </c>
    </row>
    <row r="372" s="17">
      <c r="A372" s="19" t="n">
        <v>5185</v>
      </c>
      <c r="B372" s="19" t="n">
        <v>52353.455461</v>
      </c>
      <c r="C372" s="19" t="n">
        <v>1.9151005</v>
      </c>
      <c r="D372" s="19" t="n">
        <v>0.0074923153</v>
      </c>
      <c r="E372" s="19" t="n">
        <v>0.06173718480206435</v>
      </c>
      <c r="F372" s="19" t="n">
        <v>0.2102409503014001</v>
      </c>
      <c r="G372" s="19" t="n">
        <v>0.9364831202791062</v>
      </c>
      <c r="H372" s="19" t="n">
        <v>0.394919</v>
      </c>
    </row>
    <row r="373" s="17">
      <c r="A373" s="19" t="n">
        <v>5190</v>
      </c>
      <c r="B373" s="19" t="n">
        <v>60270.045745</v>
      </c>
      <c r="C373" s="19" t="n">
        <v>2.1411969</v>
      </c>
      <c r="D373" s="19" t="n">
        <v>0.0062531902</v>
      </c>
      <c r="E373" s="19" t="n">
        <v>0.1131180164063565</v>
      </c>
      <c r="F373" s="19" t="n">
        <v>0.2980396853979808</v>
      </c>
      <c r="G373" s="19" t="n">
        <v>0.9289860101677629</v>
      </c>
      <c r="H373" s="19" t="n">
        <v>0.7931049999999999</v>
      </c>
    </row>
    <row r="374" s="17">
      <c r="A374" s="19" t="n">
        <v>5195</v>
      </c>
      <c r="B374" s="19" t="n">
        <v>56450.309823</v>
      </c>
      <c r="C374" s="19" t="n">
        <v>1.6227599</v>
      </c>
      <c r="D374" s="19" t="n">
        <v>0.0026723466</v>
      </c>
      <c r="E374" s="19" t="n">
        <v>0.07590597016675696</v>
      </c>
      <c r="F374" s="19" t="n">
        <v>0.3320829669450731</v>
      </c>
      <c r="G374" s="19" t="n">
        <v>0.9257600444914037</v>
      </c>
      <c r="H374" s="19" t="n">
        <v>0.609341</v>
      </c>
    </row>
    <row r="375" s="17">
      <c r="A375" s="19" t="n">
        <v>5200</v>
      </c>
      <c r="B375" s="19" t="n">
        <v>35084.212246</v>
      </c>
      <c r="C375" s="19" t="n">
        <v>2.0254631</v>
      </c>
      <c r="D375" s="19" t="n">
        <v>0.0061141554</v>
      </c>
      <c r="E375" s="19" t="n">
        <v>0.06769770949303704</v>
      </c>
      <c r="F375" s="19" t="n">
        <v>0.1903536394523937</v>
      </c>
      <c r="G375" s="19" t="n">
        <v>0.9671519426947432</v>
      </c>
      <c r="H375" s="19" t="n">
        <v>0.217809</v>
      </c>
    </row>
    <row r="376" s="17">
      <c r="A376" s="19" t="n">
        <v>5205</v>
      </c>
      <c r="B376" s="19" t="n">
        <v>48558.11653</v>
      </c>
      <c r="C376" s="19" t="n">
        <v>1.8729908</v>
      </c>
      <c r="D376" s="19" t="n">
        <v>0.0068082332</v>
      </c>
      <c r="E376" s="19" t="n">
        <v>0.1067511023334375</v>
      </c>
      <c r="F376" s="19" t="n">
        <v>0.103561821106296</v>
      </c>
      <c r="G376" s="19" t="n">
        <v>0.9361924368436931</v>
      </c>
      <c r="H376" s="19" t="n">
        <v>0.729105</v>
      </c>
    </row>
    <row r="377" s="17">
      <c r="A377" s="19" t="n">
        <v>5210</v>
      </c>
      <c r="B377" s="19" t="n">
        <v>42044.676183</v>
      </c>
      <c r="C377" s="19" t="n">
        <v>1.9829543</v>
      </c>
      <c r="D377" s="19" t="n">
        <v>0.007852542299999999</v>
      </c>
      <c r="E377" s="19" t="n">
        <v>0.05175737152834033</v>
      </c>
      <c r="F377" s="19" t="n">
        <v>0.06751254312721415</v>
      </c>
      <c r="G377" s="19" t="n">
        <v>0.9632688492226466</v>
      </c>
      <c r="H377" s="19" t="n">
        <v>0.1964</v>
      </c>
    </row>
    <row r="378" s="17">
      <c r="A378" s="19" t="n">
        <v>5215</v>
      </c>
      <c r="B378" s="19" t="n">
        <v>35249.501134</v>
      </c>
      <c r="C378" s="19" t="n">
        <v>2.0685453</v>
      </c>
      <c r="D378" s="19" t="n">
        <v>0.0050218156</v>
      </c>
      <c r="E378" s="19" t="n">
        <v>0.06986652240432173</v>
      </c>
      <c r="F378" s="19" t="n">
        <v>0.07446177491850402</v>
      </c>
      <c r="G378" s="19" t="n">
        <v>0.9241950402590723</v>
      </c>
      <c r="H378" s="19" t="n">
        <v>0.558803</v>
      </c>
    </row>
    <row r="379" s="17">
      <c r="A379" s="19" t="n">
        <v>5220</v>
      </c>
      <c r="B379" s="19" t="n">
        <v>62145.861848</v>
      </c>
      <c r="C379" s="19" t="n">
        <v>2.1033272</v>
      </c>
      <c r="D379" s="19" t="n">
        <v>0.0073915626</v>
      </c>
      <c r="E379" s="19" t="n">
        <v>0.1460882015695397</v>
      </c>
      <c r="F379" s="19" t="n">
        <v>0.2001291066201112</v>
      </c>
      <c r="G379" s="19" t="n">
        <v>0.8856534205122895</v>
      </c>
      <c r="H379" s="19" t="n">
        <v>1.653398</v>
      </c>
    </row>
    <row r="380" s="17">
      <c r="A380" s="19" t="n">
        <v>5225</v>
      </c>
      <c r="B380" s="19" t="n">
        <v>74479.542508</v>
      </c>
      <c r="C380" s="19" t="n">
        <v>1.8298047</v>
      </c>
      <c r="D380" s="19" t="n">
        <v>0.0031888501</v>
      </c>
      <c r="E380" s="19" t="n">
        <v>0.1097793020696419</v>
      </c>
      <c r="F380" s="19" t="n">
        <v>0.2947611833180653</v>
      </c>
      <c r="G380" s="19" t="n">
        <v>0.930134682665823</v>
      </c>
      <c r="H380" s="19" t="n">
        <v>0.757903</v>
      </c>
    </row>
    <row r="381" s="17">
      <c r="A381" s="19" t="n">
        <v>5230</v>
      </c>
      <c r="B381" s="19" t="n">
        <v>55721.518187</v>
      </c>
      <c r="C381" s="19" t="n">
        <v>2.0210176</v>
      </c>
      <c r="D381" s="19" t="n">
        <v>0.0091757414</v>
      </c>
      <c r="E381" s="19" t="n">
        <v>0.063208296454906</v>
      </c>
      <c r="F381" s="19" t="n">
        <v>0.08093284509696229</v>
      </c>
      <c r="G381" s="19" t="n">
        <v>0.9857476135127489</v>
      </c>
      <c r="H381" s="19" t="n">
        <v>0.11903</v>
      </c>
    </row>
    <row r="382" s="17">
      <c r="A382" s="19" t="n">
        <v>5235</v>
      </c>
      <c r="B382" s="19" t="n">
        <v>55992.78352</v>
      </c>
      <c r="C382" s="19" t="n">
        <v>1.940453</v>
      </c>
      <c r="D382" s="19" t="n">
        <v>0.0052390622</v>
      </c>
      <c r="E382" s="19" t="n">
        <v>0.1173068083784328</v>
      </c>
      <c r="F382" s="19" t="n">
        <v>0.3380220572885856</v>
      </c>
      <c r="G382" s="19" t="n">
        <v>0.9292180032553858</v>
      </c>
      <c r="H382" s="19" t="n">
        <v>0.845888</v>
      </c>
    </row>
    <row r="383" s="17">
      <c r="A383" s="19" t="n">
        <v>5240</v>
      </c>
      <c r="B383" s="19" t="n">
        <v>65911.70432200001</v>
      </c>
      <c r="C383" s="19" t="n">
        <v>1.6337852</v>
      </c>
      <c r="D383" s="19" t="n">
        <v>0.0055115854</v>
      </c>
      <c r="E383" s="19" t="n">
        <v>0.08579002332105407</v>
      </c>
      <c r="F383" s="19" t="n">
        <v>0.3271269234052944</v>
      </c>
      <c r="G383" s="19" t="n">
        <v>0.9161406199050832</v>
      </c>
      <c r="H383" s="19" t="n">
        <v>0.726169</v>
      </c>
    </row>
    <row r="384" s="17">
      <c r="A384" s="19" t="n">
        <v>5245</v>
      </c>
      <c r="B384" s="19" t="n">
        <v>46394.093564</v>
      </c>
      <c r="C384" s="19" t="n">
        <v>2.0010934</v>
      </c>
      <c r="D384" s="19" t="n">
        <v>0.0064903599</v>
      </c>
      <c r="E384" s="19" t="n">
        <v>0.07480498498872287</v>
      </c>
      <c r="F384" s="19" t="n">
        <v>0.1216450076323331</v>
      </c>
      <c r="G384" s="19" t="n">
        <v>0.9671486320182613</v>
      </c>
      <c r="H384" s="19" t="n">
        <v>0.234525</v>
      </c>
    </row>
    <row r="385" s="17">
      <c r="A385" s="19" t="n">
        <v>5250</v>
      </c>
      <c r="B385" s="19" t="n">
        <v>64856.929966</v>
      </c>
      <c r="C385" s="19" t="n">
        <v>1.9037734</v>
      </c>
      <c r="D385" s="19" t="n">
        <v>0.0062679295</v>
      </c>
      <c r="E385" s="19" t="n">
        <v>0.09677712526483534</v>
      </c>
      <c r="F385" s="19" t="n">
        <v>0.320382587235139</v>
      </c>
      <c r="G385" s="19" t="n">
        <v>0.8648788771392484</v>
      </c>
      <c r="H385" s="19" t="n">
        <v>1.352287</v>
      </c>
    </row>
    <row r="386" s="17">
      <c r="A386" s="19" t="n">
        <v>5255</v>
      </c>
      <c r="B386" s="19" t="n">
        <v>72164.087216</v>
      </c>
      <c r="C386" s="19" t="n">
        <v>2.2256991</v>
      </c>
      <c r="D386" s="19" t="n">
        <v>0.0058010183</v>
      </c>
      <c r="E386" s="19" t="n">
        <v>0.08967256070205552</v>
      </c>
      <c r="F386" s="19" t="n">
        <v>0.3170754764463226</v>
      </c>
      <c r="G386" s="19" t="n">
        <v>0.9538264430849864</v>
      </c>
      <c r="H386" s="19" t="n">
        <v>0.437032</v>
      </c>
    </row>
    <row r="387" s="17">
      <c r="A387" s="19" t="n">
        <v>5260</v>
      </c>
      <c r="B387" s="19" t="n">
        <v>35183.469148</v>
      </c>
      <c r="C387" s="19" t="n">
        <v>2.0798944</v>
      </c>
      <c r="D387" s="19" t="n">
        <v>0.0068076887</v>
      </c>
      <c r="E387" s="19" t="n">
        <v>0.04728339819117014</v>
      </c>
      <c r="F387" s="19" t="n">
        <v>0.1274472184921307</v>
      </c>
      <c r="G387" s="19" t="n">
        <v>0.9536293666355821</v>
      </c>
      <c r="H387" s="19" t="n">
        <v>0.268463</v>
      </c>
    </row>
    <row r="388" s="17">
      <c r="A388" s="19" t="n">
        <v>5265</v>
      </c>
      <c r="B388" s="19" t="n">
        <v>45134.539545</v>
      </c>
      <c r="C388" s="19" t="n">
        <v>2.0120805</v>
      </c>
      <c r="D388" s="19" t="n">
        <v>0.0054496705</v>
      </c>
      <c r="E388" s="19" t="n">
        <v>0.1555218131273581</v>
      </c>
      <c r="F388" s="19" t="n">
        <v>0.1367945655760249</v>
      </c>
      <c r="G388" s="19" t="n">
        <v>0.923926801495798</v>
      </c>
      <c r="H388" s="19" t="n">
        <v>1.180534</v>
      </c>
    </row>
    <row r="389" s="17">
      <c r="A389" s="19" t="n">
        <v>5270</v>
      </c>
      <c r="B389" s="19" t="n">
        <v>58690.2489</v>
      </c>
      <c r="C389" s="19" t="n">
        <v>2.1653496</v>
      </c>
      <c r="D389" s="19" t="n">
        <v>0.0046861848</v>
      </c>
      <c r="E389" s="19" t="n">
        <v>0.09826786512054822</v>
      </c>
      <c r="F389" s="19" t="n">
        <v>0.3387003039052504</v>
      </c>
      <c r="G389" s="19" t="n">
        <v>0.896878494385668</v>
      </c>
      <c r="H389" s="19" t="n">
        <v>1.040792</v>
      </c>
    </row>
    <row r="390" s="17">
      <c r="A390" s="19" t="n">
        <v>5275</v>
      </c>
      <c r="B390" s="19" t="n">
        <v>50402.820188</v>
      </c>
      <c r="C390" s="19" t="n">
        <v>1.8813083</v>
      </c>
      <c r="D390" s="19" t="n">
        <v>0.0050730646</v>
      </c>
      <c r="E390" s="19" t="n">
        <v>0.06115691421513506</v>
      </c>
      <c r="F390" s="19" t="n">
        <v>0.1025724468832936</v>
      </c>
      <c r="G390" s="19" t="n">
        <v>0.9269798284663064</v>
      </c>
      <c r="H390" s="19" t="n">
        <v>0.470819</v>
      </c>
    </row>
    <row r="391" s="17">
      <c r="A391" s="19" t="n">
        <v>5280</v>
      </c>
      <c r="B391" s="19" t="n">
        <v>65386.534573</v>
      </c>
      <c r="C391" s="19" t="n">
        <v>1.9975114</v>
      </c>
      <c r="D391" s="19" t="n">
        <v>0.0059490023</v>
      </c>
      <c r="E391" s="19" t="n">
        <v>0.1215667326767661</v>
      </c>
      <c r="F391" s="19" t="n">
        <v>0.164497069719615</v>
      </c>
      <c r="G391" s="19" t="n">
        <v>0.9042426755591429</v>
      </c>
      <c r="H391" s="19" t="n">
        <v>1.186197</v>
      </c>
    </row>
    <row r="392" s="17">
      <c r="A392" s="19" t="n">
        <v>5285</v>
      </c>
      <c r="B392" s="19" t="n">
        <v>58894.989714</v>
      </c>
      <c r="C392" s="19" t="n">
        <v>2.1547488</v>
      </c>
      <c r="D392" s="19" t="n">
        <v>0.0043958756</v>
      </c>
      <c r="E392" s="19" t="n">
        <v>0.05306973966971128</v>
      </c>
      <c r="F392" s="19" t="n">
        <v>0.3485083583923542</v>
      </c>
      <c r="G392" s="19" t="n">
        <v>0.9205373151084244</v>
      </c>
      <c r="H392" s="19" t="n">
        <v>0.459889</v>
      </c>
    </row>
    <row r="393" s="17">
      <c r="A393" s="19" t="n">
        <v>5290</v>
      </c>
      <c r="B393" s="19" t="n">
        <v>43842.39306</v>
      </c>
      <c r="C393" s="19" t="n">
        <v>2.098056</v>
      </c>
      <c r="D393" s="19" t="n">
        <v>0.0080238047</v>
      </c>
      <c r="E393" s="19" t="n">
        <v>0.05550935942180668</v>
      </c>
      <c r="F393" s="19" t="n">
        <v>0.05559511143683347</v>
      </c>
      <c r="G393" s="19" t="n">
        <v>0.9503755579266969</v>
      </c>
      <c r="H393" s="19" t="n">
        <v>0.310029</v>
      </c>
    </row>
    <row r="394" s="17">
      <c r="A394" s="19" t="n">
        <v>5295</v>
      </c>
      <c r="B394" s="19" t="n">
        <v>55995.61132</v>
      </c>
      <c r="C394" s="19" t="n">
        <v>2.0702066</v>
      </c>
      <c r="D394" s="19" t="n">
        <v>0.0050227059</v>
      </c>
      <c r="E394" s="19" t="n">
        <v>0.1598824457377218</v>
      </c>
      <c r="F394" s="19" t="n">
        <v>0.2442240678718564</v>
      </c>
      <c r="G394" s="19" t="n">
        <v>0.9289755334581618</v>
      </c>
      <c r="H394" s="19" t="n">
        <v>1.13699</v>
      </c>
    </row>
    <row r="395" s="17">
      <c r="A395" s="19" t="n">
        <v>5300</v>
      </c>
      <c r="B395" s="19" t="n">
        <v>70428.40115000001</v>
      </c>
      <c r="C395" s="19" t="n">
        <v>2.3919277</v>
      </c>
      <c r="D395" s="19" t="n">
        <v>0.0035247796</v>
      </c>
      <c r="E395" s="19" t="n">
        <v>0.1013448860906791</v>
      </c>
      <c r="F395" s="19" t="n">
        <v>0.3487370422835854</v>
      </c>
      <c r="G395" s="19" t="n">
        <v>0.883023552220213</v>
      </c>
      <c r="H395" s="19" t="n">
        <v>1.203477</v>
      </c>
    </row>
    <row r="396" s="17">
      <c r="A396" s="19" t="n">
        <v>5305</v>
      </c>
      <c r="B396" s="19" t="n">
        <v>54028.801343</v>
      </c>
      <c r="C396" s="19" t="n">
        <v>2.0816239</v>
      </c>
      <c r="D396" s="19" t="n">
        <v>0.0056126759</v>
      </c>
      <c r="E396" s="19" t="n">
        <v>0.03689496028730783</v>
      </c>
      <c r="F396" s="19" t="n">
        <v>0.1023943871900934</v>
      </c>
      <c r="G396" s="19" t="n">
        <v>0.9779027136538445</v>
      </c>
      <c r="H396" s="19" t="n">
        <v>0.103684</v>
      </c>
    </row>
    <row r="397" s="17">
      <c r="A397" s="19" t="n">
        <v>5310</v>
      </c>
      <c r="B397" s="19" t="n">
        <v>41136.026806</v>
      </c>
      <c r="C397" s="19" t="n">
        <v>1.8938884</v>
      </c>
      <c r="D397" s="19" t="n">
        <v>0.0053212688</v>
      </c>
      <c r="E397" s="19" t="n">
        <v>0.1009477952836432</v>
      </c>
      <c r="F397" s="19" t="n">
        <v>0.1017986079232626</v>
      </c>
      <c r="G397" s="19" t="n">
        <v>0.9015829670178582</v>
      </c>
      <c r="H397" s="19" t="n">
        <v>0.981535</v>
      </c>
    </row>
    <row r="398" s="17">
      <c r="A398" s="19" t="n">
        <v>5315</v>
      </c>
      <c r="B398" s="19" t="n">
        <v>61750.68258</v>
      </c>
      <c r="C398" s="19" t="n">
        <v>2.4490555</v>
      </c>
      <c r="D398" s="19" t="n">
        <v>0.0059686487</v>
      </c>
      <c r="E398" s="19" t="n">
        <v>0.04804472359590309</v>
      </c>
      <c r="F398" s="19" t="n">
        <v>0.185384412230129</v>
      </c>
      <c r="G398" s="19" t="n">
        <v>0.8915328014091241</v>
      </c>
      <c r="H398" s="19" t="n">
        <v>0.519597</v>
      </c>
    </row>
    <row r="399" s="17">
      <c r="A399" s="19" t="n">
        <v>5320</v>
      </c>
      <c r="B399" s="19" t="n">
        <v>38116.018278</v>
      </c>
      <c r="C399" s="19" t="n">
        <v>1.863236</v>
      </c>
      <c r="D399" s="19" t="n">
        <v>0.009533660500000001</v>
      </c>
      <c r="E399" s="19" t="n">
        <v>0.04996492311245817</v>
      </c>
      <c r="F399" s="19" t="n">
        <v>0.1157435611182417</v>
      </c>
      <c r="G399" s="19" t="n">
        <v>0.9418937350945433</v>
      </c>
      <c r="H399" s="19" t="n">
        <v>0.304497</v>
      </c>
    </row>
    <row r="400" s="17">
      <c r="A400" s="19" t="n">
        <v>5325</v>
      </c>
      <c r="B400" s="19" t="n">
        <v>56887.19168</v>
      </c>
      <c r="C400" s="19" t="n">
        <v>1.8174523</v>
      </c>
      <c r="D400" s="19" t="n">
        <v>0.0049309167</v>
      </c>
      <c r="E400" s="19" t="n">
        <v>0.09862339621092372</v>
      </c>
      <c r="F400" s="19" t="n">
        <v>0.3248346920742147</v>
      </c>
      <c r="G400" s="19" t="n">
        <v>0.9002065092054748</v>
      </c>
      <c r="H400" s="19" t="n">
        <v>1.004066</v>
      </c>
    </row>
    <row r="401" s="17">
      <c r="A401" s="19" t="n">
        <v>5330</v>
      </c>
      <c r="B401" s="19" t="n">
        <v>73319.417237</v>
      </c>
      <c r="C401" s="19" t="n">
        <v>2.2983472</v>
      </c>
      <c r="D401" s="19" t="n">
        <v>0.0042611581</v>
      </c>
      <c r="E401" s="19" t="n">
        <v>0.08362118592263694</v>
      </c>
      <c r="F401" s="19" t="n">
        <v>0.3478065439370934</v>
      </c>
      <c r="G401" s="19" t="n">
        <v>0.8984802804920036</v>
      </c>
      <c r="H401" s="19" t="n">
        <v>0.884674</v>
      </c>
    </row>
    <row r="402" s="17">
      <c r="A402" s="19" t="n">
        <v>5335</v>
      </c>
      <c r="B402" s="19" t="n">
        <v>33272.266646</v>
      </c>
      <c r="C402" s="19" t="n">
        <v>1.7997126</v>
      </c>
      <c r="D402" s="19" t="n">
        <v>0.0071062878</v>
      </c>
      <c r="E402" s="19" t="n">
        <v>0.06855387276534838</v>
      </c>
      <c r="F402" s="19" t="n">
        <v>0.0970861812551692</v>
      </c>
      <c r="G402" s="19" t="n">
        <v>0.9109666264189928</v>
      </c>
      <c r="H402" s="19" t="n">
        <v>0.629089</v>
      </c>
    </row>
    <row r="403" s="17">
      <c r="A403" s="19" t="n">
        <v>5340</v>
      </c>
      <c r="B403" s="19" t="n">
        <v>44622.661256</v>
      </c>
      <c r="C403" s="19" t="n">
        <v>2.0476675</v>
      </c>
      <c r="D403" s="19" t="n">
        <v>0.00557765</v>
      </c>
      <c r="E403" s="19" t="n">
        <v>0.0312205040909497</v>
      </c>
      <c r="F403" s="19" t="n">
        <v>0.1092115862374352</v>
      </c>
      <c r="G403" s="19" t="n">
        <v>0.9589104990097479</v>
      </c>
      <c r="H403" s="19" t="n">
        <v>0.136206</v>
      </c>
    </row>
    <row r="404" s="17">
      <c r="A404" s="19" t="n">
        <v>5345</v>
      </c>
      <c r="B404" s="19" t="n">
        <v>59338.646508</v>
      </c>
      <c r="C404" s="19" t="n">
        <v>1.7622251</v>
      </c>
      <c r="D404" s="19" t="n">
        <v>0.0065274605</v>
      </c>
      <c r="E404" s="19" t="n">
        <v>0.102657532966866</v>
      </c>
      <c r="F404" s="19" t="n">
        <v>0.3304643638540279</v>
      </c>
      <c r="G404" s="19" t="n">
        <v>0.8843544606051106</v>
      </c>
      <c r="H404" s="19" t="n">
        <v>1.185386</v>
      </c>
    </row>
    <row r="405" s="17">
      <c r="A405" s="19" t="n">
        <v>5350</v>
      </c>
      <c r="B405" s="19" t="n">
        <v>48988.956634</v>
      </c>
      <c r="C405" s="19" t="n">
        <v>2.1076438</v>
      </c>
      <c r="D405" s="19" t="n">
        <v>0.008428566199999999</v>
      </c>
      <c r="E405" s="19" t="n">
        <v>0.04087710568648983</v>
      </c>
      <c r="F405" s="19" t="n">
        <v>0.02397244566239175</v>
      </c>
      <c r="G405" s="19" t="n">
        <v>0.9841417926254882</v>
      </c>
      <c r="H405" s="19" t="n">
        <v>0.09336</v>
      </c>
    </row>
    <row r="406" s="17">
      <c r="A406" s="19" t="n">
        <v>5355</v>
      </c>
      <c r="B406" s="19" t="n">
        <v>43561.83285</v>
      </c>
      <c r="C406" s="19" t="n">
        <v>1.7192671</v>
      </c>
      <c r="D406" s="19" t="n">
        <v>0.004804042</v>
      </c>
      <c r="E406" s="19" t="n">
        <v>0.1592272224939104</v>
      </c>
      <c r="F406" s="19" t="n">
        <v>0.1048075302305938</v>
      </c>
      <c r="G406" s="19" t="n">
        <v>0.894477017501401</v>
      </c>
      <c r="H406" s="19" t="n">
        <v>1.701786</v>
      </c>
    </row>
    <row r="407" s="17">
      <c r="A407" s="19" t="n">
        <v>5360</v>
      </c>
      <c r="B407" s="19" t="n">
        <v>71147.40035900001</v>
      </c>
      <c r="C407" s="19" t="n">
        <v>1.732924</v>
      </c>
      <c r="D407" s="19" t="n">
        <v>0.0041976122</v>
      </c>
      <c r="E407" s="19" t="n">
        <v>0.06238561623879635</v>
      </c>
      <c r="F407" s="19" t="n">
        <v>0.1965929382006798</v>
      </c>
      <c r="G407" s="19" t="n">
        <v>0.868452041774015</v>
      </c>
      <c r="H407" s="19" t="n">
        <v>0.830981</v>
      </c>
    </row>
    <row r="408" s="17">
      <c r="A408" s="19" t="n">
        <v>5365</v>
      </c>
      <c r="B408" s="19" t="n">
        <v>45716.759806</v>
      </c>
      <c r="C408" s="19" t="n">
        <v>1.8146495</v>
      </c>
      <c r="D408" s="19" t="n">
        <v>0.0054470456</v>
      </c>
      <c r="E408" s="19" t="n">
        <v>0.06774386433779125</v>
      </c>
      <c r="F408" s="19" t="n">
        <v>0.1858554363688359</v>
      </c>
      <c r="G408" s="19" t="n">
        <v>0.9188153587949011</v>
      </c>
      <c r="H408" s="19" t="n">
        <v>0.582288</v>
      </c>
    </row>
    <row r="409" s="17">
      <c r="A409" s="19" t="n">
        <v>5370</v>
      </c>
      <c r="B409" s="19" t="n">
        <v>68015.705965</v>
      </c>
      <c r="C409" s="19" t="n">
        <v>1.6560042</v>
      </c>
      <c r="D409" s="19" t="n">
        <v>0.0051735097</v>
      </c>
      <c r="E409" s="19" t="n">
        <v>0.1501543324476638</v>
      </c>
      <c r="F409" s="19" t="n">
        <v>0.132562648989531</v>
      </c>
      <c r="G409" s="19" t="n">
        <v>0.9129431498789484</v>
      </c>
      <c r="H409" s="19" t="n">
        <v>1.32929</v>
      </c>
    </row>
    <row r="410" s="17">
      <c r="A410" s="19" t="n">
        <v>5375</v>
      </c>
      <c r="B410" s="19" t="n">
        <v>61207.217051</v>
      </c>
      <c r="C410" s="19" t="n">
        <v>1.6169923</v>
      </c>
      <c r="D410" s="19" t="n">
        <v>0.0062708498</v>
      </c>
      <c r="E410" s="19" t="n">
        <v>0.09452996544139082</v>
      </c>
      <c r="F410" s="19" t="n">
        <v>0.3666901686632414</v>
      </c>
      <c r="G410" s="19" t="n">
        <v>0.9791978193849756</v>
      </c>
      <c r="H410" s="19" t="n">
        <v>0.206643</v>
      </c>
    </row>
    <row r="411" s="17">
      <c r="A411" s="19" t="n">
        <v>5380</v>
      </c>
      <c r="B411" s="19" t="n">
        <v>54054.506931</v>
      </c>
      <c r="C411" s="19" t="n">
        <v>2.0079612</v>
      </c>
      <c r="D411" s="19" t="n">
        <v>0.0075173827</v>
      </c>
      <c r="E411" s="19" t="n">
        <v>0.06428953073215665</v>
      </c>
      <c r="F411" s="19" t="n">
        <v>0.1801885838184234</v>
      </c>
      <c r="G411" s="19" t="n">
        <v>0.9525122760486864</v>
      </c>
      <c r="H411" s="19" t="n">
        <v>0.334179</v>
      </c>
    </row>
    <row r="412" s="17">
      <c r="A412" s="19" t="n">
        <v>5385</v>
      </c>
      <c r="B412" s="19" t="n">
        <v>62233.456347</v>
      </c>
      <c r="C412" s="19" t="n">
        <v>2.0881273</v>
      </c>
      <c r="D412" s="19" t="n">
        <v>0.0055691927</v>
      </c>
      <c r="E412" s="19" t="n">
        <v>0.1002209562837327</v>
      </c>
      <c r="F412" s="19" t="n">
        <v>0.1803867107925061</v>
      </c>
      <c r="G412" s="19" t="n">
        <v>0.9725468306809241</v>
      </c>
      <c r="H412" s="19" t="n">
        <v>0.282593</v>
      </c>
    </row>
    <row r="413" s="17">
      <c r="A413" s="19" t="n">
        <v>5390</v>
      </c>
      <c r="B413" s="19" t="n">
        <v>57827.625189</v>
      </c>
      <c r="C413" s="19" t="n">
        <v>1.6963753</v>
      </c>
      <c r="D413" s="19" t="n">
        <v>0.0053852088</v>
      </c>
      <c r="E413" s="19" t="n">
        <v>0.0541183586114095</v>
      </c>
      <c r="F413" s="19" t="n">
        <v>0.3611768090320818</v>
      </c>
      <c r="G413" s="19" t="n">
        <v>0.8086314651639224</v>
      </c>
      <c r="H413" s="19" t="n">
        <v>1.067007</v>
      </c>
    </row>
    <row r="414" s="17">
      <c r="A414" s="19" t="n">
        <v>5395</v>
      </c>
      <c r="B414" s="19" t="n">
        <v>38714.54803</v>
      </c>
      <c r="C414" s="19" t="n">
        <v>1.9818576</v>
      </c>
      <c r="D414" s="19" t="n">
        <v>0.008793903400000001</v>
      </c>
      <c r="E414" s="19" t="n">
        <v>0.0572430228095042</v>
      </c>
      <c r="F414" s="19" t="n">
        <v>0.1312065128901287</v>
      </c>
      <c r="G414" s="19" t="n">
        <v>1</v>
      </c>
      <c r="H414" s="19" t="n">
        <v>0.017718</v>
      </c>
    </row>
    <row r="415" s="17">
      <c r="A415" s="19" t="n">
        <v>5400</v>
      </c>
      <c r="B415" s="19" t="n">
        <v>68043.85226499999</v>
      </c>
      <c r="C415" s="19" t="n">
        <v>1.6630665</v>
      </c>
      <c r="D415" s="19" t="n">
        <v>0.0072334108</v>
      </c>
      <c r="E415" s="19" t="n">
        <v>0.1057306006121448</v>
      </c>
      <c r="F415" s="19" t="n">
        <v>0.1543508714321313</v>
      </c>
      <c r="G415" s="19" t="n">
        <v>0.9037075152377729</v>
      </c>
      <c r="H415" s="19" t="n">
        <v>1.060279</v>
      </c>
    </row>
    <row r="416" s="17">
      <c r="A416" s="19" t="n">
        <v>5405</v>
      </c>
      <c r="B416" s="19" t="n">
        <v>51610.526015</v>
      </c>
      <c r="C416" s="19" t="n">
        <v>1.8881287</v>
      </c>
      <c r="D416" s="19" t="n">
        <v>0.0060719418</v>
      </c>
      <c r="E416" s="19" t="n">
        <v>0.06823555490493619</v>
      </c>
      <c r="F416" s="19" t="n">
        <v>0.04934162747645196</v>
      </c>
      <c r="G416" s="19" t="n">
        <v>0.9469971927259119</v>
      </c>
      <c r="H416" s="19" t="n">
        <v>0.402294</v>
      </c>
    </row>
    <row r="417" s="17">
      <c r="A417" s="19" t="n">
        <v>5410</v>
      </c>
      <c r="B417" s="19" t="n">
        <v>57553.593558</v>
      </c>
      <c r="C417" s="19" t="n">
        <v>2.1054811</v>
      </c>
      <c r="D417" s="19" t="n">
        <v>0.009646513900000001</v>
      </c>
      <c r="E417" s="19" t="n">
        <v>0.04586701967513705</v>
      </c>
      <c r="F417" s="19" t="n">
        <v>0.1487657352620351</v>
      </c>
      <c r="G417" s="19" t="n">
        <v>0.9442619850188343</v>
      </c>
      <c r="H417" s="19" t="n">
        <v>0.299606</v>
      </c>
    </row>
    <row r="418" s="17">
      <c r="A418" s="19" t="n">
        <v>5415</v>
      </c>
      <c r="B418" s="19" t="n">
        <v>52438.836644</v>
      </c>
      <c r="C418" s="19" t="n">
        <v>2.2281375</v>
      </c>
      <c r="D418" s="19" t="n">
        <v>0.0061772469</v>
      </c>
      <c r="E418" s="19" t="n">
        <v>0.155577049061762</v>
      </c>
      <c r="F418" s="19" t="n">
        <v>0.1401056342226377</v>
      </c>
      <c r="G418" s="19" t="n">
        <v>0.9257695692782384</v>
      </c>
      <c r="H418" s="19" t="n">
        <v>1.162509</v>
      </c>
    </row>
    <row r="419" s="17">
      <c r="A419" s="19" t="n">
        <v>5420</v>
      </c>
      <c r="B419" s="19" t="n">
        <v>74143.27017600001</v>
      </c>
      <c r="C419" s="19" t="n">
        <v>1.6530272</v>
      </c>
      <c r="D419" s="19" t="n">
        <v>0.0062797234</v>
      </c>
      <c r="E419" s="19" t="n">
        <v>0.1185614194638332</v>
      </c>
      <c r="F419" s="19" t="n">
        <v>0.191111621571398</v>
      </c>
      <c r="G419" s="19" t="n">
        <v>0.9461093658022011</v>
      </c>
      <c r="H419" s="19" t="n">
        <v>0.626033</v>
      </c>
    </row>
    <row r="420" s="17">
      <c r="A420" s="19" t="n">
        <v>5425</v>
      </c>
      <c r="B420" s="19" t="n">
        <v>55780.808748</v>
      </c>
      <c r="C420" s="19" t="n">
        <v>2.0890503</v>
      </c>
      <c r="D420" s="19" t="n">
        <v>0.0077743535</v>
      </c>
      <c r="E420" s="19" t="n">
        <v>0.03342118931378597</v>
      </c>
      <c r="F420" s="19" t="n">
        <v>0.1134996404791423</v>
      </c>
      <c r="G420" s="19" t="n">
        <v>0.9789009364024066</v>
      </c>
      <c r="H420" s="19" t="n">
        <v>0.06665600000000001</v>
      </c>
    </row>
    <row r="421" s="17">
      <c r="A421" s="19" t="n">
        <v>5430</v>
      </c>
      <c r="B421" s="19" t="n">
        <v>60288.780124</v>
      </c>
      <c r="C421" s="19" t="n">
        <v>2.097891</v>
      </c>
      <c r="D421" s="19" t="n">
        <v>0.0050167971</v>
      </c>
      <c r="E421" s="19" t="n">
        <v>0.1510716322651036</v>
      </c>
      <c r="F421" s="19" t="n">
        <v>0.144135547259434</v>
      </c>
      <c r="G421" s="19" t="n">
        <v>0.9084972636843844</v>
      </c>
      <c r="H421" s="19" t="n">
        <v>1.406773</v>
      </c>
    </row>
    <row r="422" s="17">
      <c r="A422" s="19" t="n">
        <v>5435</v>
      </c>
      <c r="B422" s="19" t="n">
        <v>57146.518379</v>
      </c>
      <c r="C422" s="19" t="n">
        <v>1.4977237</v>
      </c>
      <c r="D422" s="19" t="n">
        <v>0.0061233635</v>
      </c>
      <c r="E422" s="19" t="n">
        <v>0.10504220237937</v>
      </c>
      <c r="F422" s="19" t="n">
        <v>0.2223747715646633</v>
      </c>
      <c r="G422" s="19" t="n">
        <v>0.9178088453855795</v>
      </c>
      <c r="H422" s="19" t="n">
        <v>0.845715</v>
      </c>
    </row>
    <row r="423" s="17">
      <c r="A423" s="19" t="n">
        <v>5440</v>
      </c>
      <c r="B423" s="19" t="n">
        <v>54649.396763</v>
      </c>
      <c r="C423" s="19" t="n">
        <v>1.8878993</v>
      </c>
      <c r="D423" s="19" t="n">
        <v>0.0065708794</v>
      </c>
      <c r="E423" s="19" t="n">
        <v>0.04017156908193737</v>
      </c>
      <c r="F423" s="19" t="n">
        <v>0.1516254502891702</v>
      </c>
      <c r="G423" s="19" t="n">
        <v>0.9153654265170974</v>
      </c>
      <c r="H423" s="19" t="n">
        <v>0.387877</v>
      </c>
    </row>
    <row r="424" s="17">
      <c r="A424" s="19" t="n">
        <v>5445</v>
      </c>
      <c r="B424" s="19" t="n">
        <v>69852.721017</v>
      </c>
      <c r="C424" s="19" t="n">
        <v>1.9413345</v>
      </c>
      <c r="D424" s="19" t="n">
        <v>0.0048931893</v>
      </c>
      <c r="E424" s="19" t="n">
        <v>0.1475618890449442</v>
      </c>
      <c r="F424" s="19" t="n">
        <v>0.2125023373938804</v>
      </c>
      <c r="G424" s="19" t="n">
        <v>0.914013001896646</v>
      </c>
      <c r="H424" s="19" t="n">
        <v>1.282406</v>
      </c>
    </row>
    <row r="425" s="17">
      <c r="A425" s="19" t="n">
        <v>5450</v>
      </c>
      <c r="B425" s="19" t="n">
        <v>66407.111966</v>
      </c>
      <c r="C425" s="19" t="n">
        <v>2.2384254</v>
      </c>
      <c r="D425" s="19" t="n">
        <v>0.0054245668</v>
      </c>
      <c r="E425" s="19" t="n">
        <v>0.0785806897825921</v>
      </c>
      <c r="F425" s="19" t="n">
        <v>0.1843644444467227</v>
      </c>
      <c r="G425" s="19" t="n">
        <v>0.9134572159344138</v>
      </c>
      <c r="H425" s="19" t="n">
        <v>0.686202</v>
      </c>
    </row>
    <row r="426" s="17">
      <c r="A426" s="19" t="n">
        <v>5455</v>
      </c>
      <c r="B426" s="19" t="n">
        <v>51905.942673</v>
      </c>
      <c r="C426" s="19" t="n">
        <v>1.7531874</v>
      </c>
      <c r="D426" s="19" t="n">
        <v>0.007918088300000001</v>
      </c>
      <c r="E426" s="19" t="n">
        <v>0.05548235524803094</v>
      </c>
      <c r="F426" s="19" t="n">
        <v>0.05138662575463514</v>
      </c>
      <c r="G426" s="19" t="n">
        <v>0.9509699125203525</v>
      </c>
      <c r="H426" s="19" t="n">
        <v>0.26678</v>
      </c>
    </row>
    <row r="427" s="17">
      <c r="A427" s="19" t="n">
        <v>5460</v>
      </c>
      <c r="B427" s="19" t="n">
        <v>56775.84252</v>
      </c>
      <c r="C427" s="19" t="n">
        <v>1.8844475</v>
      </c>
      <c r="D427" s="19" t="n">
        <v>0.0072719296</v>
      </c>
      <c r="E427" s="19" t="n">
        <v>0.08694860722435545</v>
      </c>
      <c r="F427" s="19" t="n">
        <v>0.1685358442804818</v>
      </c>
      <c r="G427" s="19" t="n">
        <v>0.9715961636460614</v>
      </c>
      <c r="H427" s="19" t="n">
        <v>0.276109</v>
      </c>
    </row>
    <row r="428" s="17">
      <c r="A428" s="19" t="n">
        <v>5465</v>
      </c>
      <c r="B428" s="19" t="n">
        <v>72929.868437</v>
      </c>
      <c r="C428" s="19" t="n">
        <v>2.1908373</v>
      </c>
      <c r="D428" s="19" t="n">
        <v>0.0035927282</v>
      </c>
      <c r="E428" s="19" t="n">
        <v>0.05199147039746176</v>
      </c>
      <c r="F428" s="19" t="n">
        <v>0.1938170032139336</v>
      </c>
      <c r="G428" s="19" t="n">
        <v>0.9477711014327619</v>
      </c>
      <c r="H428" s="19" t="n">
        <v>0.256806</v>
      </c>
    </row>
    <row r="429" s="17">
      <c r="A429" s="19" t="n">
        <v>5470</v>
      </c>
      <c r="B429" s="19" t="n">
        <v>40849.231348</v>
      </c>
      <c r="C429" s="19" t="n">
        <v>1.9102202</v>
      </c>
      <c r="D429" s="19" t="n">
        <v>0.0079899653</v>
      </c>
      <c r="E429" s="19" t="n">
        <v>0.07489993786874102</v>
      </c>
      <c r="F429" s="19" t="n">
        <v>0.1675281292769538</v>
      </c>
      <c r="G429" s="19" t="n">
        <v>0.8822970727714278</v>
      </c>
      <c r="H429" s="19" t="n">
        <v>0.896635</v>
      </c>
    </row>
    <row r="430" s="17">
      <c r="A430" s="19" t="n">
        <v>5475</v>
      </c>
      <c r="B430" s="19" t="n">
        <v>58523.390305</v>
      </c>
      <c r="C430" s="19" t="n">
        <v>2.1691831</v>
      </c>
      <c r="D430" s="19" t="n">
        <v>0.007974266900000001</v>
      </c>
      <c r="E430" s="19" t="n">
        <v>0.1175570381187144</v>
      </c>
      <c r="F430" s="19" t="n">
        <v>0.09933281079930345</v>
      </c>
      <c r="G430" s="19" t="n">
        <v>0.9413392570443353</v>
      </c>
      <c r="H430" s="19" t="n">
        <v>0.7074510000000001</v>
      </c>
    </row>
    <row r="431" s="17">
      <c r="A431" s="19" t="n">
        <v>5480</v>
      </c>
      <c r="B431" s="19" t="n">
        <v>56418.201156</v>
      </c>
      <c r="C431" s="19" t="n">
        <v>2.4284859</v>
      </c>
      <c r="D431" s="19" t="n">
        <v>0.0050702987</v>
      </c>
      <c r="E431" s="19" t="n">
        <v>0.07557122042881928</v>
      </c>
      <c r="F431" s="19" t="n">
        <v>0.3441796734178473</v>
      </c>
      <c r="G431" s="19" t="n">
        <v>0.8883036800460263</v>
      </c>
      <c r="H431" s="19" t="n">
        <v>0.83338</v>
      </c>
    </row>
    <row r="432" s="17">
      <c r="A432" s="19" t="n">
        <v>5485</v>
      </c>
      <c r="B432" s="19" t="n">
        <v>52035.258443</v>
      </c>
      <c r="C432" s="19" t="n">
        <v>1.9581359</v>
      </c>
      <c r="D432" s="19" t="n">
        <v>0.0082536356</v>
      </c>
      <c r="E432" s="19" t="n">
        <v>0.06017446185070582</v>
      </c>
      <c r="F432" s="19" t="n">
        <v>0.1716184813815332</v>
      </c>
      <c r="G432" s="19" t="n">
        <v>0.9157003692941502</v>
      </c>
      <c r="H432" s="19" t="n">
        <v>0.534764</v>
      </c>
    </row>
    <row r="433" s="17">
      <c r="A433" s="19" t="n">
        <v>5490</v>
      </c>
      <c r="B433" s="19" t="n">
        <v>49215.042978</v>
      </c>
      <c r="C433" s="19" t="n">
        <v>2.0239086</v>
      </c>
      <c r="D433" s="19" t="n">
        <v>0.0034817659</v>
      </c>
      <c r="E433" s="19" t="n">
        <v>0.08706666269654381</v>
      </c>
      <c r="F433" s="19" t="n">
        <v>0.2685951486620006</v>
      </c>
      <c r="G433" s="19" t="n">
        <v>0.8993862901246649</v>
      </c>
      <c r="H433" s="19" t="n">
        <v>0.862922</v>
      </c>
    </row>
    <row r="434" s="17">
      <c r="A434" s="19" t="n">
        <v>5495</v>
      </c>
      <c r="B434" s="19" t="n">
        <v>74642.33156399999</v>
      </c>
      <c r="C434" s="19" t="n">
        <v>2.4495879</v>
      </c>
      <c r="D434" s="19" t="n">
        <v>0.0029096737</v>
      </c>
      <c r="E434" s="19" t="n">
        <v>0.0811391263277724</v>
      </c>
      <c r="F434" s="19" t="n">
        <v>0.2280919925492988</v>
      </c>
      <c r="G434" s="19" t="n">
        <v>0.9547857120228983</v>
      </c>
      <c r="H434" s="19" t="n">
        <v>0.36313</v>
      </c>
    </row>
    <row r="435" s="17">
      <c r="A435" s="19" t="n">
        <v>5500</v>
      </c>
      <c r="B435" s="19" t="n">
        <v>53130.050177</v>
      </c>
      <c r="C435" s="19" t="n">
        <v>1.9097404</v>
      </c>
      <c r="D435" s="19" t="n">
        <v>0.009298963299999999</v>
      </c>
      <c r="E435" s="19" t="n">
        <v>0.04821732135906841</v>
      </c>
      <c r="F435" s="19" t="n">
        <v>0.2541358602401057</v>
      </c>
      <c r="G435" s="19" t="n">
        <v>0.9387932255603691</v>
      </c>
      <c r="H435" s="19" t="n">
        <v>0.289226</v>
      </c>
    </row>
    <row r="436" s="17">
      <c r="A436" s="19" t="n">
        <v>5505</v>
      </c>
      <c r="B436" s="19" t="n">
        <v>41800.532511</v>
      </c>
      <c r="C436" s="19" t="n">
        <v>2.0508452</v>
      </c>
      <c r="D436" s="19" t="n">
        <v>0.0065001351</v>
      </c>
      <c r="E436" s="19" t="n">
        <v>0.1456749219126911</v>
      </c>
      <c r="F436" s="19" t="n">
        <v>0.2940725718652542</v>
      </c>
      <c r="G436" s="19" t="n">
        <v>0.9035340865785559</v>
      </c>
      <c r="H436" s="19" t="n">
        <v>1.406943</v>
      </c>
    </row>
    <row r="437" s="17">
      <c r="A437" s="19" t="n">
        <v>5510</v>
      </c>
      <c r="B437" s="19" t="n">
        <v>67461.485786</v>
      </c>
      <c r="C437" s="19" t="n">
        <v>2.3656448</v>
      </c>
      <c r="D437" s="19" t="n">
        <v>0.0050316554</v>
      </c>
      <c r="E437" s="19" t="n">
        <v>0.06903431636441783</v>
      </c>
      <c r="F437" s="19" t="n">
        <v>0.2268030191591035</v>
      </c>
      <c r="G437" s="19" t="n">
        <v>0.9137710650743083</v>
      </c>
      <c r="H437" s="19" t="n">
        <v>0.6110100000000001</v>
      </c>
    </row>
    <row r="438" s="17">
      <c r="A438" s="19" t="n">
        <v>5515</v>
      </c>
      <c r="B438" s="19" t="n">
        <v>36161.539387</v>
      </c>
      <c r="C438" s="19" t="n">
        <v>2.0796236</v>
      </c>
      <c r="D438" s="19" t="n">
        <v>0.0062778042</v>
      </c>
      <c r="E438" s="19" t="n">
        <v>0.03473963816146957</v>
      </c>
      <c r="F438" s="19" t="n">
        <v>0.1818477101017368</v>
      </c>
      <c r="G438" s="19" t="n">
        <v>0.8917099978716162</v>
      </c>
      <c r="H438" s="19" t="n">
        <v>0.41891</v>
      </c>
    </row>
    <row r="439" s="17">
      <c r="A439" s="19" t="n">
        <v>5520</v>
      </c>
      <c r="B439" s="19" t="n">
        <v>66535.466747</v>
      </c>
      <c r="C439" s="19" t="n">
        <v>2.098815</v>
      </c>
      <c r="D439" s="19" t="n">
        <v>0.0075508728</v>
      </c>
      <c r="E439" s="19" t="n">
        <v>0.08846626251015934</v>
      </c>
      <c r="F439" s="19" t="n">
        <v>0.1276539608676103</v>
      </c>
      <c r="G439" s="19" t="n">
        <v>0.9457138581251953</v>
      </c>
      <c r="H439" s="19" t="n">
        <v>0.491903</v>
      </c>
    </row>
    <row r="440" s="17">
      <c r="A440" s="19" t="n">
        <v>5525</v>
      </c>
      <c r="B440" s="19" t="n">
        <v>72217.98613799999</v>
      </c>
      <c r="C440" s="19" t="n">
        <v>2.2422452</v>
      </c>
      <c r="D440" s="19" t="n">
        <v>0.0039791231</v>
      </c>
      <c r="E440" s="19" t="n">
        <v>0.1145035463292192</v>
      </c>
      <c r="F440" s="19" t="n">
        <v>0.3763190718967937</v>
      </c>
      <c r="G440" s="19" t="n">
        <v>0.9024451113499519</v>
      </c>
      <c r="H440" s="19" t="n">
        <v>1.134348</v>
      </c>
    </row>
    <row r="441" s="17">
      <c r="A441" s="19" t="n">
        <v>5530</v>
      </c>
      <c r="B441" s="19" t="n">
        <v>39277.710194</v>
      </c>
      <c r="C441" s="19" t="n">
        <v>1.9868944</v>
      </c>
      <c r="D441" s="19" t="n">
        <v>0.0064576124</v>
      </c>
      <c r="E441" s="19" t="n">
        <v>0.03661704747999386</v>
      </c>
      <c r="F441" s="19" t="n">
        <v>0.03226771375256536</v>
      </c>
      <c r="G441" s="19" t="n">
        <v>0.9531495421794225</v>
      </c>
      <c r="H441" s="19" t="n">
        <v>0.200577</v>
      </c>
    </row>
    <row r="442" s="17">
      <c r="A442" s="19" t="n">
        <v>5535</v>
      </c>
      <c r="B442" s="19" t="n">
        <v>50213.078927</v>
      </c>
      <c r="C442" s="19" t="n">
        <v>1.897585</v>
      </c>
      <c r="D442" s="19" t="n">
        <v>0.0056352613</v>
      </c>
      <c r="E442" s="19" t="n">
        <v>0.03179767398035101</v>
      </c>
      <c r="F442" s="19" t="n">
        <v>0.1098821278605296</v>
      </c>
      <c r="G442" s="19" t="n">
        <v>0.9007809095590457</v>
      </c>
      <c r="H442" s="19" t="n">
        <v>0.357754</v>
      </c>
    </row>
    <row r="443" s="17">
      <c r="A443" s="19" t="n">
        <v>5540</v>
      </c>
      <c r="B443" s="19" t="n">
        <v>64502.967429</v>
      </c>
      <c r="C443" s="19" t="n">
        <v>2.3877553</v>
      </c>
      <c r="D443" s="19" t="n">
        <v>0.0045322201</v>
      </c>
      <c r="E443" s="19" t="n">
        <v>0.0782508778843936</v>
      </c>
      <c r="F443" s="19" t="n">
        <v>0.343021410085365</v>
      </c>
      <c r="G443" s="19" t="n">
        <v>0.8890248005484399</v>
      </c>
      <c r="H443" s="19" t="n">
        <v>0.8956769999999999</v>
      </c>
    </row>
    <row r="444" s="17">
      <c r="A444" s="19" t="n">
        <v>5545</v>
      </c>
      <c r="B444" s="19" t="n">
        <v>32706.586044</v>
      </c>
      <c r="C444" s="19" t="n">
        <v>1.8658744</v>
      </c>
      <c r="D444" s="19" t="n">
        <v>0.0070781561</v>
      </c>
      <c r="E444" s="19" t="n">
        <v>0.04217574473563766</v>
      </c>
      <c r="F444" s="19" t="n">
        <v>0.2782090563300014</v>
      </c>
      <c r="G444" s="19" t="n">
        <v>0.9567696077498349</v>
      </c>
      <c r="H444" s="19" t="n">
        <v>0.206879</v>
      </c>
    </row>
    <row r="445" s="17">
      <c r="A445" s="19" t="n">
        <v>5550</v>
      </c>
      <c r="B445" s="19" t="n">
        <v>56878.87496</v>
      </c>
      <c r="C445" s="19" t="n">
        <v>1.8910787</v>
      </c>
      <c r="D445" s="19" t="n">
        <v>0.0073927791</v>
      </c>
      <c r="E445" s="19" t="n">
        <v>0.1230056422192631</v>
      </c>
      <c r="F445" s="19" t="n">
        <v>0.3172400803532575</v>
      </c>
      <c r="G445" s="19" t="n">
        <v>0.8062392725245671</v>
      </c>
      <c r="H445" s="19" t="n">
        <v>2.390778</v>
      </c>
    </row>
    <row r="446" s="17">
      <c r="A446" s="19" t="n">
        <v>5555</v>
      </c>
      <c r="B446" s="19" t="n">
        <v>69480.641519</v>
      </c>
      <c r="C446" s="19" t="n">
        <v>2.1249526</v>
      </c>
      <c r="D446" s="19" t="n">
        <v>0.0053700622</v>
      </c>
      <c r="E446" s="19" t="n">
        <v>0.1003037750207137</v>
      </c>
      <c r="F446" s="19" t="n">
        <v>0.339993547339213</v>
      </c>
      <c r="G446" s="19" t="n">
        <v>0.9006950999572707</v>
      </c>
      <c r="H446" s="19" t="n">
        <v>0.990803</v>
      </c>
    </row>
    <row r="447" s="17">
      <c r="A447" s="19" t="n">
        <v>5560</v>
      </c>
      <c r="B447" s="19" t="n">
        <v>38042.398621</v>
      </c>
      <c r="C447" s="19" t="n">
        <v>2.1180616</v>
      </c>
      <c r="D447" s="19" t="n">
        <v>0.0070109562</v>
      </c>
      <c r="E447" s="19" t="n">
        <v>0.07275858768318694</v>
      </c>
      <c r="F447" s="19" t="n">
        <v>0.229890217801575</v>
      </c>
      <c r="G447" s="19" t="n">
        <v>0.8735907054933276</v>
      </c>
      <c r="H447" s="19" t="n">
        <v>0.9056149999999999</v>
      </c>
    </row>
    <row r="448" s="17">
      <c r="A448" s="19" t="n">
        <v>5565</v>
      </c>
      <c r="B448" s="19" t="n">
        <v>60639.687589</v>
      </c>
      <c r="C448" s="19" t="n">
        <v>1.7787966</v>
      </c>
      <c r="D448" s="19" t="n">
        <v>0.007980203700000001</v>
      </c>
      <c r="E448" s="19" t="n">
        <v>0.1525500793498167</v>
      </c>
      <c r="F448" s="19" t="n">
        <v>0.287633146266406</v>
      </c>
      <c r="G448" s="19" t="n">
        <v>0.8783389681697167</v>
      </c>
      <c r="H448" s="19" t="n">
        <v>1.904591</v>
      </c>
    </row>
    <row r="449" s="17">
      <c r="A449" s="19" t="n">
        <v>5570</v>
      </c>
      <c r="B449" s="19" t="n">
        <v>73241.805303</v>
      </c>
      <c r="C449" s="19" t="n">
        <v>2.148784</v>
      </c>
      <c r="D449" s="19" t="n">
        <v>0.0062206611</v>
      </c>
      <c r="E449" s="19" t="n">
        <v>0.05377933513781595</v>
      </c>
      <c r="F449" s="19" t="n">
        <v>0.3237375245010372</v>
      </c>
      <c r="G449" s="19" t="n">
        <v>0.8949189025997777</v>
      </c>
      <c r="H449" s="19" t="n">
        <v>0.595844</v>
      </c>
    </row>
    <row r="450" s="17">
      <c r="A450" s="19" t="n">
        <v>5575</v>
      </c>
      <c r="B450" s="19" t="n">
        <v>42064.989717</v>
      </c>
      <c r="C450" s="19" t="n">
        <v>2.0340183</v>
      </c>
      <c r="D450" s="19" t="n">
        <v>0.0076684287</v>
      </c>
      <c r="E450" s="19" t="n">
        <v>0.06151612582048033</v>
      </c>
      <c r="F450" s="19" t="n">
        <v>0.1592300665749754</v>
      </c>
      <c r="G450" s="19" t="n">
        <v>0.9086772864740651</v>
      </c>
      <c r="H450" s="19" t="n">
        <v>0.5836789999999999</v>
      </c>
    </row>
    <row r="451" s="17">
      <c r="A451" s="19" t="n">
        <v>5580</v>
      </c>
      <c r="B451" s="19" t="n">
        <v>67270.48839699999</v>
      </c>
      <c r="C451" s="19" t="n">
        <v>2.0382062</v>
      </c>
      <c r="D451" s="19" t="n">
        <v>0.0059810152</v>
      </c>
      <c r="E451" s="19" t="n">
        <v>0.1336061351429266</v>
      </c>
      <c r="F451" s="19" t="n">
        <v>0.1089303099055172</v>
      </c>
      <c r="G451" s="19" t="n">
        <v>0.9204525642036735</v>
      </c>
      <c r="H451" s="19" t="n">
        <v>1.065521</v>
      </c>
    </row>
    <row r="452" s="17">
      <c r="A452" s="19" t="n">
        <v>5585</v>
      </c>
      <c r="B452" s="19" t="n">
        <v>56601.030228</v>
      </c>
      <c r="C452" s="19" t="n">
        <v>1.6880851</v>
      </c>
      <c r="D452" s="19" t="n">
        <v>0.0063242279</v>
      </c>
      <c r="E452" s="19" t="n">
        <v>0.0881965923172167</v>
      </c>
      <c r="F452" s="19" t="n">
        <v>0.360860122122539</v>
      </c>
      <c r="G452" s="19" t="n">
        <v>0.8852012872765281</v>
      </c>
      <c r="H452" s="19" t="n">
        <v>1.012551</v>
      </c>
    </row>
    <row r="453" s="17">
      <c r="A453" s="19" t="n">
        <v>5590</v>
      </c>
      <c r="B453" s="19" t="n">
        <v>38409.597213</v>
      </c>
      <c r="C453" s="19" t="n">
        <v>2.0679972</v>
      </c>
      <c r="D453" s="19" t="n">
        <v>0.0057515441</v>
      </c>
      <c r="E453" s="19" t="n">
        <v>0.07178499737970757</v>
      </c>
      <c r="F453" s="19" t="n">
        <v>0.1384947982998018</v>
      </c>
      <c r="G453" s="19" t="n">
        <v>0.9565816673785774</v>
      </c>
      <c r="H453" s="19" t="n">
        <v>0.297478</v>
      </c>
    </row>
    <row r="454" s="17">
      <c r="A454" s="19" t="n">
        <v>5595</v>
      </c>
      <c r="B454" s="19" t="n">
        <v>35081.021175</v>
      </c>
      <c r="C454" s="19" t="n">
        <v>2.2634336</v>
      </c>
      <c r="D454" s="19" t="n">
        <v>0.007001689</v>
      </c>
      <c r="E454" s="19" t="n">
        <v>0.116202681320933</v>
      </c>
      <c r="F454" s="19" t="n">
        <v>0.09966006322134935</v>
      </c>
      <c r="G454" s="19" t="n">
        <v>0.9402791497613437</v>
      </c>
      <c r="H454" s="19" t="n">
        <v>0.743559</v>
      </c>
    </row>
    <row r="455" s="17">
      <c r="A455" s="19" t="n">
        <v>5600</v>
      </c>
      <c r="B455" s="19" t="n">
        <v>47048.406729</v>
      </c>
      <c r="C455" s="19" t="n">
        <v>2.051707</v>
      </c>
      <c r="D455" s="19" t="n">
        <v>0.0056568799</v>
      </c>
      <c r="E455" s="19" t="n">
        <v>0.06982081387552573</v>
      </c>
      <c r="F455" s="19" t="n">
        <v>0.1477506974974075</v>
      </c>
      <c r="G455" s="19" t="n">
        <v>0.9611879990264875</v>
      </c>
      <c r="H455" s="19" t="n">
        <v>0.300691</v>
      </c>
    </row>
    <row r="456" s="17">
      <c r="A456" s="19" t="n">
        <v>5605</v>
      </c>
      <c r="B456" s="19" t="n">
        <v>33832.167418</v>
      </c>
      <c r="C456" s="19" t="n">
        <v>1.7715149</v>
      </c>
      <c r="D456" s="19" t="n">
        <v>0.0069342104</v>
      </c>
      <c r="E456" s="19" t="n">
        <v>0.06085693543525182</v>
      </c>
      <c r="F456" s="19" t="n">
        <v>0.2980698562801972</v>
      </c>
      <c r="G456" s="19" t="n">
        <v>0.9188984381365174</v>
      </c>
      <c r="H456" s="19" t="n">
        <v>0.5281709999999999</v>
      </c>
    </row>
    <row r="457" s="17">
      <c r="A457" s="19" t="n">
        <v>5610</v>
      </c>
      <c r="B457" s="19" t="n">
        <v>53063.015549</v>
      </c>
      <c r="C457" s="19" t="n">
        <v>2.064907</v>
      </c>
      <c r="D457" s="19" t="n">
        <v>0.0067952276</v>
      </c>
      <c r="E457" s="19" t="n">
        <v>0.09064753975087238</v>
      </c>
      <c r="F457" s="19" t="n">
        <v>0.1905265940514994</v>
      </c>
      <c r="G457" s="19" t="n">
        <v>0.9258957618882823</v>
      </c>
      <c r="H457" s="19" t="n">
        <v>0.663369</v>
      </c>
    </row>
    <row r="458" s="17">
      <c r="A458" s="19" t="n">
        <v>5615</v>
      </c>
      <c r="B458" s="19" t="n">
        <v>65602.82558400001</v>
      </c>
      <c r="C458" s="19" t="n">
        <v>2.1774777</v>
      </c>
      <c r="D458" s="19" t="n">
        <v>0.0064164646</v>
      </c>
      <c r="E458" s="19" t="n">
        <v>0.1116464991478801</v>
      </c>
      <c r="F458" s="19" t="n">
        <v>0.2831398847928095</v>
      </c>
      <c r="G458" s="19" t="n">
        <v>0.8780607729137415</v>
      </c>
      <c r="H458" s="19" t="n">
        <v>1.403618</v>
      </c>
    </row>
    <row r="459" s="17">
      <c r="A459" s="19" t="n">
        <v>5620</v>
      </c>
      <c r="B459" s="19" t="n">
        <v>52361.185347</v>
      </c>
      <c r="C459" s="19" t="n">
        <v>2.0686813</v>
      </c>
      <c r="D459" s="19" t="n">
        <v>0.0069200424</v>
      </c>
      <c r="E459" s="19" t="n">
        <v>0.0368139909894547</v>
      </c>
      <c r="F459" s="19" t="n">
        <v>0.07597737154982244</v>
      </c>
      <c r="G459" s="19" t="n">
        <v>0.9153988833945526</v>
      </c>
      <c r="H459" s="19" t="n">
        <v>0.295321</v>
      </c>
    </row>
    <row r="460" s="17">
      <c r="A460" s="19" t="n">
        <v>5625</v>
      </c>
      <c r="B460" s="19" t="n">
        <v>48484.21288</v>
      </c>
      <c r="C460" s="19" t="n">
        <v>2.2982895</v>
      </c>
      <c r="D460" s="19" t="n">
        <v>0.0044917479</v>
      </c>
      <c r="E460" s="19" t="n">
        <v>0.09646766357329271</v>
      </c>
      <c r="F460" s="19" t="n">
        <v>0.1180151530835576</v>
      </c>
      <c r="G460" s="19" t="n">
        <v>0.940013331558189</v>
      </c>
      <c r="H460" s="19" t="n">
        <v>0.567283</v>
      </c>
    </row>
    <row r="461" s="17">
      <c r="A461" s="19" t="n">
        <v>5630</v>
      </c>
      <c r="B461" s="19" t="n">
        <v>67749.8126</v>
      </c>
      <c r="C461" s="19" t="n">
        <v>1.7890241</v>
      </c>
      <c r="D461" s="19" t="n">
        <v>0.0062432833</v>
      </c>
      <c r="E461" s="19" t="n">
        <v>0.05765946553023158</v>
      </c>
      <c r="F461" s="19" t="n">
        <v>0.34859250171898</v>
      </c>
      <c r="G461" s="19" t="n">
        <v>0.9417276449878601</v>
      </c>
      <c r="H461" s="19" t="n">
        <v>0.37004</v>
      </c>
    </row>
    <row r="462" s="17">
      <c r="A462" s="19" t="n">
        <v>5635</v>
      </c>
      <c r="B462" s="19" t="n">
        <v>34568.313218</v>
      </c>
      <c r="C462" s="19" t="n">
        <v>1.7822601</v>
      </c>
      <c r="D462" s="19" t="n">
        <v>0.0062599087</v>
      </c>
      <c r="E462" s="19" t="n">
        <v>0.03239662622112166</v>
      </c>
      <c r="F462" s="19" t="n">
        <v>0.07008361846025903</v>
      </c>
      <c r="G462" s="19" t="n">
        <v>0.9997767796604029</v>
      </c>
      <c r="H462" s="19" t="n">
        <v>0.043441</v>
      </c>
    </row>
    <row r="463" s="17">
      <c r="A463" s="19" t="n">
        <v>5640</v>
      </c>
      <c r="B463" s="19" t="n">
        <v>55959.299876</v>
      </c>
      <c r="C463" s="19" t="n">
        <v>2.2389834</v>
      </c>
      <c r="D463" s="19" t="n">
        <v>0.0037690914</v>
      </c>
      <c r="E463" s="19" t="n">
        <v>0.1161166692596006</v>
      </c>
      <c r="F463" s="19" t="n">
        <v>0.256334418925345</v>
      </c>
      <c r="G463" s="19" t="n">
        <v>0.9300383331012201</v>
      </c>
      <c r="H463" s="19" t="n">
        <v>0.828556</v>
      </c>
    </row>
    <row r="464" s="17">
      <c r="A464" s="19" t="n">
        <v>5645</v>
      </c>
      <c r="B464" s="19" t="n">
        <v>57770.072647</v>
      </c>
      <c r="C464" s="19" t="n">
        <v>1.7569776</v>
      </c>
      <c r="D464" s="19" t="n">
        <v>0.0061256561</v>
      </c>
      <c r="E464" s="19" t="n">
        <v>0.06976643661860796</v>
      </c>
      <c r="F464" s="19" t="n">
        <v>0.347643195420415</v>
      </c>
      <c r="G464" s="19" t="n">
        <v>0.9158319357009599</v>
      </c>
      <c r="H464" s="19" t="n">
        <v>0.613325</v>
      </c>
    </row>
    <row r="465" s="17">
      <c r="A465" s="19" t="n">
        <v>5650</v>
      </c>
      <c r="B465" s="19" t="n">
        <v>50293.195785</v>
      </c>
      <c r="C465" s="19" t="n">
        <v>2.1316452</v>
      </c>
      <c r="D465" s="19" t="n">
        <v>0.0074211891</v>
      </c>
      <c r="E465" s="19" t="n">
        <v>0.03774500659419381</v>
      </c>
      <c r="F465" s="19" t="n">
        <v>0.2851402525376833</v>
      </c>
      <c r="G465" s="19" t="n">
        <v>0.942127620620182</v>
      </c>
      <c r="H465" s="19" t="n">
        <v>0.238327</v>
      </c>
    </row>
    <row r="466" s="17">
      <c r="A466" s="19" t="n">
        <v>5655</v>
      </c>
      <c r="B466" s="19" t="n">
        <v>36715.86612</v>
      </c>
      <c r="C466" s="19" t="n">
        <v>1.7824345</v>
      </c>
      <c r="D466" s="19" t="n">
        <v>0.0034997517</v>
      </c>
      <c r="E466" s="19" t="n">
        <v>0.1087710210811003</v>
      </c>
      <c r="F466" s="19" t="n">
        <v>0.257250368923058</v>
      </c>
      <c r="G466" s="19" t="n">
        <v>0.9413622466237384</v>
      </c>
      <c r="H466" s="19" t="n">
        <v>0.621082</v>
      </c>
    </row>
    <row r="467" s="17">
      <c r="A467" s="19" t="n">
        <v>5660</v>
      </c>
      <c r="B467" s="19" t="n">
        <v>69055.405656</v>
      </c>
      <c r="C467" s="19" t="n">
        <v>1.6642148</v>
      </c>
      <c r="D467" s="19" t="n">
        <v>0.00317445</v>
      </c>
      <c r="E467" s="19" t="n">
        <v>0.04690084648699447</v>
      </c>
      <c r="F467" s="19" t="n">
        <v>0.354404167353579</v>
      </c>
      <c r="G467" s="19" t="n">
        <v>0.9464672787989427</v>
      </c>
      <c r="H467" s="19" t="n">
        <v>0.270699</v>
      </c>
    </row>
    <row r="468" s="17">
      <c r="A468" s="19" t="n">
        <v>5665</v>
      </c>
      <c r="B468" s="19" t="n">
        <v>35624.782473</v>
      </c>
      <c r="C468" s="19" t="n">
        <v>1.8914785</v>
      </c>
      <c r="D468" s="19" t="n">
        <v>0.0066494016</v>
      </c>
      <c r="E468" s="19" t="n">
        <v>0.06699044432170523</v>
      </c>
      <c r="F468" s="19" t="n">
        <v>0.08948049673922383</v>
      </c>
      <c r="G468" s="19" t="n">
        <v>0.9216794581682153</v>
      </c>
      <c r="H468" s="19" t="n">
        <v>0.557603</v>
      </c>
    </row>
    <row r="469" s="17">
      <c r="A469" s="19" t="n">
        <v>5670</v>
      </c>
      <c r="B469" s="19" t="n">
        <v>43651.719907</v>
      </c>
      <c r="C469" s="19" t="n">
        <v>2.0756576</v>
      </c>
      <c r="D469" s="19" t="n">
        <v>0.0063533384</v>
      </c>
      <c r="E469" s="19" t="n">
        <v>0.1192433824098216</v>
      </c>
      <c r="F469" s="19" t="n">
        <v>0.3044590661777916</v>
      </c>
      <c r="G469" s="19" t="n">
        <v>0.9319722045357789</v>
      </c>
      <c r="H469" s="19" t="n">
        <v>0.83219</v>
      </c>
    </row>
    <row r="470" s="17">
      <c r="A470" s="19" t="n">
        <v>5675</v>
      </c>
      <c r="B470" s="19" t="n">
        <v>56829.262874</v>
      </c>
      <c r="C470" s="19" t="n">
        <v>2.4459955</v>
      </c>
      <c r="D470" s="19" t="n">
        <v>0.0041011301</v>
      </c>
      <c r="E470" s="19" t="n">
        <v>0.103935180112065</v>
      </c>
      <c r="F470" s="19" t="n">
        <v>0.1889086369466959</v>
      </c>
      <c r="G470" s="19" t="n">
        <v>0.906629811408219</v>
      </c>
      <c r="H470" s="19" t="n">
        <v>0.9746010000000001</v>
      </c>
    </row>
    <row r="471" s="17">
      <c r="A471" s="19" t="n">
        <v>5680</v>
      </c>
      <c r="B471" s="19" t="n">
        <v>34718.226809</v>
      </c>
      <c r="C471" s="19" t="n">
        <v>1.7692391</v>
      </c>
      <c r="D471" s="19" t="n">
        <v>0.007463565</v>
      </c>
      <c r="E471" s="19" t="n">
        <v>0.03862410344995568</v>
      </c>
      <c r="F471" s="19" t="n">
        <v>0.1531906277565557</v>
      </c>
      <c r="G471" s="19" t="n">
        <v>0.9514139994181253</v>
      </c>
      <c r="H471" s="19" t="n">
        <v>0.224461</v>
      </c>
    </row>
    <row r="472" s="17">
      <c r="A472" s="19" t="n">
        <v>5685</v>
      </c>
      <c r="B472" s="19" t="n">
        <v>55475.590871</v>
      </c>
      <c r="C472" s="19" t="n">
        <v>1.9494211</v>
      </c>
      <c r="D472" s="19" t="n">
        <v>0.0047896224</v>
      </c>
      <c r="E472" s="19" t="n">
        <v>0.1100117917373541</v>
      </c>
      <c r="F472" s="19" t="n">
        <v>0.1370669232641503</v>
      </c>
      <c r="G472" s="19" t="n">
        <v>0.9806179145978307</v>
      </c>
      <c r="H472" s="19" t="n">
        <v>0.215426</v>
      </c>
    </row>
    <row r="473" s="17">
      <c r="A473" s="19" t="n">
        <v>5690</v>
      </c>
      <c r="B473" s="19" t="n">
        <v>74638.03339</v>
      </c>
      <c r="C473" s="19" t="n">
        <v>1.6555352</v>
      </c>
      <c r="D473" s="19" t="n">
        <v>0.0049085821</v>
      </c>
      <c r="E473" s="19" t="n">
        <v>0.07407734945399792</v>
      </c>
      <c r="F473" s="19" t="n">
        <v>0.1853951461227493</v>
      </c>
      <c r="G473" s="19" t="n">
        <v>0.9535748814159178</v>
      </c>
      <c r="H473" s="19" t="n">
        <v>0.349803</v>
      </c>
    </row>
    <row r="474" s="17">
      <c r="A474" s="19" t="n">
        <v>5695</v>
      </c>
      <c r="B474" s="19" t="n">
        <v>52209.469064</v>
      </c>
      <c r="C474" s="19" t="n">
        <v>2.180443</v>
      </c>
      <c r="D474" s="19" t="n">
        <v>0.0057958807</v>
      </c>
      <c r="E474" s="19" t="n">
        <v>0.03622667601376945</v>
      </c>
      <c r="F474" s="19" t="n">
        <v>0.2940077860445933</v>
      </c>
      <c r="G474" s="19" t="n">
        <v>0.8847294671368686</v>
      </c>
      <c r="H474" s="19" t="n">
        <v>0.435486</v>
      </c>
    </row>
    <row r="475" s="17">
      <c r="A475" s="19" t="n">
        <v>5700</v>
      </c>
      <c r="B475" s="19" t="n">
        <v>57997.842668</v>
      </c>
      <c r="C475" s="19" t="n">
        <v>1.9260488</v>
      </c>
      <c r="D475" s="19" t="n">
        <v>0.0059128179</v>
      </c>
      <c r="E475" s="19" t="n">
        <v>0.1344562208236628</v>
      </c>
      <c r="F475" s="19" t="n">
        <v>0.1568239768315376</v>
      </c>
      <c r="G475" s="19" t="n">
        <v>0.8599611470172929</v>
      </c>
      <c r="H475" s="19" t="n">
        <v>1.886606</v>
      </c>
    </row>
    <row r="476" s="17">
      <c r="A476" s="19" t="n">
        <v>5705</v>
      </c>
      <c r="B476" s="19" t="n">
        <v>70996.606101</v>
      </c>
      <c r="C476" s="19" t="n">
        <v>2.322422</v>
      </c>
      <c r="D476" s="19" t="n">
        <v>0.0053072916</v>
      </c>
      <c r="E476" s="19" t="n">
        <v>0.04678920913872313</v>
      </c>
      <c r="F476" s="19" t="n">
        <v>0.3233720067567097</v>
      </c>
      <c r="G476" s="19" t="n">
        <v>0.9546635388706033</v>
      </c>
      <c r="H476" s="19" t="n">
        <v>0.216928</v>
      </c>
    </row>
    <row r="477" s="17">
      <c r="A477" s="19" t="n">
        <v>5710</v>
      </c>
      <c r="B477" s="19" t="n">
        <v>43765.290742</v>
      </c>
      <c r="C477" s="19" t="n">
        <v>2.0976712</v>
      </c>
      <c r="D477" s="19" t="n">
        <v>0.0072553402</v>
      </c>
      <c r="E477" s="19" t="n">
        <v>0.05434968482821147</v>
      </c>
      <c r="F477" s="19" t="n">
        <v>0.07243959895556135</v>
      </c>
      <c r="G477" s="19" t="n">
        <v>0.9929688519730088</v>
      </c>
      <c r="H477" s="19" t="n">
        <v>0.050708</v>
      </c>
    </row>
    <row r="478" s="17">
      <c r="A478" s="19" t="n">
        <v>5715</v>
      </c>
      <c r="B478" s="19" t="n">
        <v>54228.249191</v>
      </c>
      <c r="C478" s="19" t="n">
        <v>1.7405296</v>
      </c>
      <c r="D478" s="19" t="n">
        <v>0.0048583158</v>
      </c>
      <c r="E478" s="19" t="n">
        <v>0.1539885105560304</v>
      </c>
      <c r="F478" s="19" t="n">
        <v>0.09397902006628656</v>
      </c>
      <c r="G478" s="19" t="n">
        <v>0.9131214177009733</v>
      </c>
      <c r="H478" s="19" t="n">
        <v>1.359171</v>
      </c>
    </row>
    <row r="479" s="17">
      <c r="A479" s="19" t="n">
        <v>5720</v>
      </c>
      <c r="B479" s="19" t="n">
        <v>65742.97685399999</v>
      </c>
      <c r="C479" s="19" t="n">
        <v>2.4822681</v>
      </c>
      <c r="D479" s="19" t="n">
        <v>0.0043521946</v>
      </c>
      <c r="E479" s="19" t="n">
        <v>0.09309646332638999</v>
      </c>
      <c r="F479" s="19" t="n">
        <v>0.3504003783331617</v>
      </c>
      <c r="G479" s="19" t="n">
        <v>0.8853967776798275</v>
      </c>
      <c r="H479" s="19" t="n">
        <v>1.065622</v>
      </c>
    </row>
    <row r="480" s="17">
      <c r="A480" s="19" t="n">
        <v>5725</v>
      </c>
      <c r="B480" s="19" t="n">
        <v>32585.013222</v>
      </c>
      <c r="C480" s="19" t="n">
        <v>1.7365103</v>
      </c>
      <c r="D480" s="19" t="n">
        <v>0.0088214317</v>
      </c>
      <c r="E480" s="19" t="n">
        <v>0.04616767807789529</v>
      </c>
      <c r="F480" s="19" t="n">
        <v>0.231571184024784</v>
      </c>
      <c r="G480" s="19" t="n">
        <v>0.9428578656331551</v>
      </c>
      <c r="H480" s="19" t="n">
        <v>0.268552</v>
      </c>
    </row>
    <row r="481" s="17">
      <c r="A481" s="19" t="n">
        <v>5730</v>
      </c>
      <c r="B481" s="19" t="n">
        <v>51143.687641</v>
      </c>
      <c r="C481" s="19" t="n">
        <v>2.0452</v>
      </c>
      <c r="D481" s="19" t="n">
        <v>0.0058560118</v>
      </c>
      <c r="E481" s="19" t="n">
        <v>0.03863884538724645</v>
      </c>
      <c r="F481" s="19" t="n">
        <v>0.07734026582001333</v>
      </c>
      <c r="G481" s="19" t="n">
        <v>0.9640208691956204</v>
      </c>
      <c r="H481" s="19" t="n">
        <v>0.127095</v>
      </c>
    </row>
    <row r="482" s="17">
      <c r="A482" s="19" t="n">
        <v>5735</v>
      </c>
      <c r="B482" s="19" t="n">
        <v>68867.080789</v>
      </c>
      <c r="C482" s="19" t="n">
        <v>1.7205847</v>
      </c>
      <c r="D482" s="19" t="n">
        <v>0.0051300859</v>
      </c>
      <c r="E482" s="19" t="n">
        <v>0.06713295293824514</v>
      </c>
      <c r="F482" s="19" t="n">
        <v>0.2995221948591045</v>
      </c>
      <c r="G482" s="19" t="n">
        <v>0.9346409097724653</v>
      </c>
      <c r="H482" s="19" t="n">
        <v>0.478535</v>
      </c>
    </row>
    <row r="483" s="17">
      <c r="A483" s="19" t="n">
        <v>5740</v>
      </c>
      <c r="B483" s="19" t="n">
        <v>55835.928793</v>
      </c>
      <c r="C483" s="19" t="n">
        <v>2.0686267</v>
      </c>
      <c r="D483" s="19" t="n">
        <v>0.0090331501</v>
      </c>
      <c r="E483" s="19" t="n">
        <v>0.06919330353252179</v>
      </c>
      <c r="F483" s="19" t="n">
        <v>0.09635712083870614</v>
      </c>
      <c r="G483" s="19" t="n">
        <v>0.9921265752606502</v>
      </c>
      <c r="H483" s="19" t="n">
        <v>0.070356</v>
      </c>
    </row>
    <row r="484" s="17">
      <c r="A484" s="19" t="n">
        <v>5745</v>
      </c>
      <c r="B484" s="19" t="n">
        <v>40488.810027</v>
      </c>
      <c r="C484" s="19" t="n">
        <v>1.679208</v>
      </c>
      <c r="D484" s="19" t="n">
        <v>0.0077157927</v>
      </c>
      <c r="E484" s="19" t="n">
        <v>0.1289028031377782</v>
      </c>
      <c r="F484" s="19" t="n">
        <v>0.1156691775863985</v>
      </c>
      <c r="G484" s="19" t="n">
        <v>0.9539673020373868</v>
      </c>
      <c r="H484" s="19" t="n">
        <v>0.636961</v>
      </c>
    </row>
    <row r="485" s="17">
      <c r="A485" s="19" t="n">
        <v>5750</v>
      </c>
      <c r="B485" s="19" t="n">
        <v>67756.94751</v>
      </c>
      <c r="C485" s="19" t="n">
        <v>2.1732155</v>
      </c>
      <c r="D485" s="19" t="n">
        <v>0.0062814806</v>
      </c>
      <c r="E485" s="19" t="n">
        <v>0.05923979087043976</v>
      </c>
      <c r="F485" s="19" t="n">
        <v>0.373567507264046</v>
      </c>
      <c r="G485" s="19" t="n">
        <v>0.904356501803796</v>
      </c>
      <c r="H485" s="19" t="n">
        <v>0.583247</v>
      </c>
    </row>
    <row r="486" s="17">
      <c r="A486" s="19" t="n">
        <v>5755</v>
      </c>
      <c r="B486" s="19" t="n">
        <v>42058.07342</v>
      </c>
      <c r="C486" s="19" t="n">
        <v>2.0269297</v>
      </c>
      <c r="D486" s="19" t="n">
        <v>0.0078942696</v>
      </c>
      <c r="E486" s="19" t="n">
        <v>0.06192076459574649</v>
      </c>
      <c r="F486" s="19" t="n">
        <v>0.1321150505674828</v>
      </c>
      <c r="G486" s="19" t="n">
        <v>0.9270591995445517</v>
      </c>
      <c r="H486" s="19" t="n">
        <v>0.472157</v>
      </c>
    </row>
    <row r="487" s="17">
      <c r="A487" s="19" t="n">
        <v>5760</v>
      </c>
      <c r="B487" s="19" t="n">
        <v>52421.835944</v>
      </c>
      <c r="C487" s="19" t="n">
        <v>2.0806208</v>
      </c>
      <c r="D487" s="19" t="n">
        <v>0.004213301</v>
      </c>
      <c r="E487" s="19" t="n">
        <v>0.1251370501594423</v>
      </c>
      <c r="F487" s="19" t="n">
        <v>0.3054124709058611</v>
      </c>
      <c r="G487" s="19" t="n">
        <v>0.8890796293775071</v>
      </c>
      <c r="H487" s="19" t="n">
        <v>1.379138</v>
      </c>
    </row>
    <row r="488" s="17">
      <c r="A488" s="19" t="n">
        <v>5765</v>
      </c>
      <c r="B488" s="19" t="n">
        <v>74242.53707400001</v>
      </c>
      <c r="C488" s="19" t="n">
        <v>2.4586608</v>
      </c>
      <c r="D488" s="19" t="n">
        <v>0.0049515189</v>
      </c>
      <c r="E488" s="19" t="n">
        <v>0.05763806177797376</v>
      </c>
      <c r="F488" s="19" t="n">
        <v>0.2405878607586396</v>
      </c>
      <c r="G488" s="19" t="n">
        <v>0.9439154872756149</v>
      </c>
      <c r="H488" s="19" t="n">
        <v>0.319719</v>
      </c>
    </row>
    <row r="489" s="17">
      <c r="A489" s="19" t="n">
        <v>5770</v>
      </c>
      <c r="B489" s="19" t="n">
        <v>44913.866916</v>
      </c>
      <c r="C489" s="19" t="n">
        <v>1.8135964</v>
      </c>
      <c r="D489" s="19" t="n">
        <v>0.0071130065</v>
      </c>
      <c r="E489" s="19" t="n">
        <v>0.06410010137811045</v>
      </c>
      <c r="F489" s="19" t="n">
        <v>0.2091417577138993</v>
      </c>
      <c r="G489" s="19" t="n">
        <v>0.9441218896759653</v>
      </c>
      <c r="H489" s="19" t="n">
        <v>0.382844</v>
      </c>
    </row>
    <row r="490" s="17">
      <c r="A490" s="19" t="n">
        <v>5775</v>
      </c>
      <c r="B490" s="19" t="n">
        <v>49011.073092</v>
      </c>
      <c r="C490" s="19" t="n">
        <v>2.0241758</v>
      </c>
      <c r="D490" s="19" t="n">
        <v>0.0050591036</v>
      </c>
      <c r="E490" s="19" t="n">
        <v>0.1584568341770435</v>
      </c>
      <c r="F490" s="19" t="n">
        <v>0.1926620113867453</v>
      </c>
      <c r="G490" s="19" t="n">
        <v>0.8948244061458184</v>
      </c>
      <c r="H490" s="19" t="n">
        <v>1.676921</v>
      </c>
    </row>
    <row r="491" s="17">
      <c r="A491" s="19" t="n">
        <v>5780</v>
      </c>
      <c r="B491" s="19" t="n">
        <v>62594.403443</v>
      </c>
      <c r="C491" s="19" t="n">
        <v>2.1705319</v>
      </c>
      <c r="D491" s="19" t="n">
        <v>0.005034746</v>
      </c>
      <c r="E491" s="19" t="n">
        <v>0.09355655941618157</v>
      </c>
      <c r="F491" s="19" t="n">
        <v>0.3438709600918902</v>
      </c>
      <c r="G491" s="19" t="n">
        <v>0.8808914106458751</v>
      </c>
      <c r="H491" s="19" t="n">
        <v>1.111162</v>
      </c>
    </row>
    <row r="492" s="17">
      <c r="A492" s="19" t="n">
        <v>5785</v>
      </c>
      <c r="B492" s="19" t="n">
        <v>38139.360766</v>
      </c>
      <c r="C492" s="19" t="n">
        <v>2.0982039</v>
      </c>
      <c r="D492" s="19" t="n">
        <v>0.0054386567</v>
      </c>
      <c r="E492" s="19" t="n">
        <v>0.07076961153966002</v>
      </c>
      <c r="F492" s="19" t="n">
        <v>0.1348828029465143</v>
      </c>
      <c r="G492" s="19" t="n">
        <v>0.9459647056518962</v>
      </c>
      <c r="H492" s="19" t="n">
        <v>0.387729</v>
      </c>
    </row>
    <row r="493" s="17">
      <c r="A493" s="19" t="n">
        <v>5790</v>
      </c>
      <c r="B493" s="19" t="n">
        <v>39292.077465</v>
      </c>
      <c r="C493" s="19" t="n">
        <v>1.8762034</v>
      </c>
      <c r="D493" s="19" t="n">
        <v>0.0059276993</v>
      </c>
      <c r="E493" s="19" t="n">
        <v>0.1131183676630436</v>
      </c>
      <c r="F493" s="19" t="n">
        <v>0.1680870723856626</v>
      </c>
      <c r="G493" s="19" t="n">
        <v>0.9505756301875227</v>
      </c>
      <c r="H493" s="19" t="n">
        <v>0.559701</v>
      </c>
    </row>
    <row r="494" s="17">
      <c r="A494" s="19" t="n">
        <v>5795</v>
      </c>
      <c r="B494" s="19" t="n">
        <v>48508.56851</v>
      </c>
      <c r="C494" s="19" t="n">
        <v>2.0816693</v>
      </c>
      <c r="D494" s="19" t="n">
        <v>0.005568483</v>
      </c>
      <c r="E494" s="19" t="n">
        <v>0.04673766663707185</v>
      </c>
      <c r="F494" s="19" t="n">
        <v>0.08476875746939923</v>
      </c>
      <c r="G494" s="19" t="n">
        <v>0.9506158038613399</v>
      </c>
      <c r="H494" s="19" t="n">
        <v>0.218457</v>
      </c>
    </row>
    <row r="495" s="17">
      <c r="A495" s="19" t="n">
        <v>5800</v>
      </c>
      <c r="B495" s="19" t="n">
        <v>42445.023394</v>
      </c>
      <c r="C495" s="19" t="n">
        <v>1.8446294</v>
      </c>
      <c r="D495" s="19" t="n">
        <v>0.0054307743</v>
      </c>
      <c r="E495" s="19" t="n">
        <v>0.06072454163885701</v>
      </c>
      <c r="F495" s="19" t="n">
        <v>0.03236830849745925</v>
      </c>
      <c r="G495" s="19" t="n">
        <v>0.9503701909316427</v>
      </c>
      <c r="H495" s="19" t="n">
        <v>0.349784</v>
      </c>
    </row>
    <row r="496" s="17">
      <c r="A496" s="19" t="n">
        <v>5805</v>
      </c>
      <c r="B496" s="19" t="n">
        <v>53660.735066</v>
      </c>
      <c r="C496" s="19" t="n">
        <v>1.7769797</v>
      </c>
      <c r="D496" s="19" t="n">
        <v>0.0065354958</v>
      </c>
      <c r="E496" s="19" t="n">
        <v>0.1285689597233544</v>
      </c>
      <c r="F496" s="19" t="n">
        <v>0.1057265225931942</v>
      </c>
      <c r="G496" s="19" t="n">
        <v>0.9783891274983575</v>
      </c>
      <c r="H496" s="19" t="n">
        <v>0.305415</v>
      </c>
    </row>
    <row r="497" s="17">
      <c r="A497" s="19" t="n">
        <v>5810</v>
      </c>
      <c r="B497" s="19" t="n">
        <v>74474.013504</v>
      </c>
      <c r="C497" s="19" t="n">
        <v>2.3157038</v>
      </c>
      <c r="D497" s="19" t="n">
        <v>0.0052755283</v>
      </c>
      <c r="E497" s="19" t="n">
        <v>0.08743708030550194</v>
      </c>
      <c r="F497" s="19" t="n">
        <v>0.3294284840991116</v>
      </c>
      <c r="G497" s="19" t="n">
        <v>0.9072925103661698</v>
      </c>
      <c r="H497" s="19" t="n">
        <v>0.814344</v>
      </c>
    </row>
    <row r="498" s="17">
      <c r="A498" s="19" t="n">
        <v>5815</v>
      </c>
      <c r="B498" s="19" t="n">
        <v>44933.867576</v>
      </c>
      <c r="C498" s="19" t="n">
        <v>1.9935499</v>
      </c>
      <c r="D498" s="19" t="n">
        <v>0.0067072972</v>
      </c>
      <c r="E498" s="19" t="n">
        <v>0.03659980049546917</v>
      </c>
      <c r="F498" s="19" t="n">
        <v>0.1834180761859435</v>
      </c>
      <c r="G498" s="19" t="n">
        <v>0.9391205519434039</v>
      </c>
      <c r="H498" s="19" t="n">
        <v>0.230942</v>
      </c>
    </row>
    <row r="499" s="17">
      <c r="A499" s="19" t="n">
        <v>5820</v>
      </c>
      <c r="B499" s="19" t="n">
        <v>54390.2916</v>
      </c>
      <c r="C499" s="19" t="n">
        <v>1.8378163</v>
      </c>
      <c r="D499" s="19" t="n">
        <v>0.0050314073</v>
      </c>
      <c r="E499" s="19" t="n">
        <v>0.1143143291996404</v>
      </c>
      <c r="F499" s="19" t="n">
        <v>0.1130689815146488</v>
      </c>
      <c r="G499" s="19" t="n">
        <v>0.9278017044111267</v>
      </c>
      <c r="H499" s="19" t="n">
        <v>0.8209070000000001</v>
      </c>
    </row>
    <row r="500" s="17">
      <c r="A500" s="19" t="n">
        <v>5825</v>
      </c>
      <c r="B500" s="19" t="n">
        <v>74427.725704</v>
      </c>
      <c r="C500" s="19" t="n">
        <v>1.7405741</v>
      </c>
      <c r="D500" s="19" t="n">
        <v>0.0030417012</v>
      </c>
      <c r="E500" s="19" t="n">
        <v>0.04788134908132546</v>
      </c>
      <c r="F500" s="19" t="n">
        <v>0.2558749347161967</v>
      </c>
      <c r="G500" s="19" t="n">
        <v>0.9351492273678991</v>
      </c>
      <c r="H500" s="19" t="n">
        <v>0.327433</v>
      </c>
    </row>
    <row r="501" s="17">
      <c r="A501" s="19" t="n">
        <v>5830</v>
      </c>
      <c r="B501" s="19" t="n">
        <v>45374.963713</v>
      </c>
      <c r="C501" s="19" t="n">
        <v>1.8419732</v>
      </c>
      <c r="D501" s="19" t="n">
        <v>0.0061871698</v>
      </c>
      <c r="E501" s="19" t="n">
        <v>0.06989428044461229</v>
      </c>
      <c r="F501" s="19" t="n">
        <v>0.2918080386471613</v>
      </c>
      <c r="G501" s="19" t="n">
        <v>0.9653339365103177</v>
      </c>
      <c r="H501" s="19" t="n">
        <v>0.28736</v>
      </c>
    </row>
    <row r="502" s="17">
      <c r="A502" s="19" t="n">
        <v>5835</v>
      </c>
      <c r="B502" s="19" t="n">
        <v>63044.506916</v>
      </c>
      <c r="C502" s="19" t="n">
        <v>1.7120162</v>
      </c>
      <c r="D502" s="19" t="n">
        <v>0.0071137301</v>
      </c>
      <c r="E502" s="19" t="n">
        <v>0.1255632587983167</v>
      </c>
      <c r="F502" s="19" t="n">
        <v>0.09981282055967151</v>
      </c>
      <c r="G502" s="19" t="n">
        <v>0.9355027977354727</v>
      </c>
      <c r="H502" s="19" t="n">
        <v>0.809259</v>
      </c>
    </row>
    <row r="503" s="17">
      <c r="A503" s="19" t="n">
        <v>5840</v>
      </c>
      <c r="B503" s="19" t="n">
        <v>60921.579509</v>
      </c>
      <c r="C503" s="19" t="n">
        <v>1.5939749</v>
      </c>
      <c r="D503" s="19" t="n">
        <v>0.0041548245</v>
      </c>
      <c r="E503" s="19" t="n">
        <v>0.09222073286882328</v>
      </c>
      <c r="F503" s="19" t="n">
        <v>0.3208156694764974</v>
      </c>
      <c r="G503" s="19" t="n">
        <v>0.9095096810057194</v>
      </c>
      <c r="H503" s="19" t="n">
        <v>0.857511</v>
      </c>
    </row>
    <row r="504" s="17">
      <c r="A504" s="19" t="n">
        <v>5845</v>
      </c>
      <c r="B504" s="19" t="n">
        <v>35217.243627</v>
      </c>
      <c r="C504" s="19" t="n">
        <v>2.0625997</v>
      </c>
      <c r="D504" s="19" t="n">
        <v>0.0071728686</v>
      </c>
      <c r="E504" s="19" t="n">
        <v>0.07005725286499372</v>
      </c>
      <c r="F504" s="19" t="n">
        <v>0.04077904254774958</v>
      </c>
      <c r="G504" s="19" t="n">
        <v>0.919732292256633</v>
      </c>
      <c r="H504" s="19" t="n">
        <v>0.607913</v>
      </c>
    </row>
    <row r="505" s="17">
      <c r="A505" s="19" t="n">
        <v>5850</v>
      </c>
      <c r="B505" s="19" t="n">
        <v>46640.1289</v>
      </c>
      <c r="C505" s="19" t="n">
        <v>1.9238168</v>
      </c>
      <c r="D505" s="19" t="n">
        <v>0.0037418709</v>
      </c>
      <c r="E505" s="19" t="n">
        <v>0.1576877121406754</v>
      </c>
      <c r="F505" s="19" t="n">
        <v>0.1354144245268392</v>
      </c>
      <c r="G505" s="19" t="n">
        <v>0.9425756449028021</v>
      </c>
      <c r="H505" s="19" t="n">
        <v>0.929998</v>
      </c>
    </row>
    <row r="506" s="17">
      <c r="A506" s="19" t="n">
        <v>5855</v>
      </c>
      <c r="B506" s="19" t="n">
        <v>69465.512924</v>
      </c>
      <c r="C506" s="19" t="n">
        <v>1.7706685</v>
      </c>
      <c r="D506" s="19" t="n">
        <v>0.0056400848</v>
      </c>
      <c r="E506" s="19" t="n">
        <v>0.09709778385279798</v>
      </c>
      <c r="F506" s="19" t="n">
        <v>0.2543007296035968</v>
      </c>
      <c r="G506" s="19" t="n">
        <v>0.8921470619089497</v>
      </c>
      <c r="H506" s="19" t="n">
        <v>1.087959</v>
      </c>
    </row>
    <row r="507" s="17">
      <c r="A507" s="19" t="n">
        <v>5860</v>
      </c>
      <c r="B507" s="19" t="n">
        <v>42422.81022</v>
      </c>
      <c r="C507" s="19" t="n">
        <v>2.0868384</v>
      </c>
      <c r="D507" s="19" t="n">
        <v>0.007872969299999999</v>
      </c>
      <c r="E507" s="19" t="n">
        <v>0.06639884077523778</v>
      </c>
      <c r="F507" s="19" t="n">
        <v>0.03151620041876266</v>
      </c>
      <c r="G507" s="19" t="n">
        <v>0.9417628146322521</v>
      </c>
      <c r="H507" s="19" t="n">
        <v>0.41678</v>
      </c>
    </row>
    <row r="508" s="17">
      <c r="A508" s="19" t="n">
        <v>5865</v>
      </c>
      <c r="B508" s="19" t="n">
        <v>36060.287488</v>
      </c>
      <c r="C508" s="19" t="n">
        <v>1.9313515</v>
      </c>
      <c r="D508" s="19" t="n">
        <v>0.0071298024</v>
      </c>
      <c r="E508" s="19" t="n">
        <v>0.1571202669376287</v>
      </c>
      <c r="F508" s="19" t="n">
        <v>0.3160584832542927</v>
      </c>
      <c r="G508" s="19" t="n">
        <v>0.9089963210550069</v>
      </c>
      <c r="H508" s="19" t="n">
        <v>1.429264</v>
      </c>
    </row>
    <row r="509" s="17">
      <c r="A509" s="19" t="n">
        <v>5870</v>
      </c>
      <c r="B509" s="19" t="n">
        <v>64272.707552</v>
      </c>
      <c r="C509" s="19" t="n">
        <v>1.6182575</v>
      </c>
      <c r="D509" s="19" t="n">
        <v>0.0051582942</v>
      </c>
      <c r="E509" s="19" t="n">
        <v>0.08713001018821057</v>
      </c>
      <c r="F509" s="19" t="n">
        <v>0.3402341641910487</v>
      </c>
      <c r="G509" s="19" t="n">
        <v>0.9245047620049202</v>
      </c>
      <c r="H509" s="19" t="n">
        <v>0.696578</v>
      </c>
    </row>
    <row r="510" s="17">
      <c r="A510" s="19" t="n">
        <v>5875</v>
      </c>
      <c r="B510" s="19" t="n">
        <v>43868.646284</v>
      </c>
      <c r="C510" s="19" t="n">
        <v>2.1580807</v>
      </c>
      <c r="D510" s="19" t="n">
        <v>0.0076245954</v>
      </c>
      <c r="E510" s="19" t="n">
        <v>0.0615766632088835</v>
      </c>
      <c r="F510" s="19" t="n">
        <v>0.1329961330340639</v>
      </c>
      <c r="G510" s="19" t="n">
        <v>0.9098845474993067</v>
      </c>
      <c r="H510" s="19" t="n">
        <v>0.569347</v>
      </c>
    </row>
    <row r="511" s="17">
      <c r="A511" s="19" t="n">
        <v>5880</v>
      </c>
      <c r="B511" s="19" t="n">
        <v>57299.561344</v>
      </c>
      <c r="C511" s="19" t="n">
        <v>1.8869904</v>
      </c>
      <c r="D511" s="19" t="n">
        <v>0.0066338316</v>
      </c>
      <c r="E511" s="19" t="n">
        <v>0.09153438432403671</v>
      </c>
      <c r="F511" s="19" t="n">
        <v>0.3063031519398171</v>
      </c>
      <c r="G511" s="19" t="n">
        <v>0.9070236464700367</v>
      </c>
      <c r="H511" s="19" t="n">
        <v>0.831358</v>
      </c>
    </row>
    <row r="512" s="17">
      <c r="A512" s="19" t="n">
        <v>5885</v>
      </c>
      <c r="B512" s="19" t="n">
        <v>56776.973096</v>
      </c>
      <c r="C512" s="19" t="n">
        <v>1.4623646</v>
      </c>
      <c r="D512" s="19" t="n">
        <v>0.003829005</v>
      </c>
      <c r="E512" s="19" t="n">
        <v>0.11432003737522</v>
      </c>
      <c r="F512" s="19" t="n">
        <v>0.2945900519154322</v>
      </c>
      <c r="G512" s="19" t="n">
        <v>0.9108191950580339</v>
      </c>
      <c r="H512" s="19" t="n">
        <v>1.000793</v>
      </c>
    </row>
    <row r="513" s="17">
      <c r="A513" s="19" t="n">
        <v>5890</v>
      </c>
      <c r="B513" s="19" t="n">
        <v>53471.112067</v>
      </c>
      <c r="C513" s="19" t="n">
        <v>2.0186889</v>
      </c>
      <c r="D513" s="19" t="n">
        <v>0.008613940400000001</v>
      </c>
      <c r="E513" s="19" t="n">
        <v>0.06520466611997142</v>
      </c>
      <c r="F513" s="19" t="n">
        <v>0.08987864602144376</v>
      </c>
      <c r="G513" s="19" t="n">
        <v>0.9295022464237007</v>
      </c>
      <c r="H513" s="19" t="n">
        <v>0.478759</v>
      </c>
    </row>
    <row r="514" s="17">
      <c r="A514" s="19" t="n">
        <v>5895</v>
      </c>
      <c r="B514" s="19" t="n">
        <v>62707.160474</v>
      </c>
      <c r="C514" s="19" t="n">
        <v>2.0244394</v>
      </c>
      <c r="D514" s="19" t="n">
        <v>0.0040589724</v>
      </c>
      <c r="E514" s="19" t="n">
        <v>0.09544026769835474</v>
      </c>
      <c r="F514" s="19" t="n">
        <v>0.2800275542409437</v>
      </c>
      <c r="G514" s="19" t="n">
        <v>0.8692729085645953</v>
      </c>
      <c r="H514" s="19" t="n">
        <v>1.229327</v>
      </c>
    </row>
    <row r="515" s="17">
      <c r="A515" s="19" t="n">
        <v>5900</v>
      </c>
      <c r="B515" s="19" t="n">
        <v>57354.712506</v>
      </c>
      <c r="C515" s="19" t="n">
        <v>1.5235252</v>
      </c>
      <c r="D515" s="19" t="n">
        <v>0.0063555646</v>
      </c>
      <c r="E515" s="19" t="n">
        <v>0.08996360706535485</v>
      </c>
      <c r="F515" s="19" t="n">
        <v>0.2389896685409349</v>
      </c>
      <c r="G515" s="19" t="n">
        <v>0.9135176594571194</v>
      </c>
      <c r="H515" s="19" t="n">
        <v>0.776394</v>
      </c>
    </row>
    <row r="516" s="17">
      <c r="A516" s="19" t="n">
        <v>5905</v>
      </c>
      <c r="B516" s="19" t="n">
        <v>41962.587693</v>
      </c>
      <c r="C516" s="19" t="n">
        <v>2.0145406</v>
      </c>
      <c r="D516" s="19" t="n">
        <v>0.0078594462</v>
      </c>
      <c r="E516" s="19" t="n">
        <v>0.04274160857724141</v>
      </c>
      <c r="F516" s="19" t="n">
        <v>0.2727321722600021</v>
      </c>
      <c r="G516" s="19" t="n">
        <v>0.9194912954236293</v>
      </c>
      <c r="H516" s="19" t="n">
        <v>0.348633</v>
      </c>
    </row>
    <row r="517" s="17">
      <c r="A517" s="19" t="n">
        <v>5910</v>
      </c>
      <c r="B517" s="19" t="n">
        <v>63038.513142</v>
      </c>
      <c r="C517" s="19" t="n">
        <v>2.0758286</v>
      </c>
      <c r="D517" s="19" t="n">
        <v>0.007346358</v>
      </c>
      <c r="E517" s="19" t="n">
        <v>0.120660240419122</v>
      </c>
      <c r="F517" s="19" t="n">
        <v>0.1160290921855485</v>
      </c>
      <c r="G517" s="19" t="n">
        <v>0.8942189913260307</v>
      </c>
      <c r="H517" s="19" t="n">
        <v>1.312703</v>
      </c>
    </row>
    <row r="518" s="17">
      <c r="A518" s="19" t="n">
        <v>5915</v>
      </c>
      <c r="B518" s="19" t="n">
        <v>60095.610662</v>
      </c>
      <c r="C518" s="19" t="n">
        <v>1.55701</v>
      </c>
      <c r="D518" s="19" t="n">
        <v>0.0033661689</v>
      </c>
      <c r="E518" s="19" t="n">
        <v>0.09358322186667437</v>
      </c>
      <c r="F518" s="19" t="n">
        <v>0.2394081331903164</v>
      </c>
      <c r="G518" s="19" t="n">
        <v>0.9431880152050115</v>
      </c>
      <c r="H518" s="19" t="n">
        <v>0.5481009999999999</v>
      </c>
    </row>
    <row r="519" s="17">
      <c r="A519" s="19" t="n">
        <v>5920</v>
      </c>
      <c r="B519" s="19" t="n">
        <v>51140.044905</v>
      </c>
      <c r="C519" s="19" t="n">
        <v>1.9667133</v>
      </c>
      <c r="D519" s="19" t="n">
        <v>0.0081802982</v>
      </c>
      <c r="E519" s="19" t="n">
        <v>0.06695697546173032</v>
      </c>
      <c r="F519" s="19" t="n">
        <v>0.2938673519980746</v>
      </c>
      <c r="G519" s="19" t="n">
        <v>0.9648360670043873</v>
      </c>
      <c r="H519" s="19" t="n">
        <v>0.275909</v>
      </c>
    </row>
    <row r="520" s="17">
      <c r="A520" s="19" t="n">
        <v>5925</v>
      </c>
      <c r="B520" s="19" t="n">
        <v>36609.245414</v>
      </c>
      <c r="C520" s="19" t="n">
        <v>1.8941829</v>
      </c>
      <c r="D520" s="19" t="n">
        <v>0.0052745061</v>
      </c>
      <c r="E520" s="19" t="n">
        <v>0.04280672835625662</v>
      </c>
      <c r="F520" s="19" t="n">
        <v>0.1280999132998143</v>
      </c>
      <c r="G520" s="19" t="n">
        <v>0.9203106884752468</v>
      </c>
      <c r="H520" s="19" t="n">
        <v>0.351127</v>
      </c>
    </row>
    <row r="521" s="17">
      <c r="A521" s="19" t="n">
        <v>5930</v>
      </c>
      <c r="B521" s="19" t="n">
        <v>67984.338709</v>
      </c>
      <c r="C521" s="19" t="n">
        <v>2.1247932</v>
      </c>
      <c r="D521" s="19" t="n">
        <v>0.005219987</v>
      </c>
      <c r="E521" s="19" t="n">
        <v>0.04054959561790948</v>
      </c>
      <c r="F521" s="19" t="n">
        <v>0.3626303516913526</v>
      </c>
      <c r="G521" s="19" t="n">
        <v>0.9341253570003627</v>
      </c>
      <c r="H521" s="19" t="n">
        <v>0.272889</v>
      </c>
    </row>
    <row r="522" s="17">
      <c r="A522" s="19" t="n">
        <v>5935</v>
      </c>
      <c r="B522" s="19" t="n">
        <v>45612.867172</v>
      </c>
      <c r="C522" s="19" t="n">
        <v>2.0841172</v>
      </c>
      <c r="D522" s="19" t="n">
        <v>0.0076837574</v>
      </c>
      <c r="E522" s="19" t="n">
        <v>0.05513868796862791</v>
      </c>
      <c r="F522" s="19" t="n">
        <v>0.07840559913998936</v>
      </c>
      <c r="G522" s="19" t="n">
        <v>0.9861077617077414</v>
      </c>
      <c r="H522" s="19" t="n">
        <v>0.069967</v>
      </c>
    </row>
    <row r="523" s="17">
      <c r="A523" s="19" t="n">
        <v>5940</v>
      </c>
      <c r="B523" s="19" t="n">
        <v>56864.495443</v>
      </c>
      <c r="C523" s="19" t="n">
        <v>1.9688847</v>
      </c>
      <c r="D523" s="19" t="n">
        <v>0.0045591753</v>
      </c>
      <c r="E523" s="19" t="n">
        <v>0.1356099111928655</v>
      </c>
      <c r="F523" s="19" t="n">
        <v>0.2209637390946421</v>
      </c>
      <c r="G523" s="19" t="n">
        <v>0.9406024699994009</v>
      </c>
      <c r="H523" s="19" t="n">
        <v>0.797143</v>
      </c>
    </row>
    <row r="524" s="17">
      <c r="A524" s="19" t="n">
        <v>5945</v>
      </c>
      <c r="B524" s="19" t="n">
        <v>68833.526025</v>
      </c>
      <c r="C524" s="19" t="n">
        <v>1.7221249</v>
      </c>
      <c r="D524" s="19" t="n">
        <v>0.0057980589</v>
      </c>
      <c r="E524" s="19" t="n">
        <v>0.07773241417845653</v>
      </c>
      <c r="F524" s="19" t="n">
        <v>0.2759924300300846</v>
      </c>
      <c r="G524" s="19" t="n">
        <v>0.9286119621418339</v>
      </c>
      <c r="H524" s="19" t="n">
        <v>0.564265</v>
      </c>
    </row>
    <row r="525" s="17">
      <c r="A525" s="19" t="n">
        <v>5950</v>
      </c>
      <c r="B525" s="19" t="n">
        <v>39097.505242</v>
      </c>
      <c r="C525" s="19" t="n">
        <v>1.7872028</v>
      </c>
      <c r="D525" s="19" t="n">
        <v>0.0093978607</v>
      </c>
      <c r="E525" s="19" t="n">
        <v>0.04124946743087714</v>
      </c>
      <c r="F525" s="19" t="n">
        <v>0.2257670787026895</v>
      </c>
      <c r="G525" s="19" t="n">
        <v>0.9330104059122816</v>
      </c>
      <c r="H525" s="19" t="n">
        <v>0.285721</v>
      </c>
    </row>
    <row r="526" s="17">
      <c r="A526" s="19" t="n">
        <v>5955</v>
      </c>
      <c r="B526" s="19" t="n">
        <v>41270.8573</v>
      </c>
      <c r="C526" s="19" t="n">
        <v>1.7835424</v>
      </c>
      <c r="D526" s="19" t="n">
        <v>0.0047700458</v>
      </c>
      <c r="E526" s="19" t="n">
        <v>0.1091080205369968</v>
      </c>
      <c r="F526" s="19" t="n">
        <v>0.162735587004572</v>
      </c>
      <c r="G526" s="19" t="n">
        <v>0.9233549637727688</v>
      </c>
      <c r="H526" s="19" t="n">
        <v>0.83443</v>
      </c>
    </row>
    <row r="527" s="17">
      <c r="A527" s="19" t="n">
        <v>5960</v>
      </c>
      <c r="B527" s="19" t="n">
        <v>55718.63547</v>
      </c>
      <c r="C527" s="19" t="n">
        <v>2.3463673</v>
      </c>
      <c r="D527" s="19" t="n">
        <v>0.0058286439</v>
      </c>
      <c r="E527" s="19" t="n">
        <v>0.07483453683409685</v>
      </c>
      <c r="F527" s="19" t="n">
        <v>0.3245165855229052</v>
      </c>
      <c r="G527" s="19" t="n">
        <v>0.9559605416741126</v>
      </c>
      <c r="H527" s="19" t="n">
        <v>0.375825</v>
      </c>
    </row>
    <row r="528" s="17">
      <c r="A528" s="19" t="n">
        <v>5965</v>
      </c>
      <c r="B528" s="19" t="n">
        <v>51324.233517</v>
      </c>
      <c r="C528" s="19" t="n">
        <v>1.9075572</v>
      </c>
      <c r="D528" s="19" t="n">
        <v>0.0050415256</v>
      </c>
      <c r="E528" s="19" t="n">
        <v>0.0528140295758952</v>
      </c>
      <c r="F528" s="19" t="n">
        <v>0.2396110670927216</v>
      </c>
      <c r="G528" s="19" t="n">
        <v>0.9077351527172134</v>
      </c>
      <c r="H528" s="19" t="n">
        <v>0.470763</v>
      </c>
    </row>
    <row r="529" s="17">
      <c r="A529" s="19" t="n">
        <v>5970</v>
      </c>
      <c r="B529" s="19" t="n">
        <v>45569.548174</v>
      </c>
      <c r="C529" s="19" t="n">
        <v>2.0639683</v>
      </c>
      <c r="D529" s="19" t="n">
        <v>0.0063428188</v>
      </c>
      <c r="E529" s="19" t="n">
        <v>0.08617412609116767</v>
      </c>
      <c r="F529" s="19" t="n">
        <v>0.2294368751860115</v>
      </c>
      <c r="G529" s="19" t="n">
        <v>0.9226173305185893</v>
      </c>
      <c r="H529" s="19" t="n">
        <v>0.651046</v>
      </c>
    </row>
    <row r="530" s="17">
      <c r="A530" s="19" t="n">
        <v>5975</v>
      </c>
      <c r="B530" s="19" t="n">
        <v>55383.95706</v>
      </c>
      <c r="C530" s="19" t="n">
        <v>2.3407262</v>
      </c>
      <c r="D530" s="19" t="n">
        <v>0.0052607961</v>
      </c>
      <c r="E530" s="19" t="n">
        <v>0.1181611181445039</v>
      </c>
      <c r="F530" s="19" t="n">
        <v>0.3371267002911975</v>
      </c>
      <c r="G530" s="19" t="n">
        <v>0.8653521653177929</v>
      </c>
      <c r="H530" s="19" t="n">
        <v>1.5991</v>
      </c>
    </row>
    <row r="531" s="17">
      <c r="A531" s="19" t="n">
        <v>5980</v>
      </c>
      <c r="B531" s="19" t="n">
        <v>51068.167799</v>
      </c>
      <c r="C531" s="19" t="n">
        <v>2.1037379</v>
      </c>
      <c r="D531" s="19" t="n">
        <v>0.0051441191</v>
      </c>
      <c r="E531" s="19" t="n">
        <v>0.04238424344732265</v>
      </c>
      <c r="F531" s="19" t="n">
        <v>0.1788014050105922</v>
      </c>
      <c r="G531" s="19" t="n">
        <v>0.9237955080193383</v>
      </c>
      <c r="H531" s="19" t="n">
        <v>0.368322</v>
      </c>
    </row>
    <row r="532" s="17">
      <c r="A532" s="19" t="n">
        <v>5985</v>
      </c>
      <c r="B532" s="19" t="n">
        <v>57991.597862</v>
      </c>
      <c r="C532" s="19" t="n">
        <v>1.9563799</v>
      </c>
      <c r="D532" s="19" t="n">
        <v>0.0069993103</v>
      </c>
      <c r="E532" s="19" t="n">
        <v>0.1033076724482699</v>
      </c>
      <c r="F532" s="19" t="n">
        <v>0.3426948335685137</v>
      </c>
      <c r="G532" s="19" t="n">
        <v>0.9381800085228342</v>
      </c>
      <c r="H532" s="19" t="n">
        <v>0.647968</v>
      </c>
    </row>
    <row r="533" s="17">
      <c r="A533" s="19" t="n">
        <v>5990</v>
      </c>
      <c r="B533" s="19" t="n">
        <v>43052.251005</v>
      </c>
      <c r="C533" s="19" t="n">
        <v>1.8479934</v>
      </c>
      <c r="D533" s="19" t="n">
        <v>0.0084911477</v>
      </c>
      <c r="E533" s="19" t="n">
        <v>0.03656235341647989</v>
      </c>
      <c r="F533" s="19" t="n">
        <v>0.04417910993703874</v>
      </c>
      <c r="G533" s="19" t="n">
        <v>0.9510289109712747</v>
      </c>
      <c r="H533" s="19" t="n">
        <v>0.208595</v>
      </c>
    </row>
    <row r="534" s="17">
      <c r="A534" s="19" t="n">
        <v>5995</v>
      </c>
      <c r="B534" s="19" t="n">
        <v>52891.269258</v>
      </c>
      <c r="C534" s="19" t="n">
        <v>1.8918142</v>
      </c>
      <c r="D534" s="19" t="n">
        <v>0.0071043359</v>
      </c>
      <c r="E534" s="19" t="n">
        <v>0.07183240984020588</v>
      </c>
      <c r="F534" s="19" t="n">
        <v>0.2485109452534762</v>
      </c>
      <c r="G534" s="19" t="n">
        <v>0.9222480194970335</v>
      </c>
      <c r="H534" s="19" t="n">
        <v>0.5398230000000001</v>
      </c>
    </row>
    <row r="535" s="17">
      <c r="A535" s="19" t="n">
        <v>6000</v>
      </c>
      <c r="B535" s="19" t="n">
        <v>55982.2536</v>
      </c>
      <c r="C535" s="19" t="n">
        <v>1.8967649</v>
      </c>
      <c r="D535" s="19" t="n">
        <v>0.0074050463</v>
      </c>
      <c r="E535" s="19" t="n">
        <v>0.1595067375468134</v>
      </c>
      <c r="F535" s="19" t="n">
        <v>0.08083398139048042</v>
      </c>
      <c r="G535" s="19" t="n">
        <v>0.9259706557834188</v>
      </c>
      <c r="H535" s="19" t="n">
        <v>1.19786</v>
      </c>
    </row>
    <row r="536" s="17">
      <c r="A536" s="19" t="n">
        <v>6005</v>
      </c>
      <c r="B536" s="19" t="n">
        <v>65472.614611</v>
      </c>
      <c r="C536" s="19" t="n">
        <v>2.2675505</v>
      </c>
      <c r="D536" s="19" t="n">
        <v>0.0059037933</v>
      </c>
      <c r="E536" s="19" t="n">
        <v>0.1130614512540577</v>
      </c>
      <c r="F536" s="19" t="n">
        <v>0.3453098759815081</v>
      </c>
      <c r="G536" s="19" t="n">
        <v>0.9026539529406521</v>
      </c>
      <c r="H536" s="19" t="n">
        <v>1.146521</v>
      </c>
    </row>
    <row r="537" s="17">
      <c r="A537" s="19" t="n">
        <v>6010</v>
      </c>
      <c r="B537" s="19" t="n">
        <v>36145.063484</v>
      </c>
      <c r="C537" s="19" t="n">
        <v>2.1970949</v>
      </c>
      <c r="D537" s="19" t="n">
        <v>0.0080468717</v>
      </c>
      <c r="E537" s="19" t="n">
        <v>0.06274834992109386</v>
      </c>
      <c r="F537" s="19" t="n">
        <v>0.1908220537767806</v>
      </c>
      <c r="G537" s="19" t="n">
        <v>0.9478567605949656</v>
      </c>
      <c r="H537" s="19" t="n">
        <v>0.319773</v>
      </c>
    </row>
    <row r="538" s="17">
      <c r="A538" s="19" t="n">
        <v>6015</v>
      </c>
      <c r="B538" s="19" t="n">
        <v>45763.307063</v>
      </c>
      <c r="C538" s="19" t="n">
        <v>2.2707583</v>
      </c>
      <c r="D538" s="19" t="n">
        <v>0.0072126099</v>
      </c>
      <c r="E538" s="19" t="n">
        <v>0.0913588412620491</v>
      </c>
      <c r="F538" s="19" t="n">
        <v>0.09804940720170863</v>
      </c>
      <c r="G538" s="19" t="n">
        <v>0.9207430657695375</v>
      </c>
      <c r="H538" s="19" t="n">
        <v>0.7246629999999999</v>
      </c>
    </row>
    <row r="539" s="17">
      <c r="A539" s="19" t="n">
        <v>6020</v>
      </c>
      <c r="B539" s="19" t="n">
        <v>70080.58818799999</v>
      </c>
      <c r="C539" s="19" t="n">
        <v>2.218071</v>
      </c>
      <c r="D539" s="19" t="n">
        <v>0.0063530601</v>
      </c>
      <c r="E539" s="19" t="n">
        <v>0.05228262871209455</v>
      </c>
      <c r="F539" s="19" t="n">
        <v>0.2560617463598337</v>
      </c>
      <c r="G539" s="19" t="n">
        <v>0.8840620118393421</v>
      </c>
      <c r="H539" s="19" t="n">
        <v>0.655646</v>
      </c>
    </row>
    <row r="540" s="17">
      <c r="A540" s="19" t="n">
        <v>6025</v>
      </c>
      <c r="B540" s="19" t="n">
        <v>48564.973256</v>
      </c>
      <c r="C540" s="19" t="n">
        <v>1.9195345</v>
      </c>
      <c r="D540" s="19" t="n">
        <v>0.0051626516</v>
      </c>
      <c r="E540" s="19" t="n">
        <v>0.04228280226024926</v>
      </c>
      <c r="F540" s="19" t="n">
        <v>0.04066661257562384</v>
      </c>
      <c r="G540" s="19" t="n">
        <v>0.9493344158290292</v>
      </c>
      <c r="H540" s="19" t="n">
        <v>0.240706</v>
      </c>
    </row>
    <row r="541" s="17">
      <c r="A541" s="19" t="n">
        <v>6030</v>
      </c>
      <c r="B541" s="19" t="n">
        <v>41296.805915</v>
      </c>
      <c r="C541" s="19" t="n">
        <v>1.8323759</v>
      </c>
      <c r="D541" s="19" t="n">
        <v>0.006358179</v>
      </c>
      <c r="E541" s="19" t="n">
        <v>0.1272001351789908</v>
      </c>
      <c r="F541" s="19" t="n">
        <v>0.2274521609930635</v>
      </c>
      <c r="G541" s="19" t="n">
        <v>0.9085164479093345</v>
      </c>
      <c r="H541" s="19" t="n">
        <v>1.157444</v>
      </c>
    </row>
    <row r="542" s="17">
      <c r="A542" s="19" t="n">
        <v>6035</v>
      </c>
      <c r="B542" s="19" t="n">
        <v>68368.93506</v>
      </c>
      <c r="C542" s="19" t="n">
        <v>1.7777353</v>
      </c>
      <c r="D542" s="19" t="n">
        <v>0.0029137809</v>
      </c>
      <c r="E542" s="19" t="n">
        <v>0.04319307659450754</v>
      </c>
      <c r="F542" s="19" t="n">
        <v>0.2629028823840539</v>
      </c>
      <c r="G542" s="19" t="n">
        <v>0.9426214532757795</v>
      </c>
      <c r="H542" s="19" t="n">
        <v>0.254793</v>
      </c>
    </row>
    <row r="543" s="17">
      <c r="A543" s="19" t="n">
        <v>6040</v>
      </c>
      <c r="B543" s="19" t="n">
        <v>32112.978176</v>
      </c>
      <c r="C543" s="19" t="n">
        <v>1.9835598</v>
      </c>
      <c r="D543" s="19" t="n">
        <v>0.0064517603</v>
      </c>
      <c r="E543" s="19" t="n">
        <v>0.05492418467364105</v>
      </c>
      <c r="F543" s="19" t="n">
        <v>0.2402718307843116</v>
      </c>
      <c r="G543" s="19" t="n">
        <v>0.942750921151727</v>
      </c>
      <c r="H543" s="19" t="n">
        <v>0.305768</v>
      </c>
    </row>
    <row r="544" s="17">
      <c r="A544" s="19" t="n">
        <v>6045</v>
      </c>
      <c r="B544" s="19" t="n">
        <v>50380.597893</v>
      </c>
      <c r="C544" s="19" t="n">
        <v>1.7907317</v>
      </c>
      <c r="D544" s="19" t="n">
        <v>0.0053947155</v>
      </c>
      <c r="E544" s="19" t="n">
        <v>0.141517818173964</v>
      </c>
      <c r="F544" s="19" t="n">
        <v>0.1248925798548774</v>
      </c>
      <c r="G544" s="19" t="n">
        <v>0.9041108782623899</v>
      </c>
      <c r="H544" s="19" t="n">
        <v>1.36344</v>
      </c>
    </row>
    <row r="545" s="17">
      <c r="A545" s="19" t="n">
        <v>6050</v>
      </c>
      <c r="B545" s="19" t="n">
        <v>74236.393037</v>
      </c>
      <c r="C545" s="19" t="n">
        <v>1.7933818</v>
      </c>
      <c r="D545" s="19" t="n">
        <v>0.0041216534</v>
      </c>
      <c r="E545" s="19" t="n">
        <v>0.05547878551668091</v>
      </c>
      <c r="F545" s="19" t="n">
        <v>0.3732439609895254</v>
      </c>
      <c r="G545" s="19" t="n">
        <v>0.9255111875720012</v>
      </c>
      <c r="H545" s="19" t="n">
        <v>0.442675</v>
      </c>
    </row>
    <row r="546" s="17">
      <c r="A546" s="19" t="n">
        <v>6055</v>
      </c>
      <c r="B546" s="19" t="n">
        <v>51988.755371</v>
      </c>
      <c r="C546" s="19" t="n">
        <v>2.0618676</v>
      </c>
      <c r="D546" s="19" t="n">
        <v>0.008011083</v>
      </c>
      <c r="E546" s="19" t="n">
        <v>0.05288027637101252</v>
      </c>
      <c r="F546" s="19" t="n">
        <v>0.02179867597457925</v>
      </c>
      <c r="G546" s="19" t="n">
        <v>0.9562275783608246</v>
      </c>
      <c r="H546" s="19" t="n">
        <v>0.258738</v>
      </c>
    </row>
    <row r="547" s="17">
      <c r="A547" s="19" t="n">
        <v>6060</v>
      </c>
      <c r="B547" s="19" t="n">
        <v>50761.439139</v>
      </c>
      <c r="C547" s="19" t="n">
        <v>1.7285231</v>
      </c>
      <c r="D547" s="19" t="n">
        <v>0.0049296779</v>
      </c>
      <c r="E547" s="19" t="n">
        <v>0.1056999264375349</v>
      </c>
      <c r="F547" s="19" t="n">
        <v>0.08731812930053763</v>
      </c>
      <c r="G547" s="19" t="n">
        <v>0.8979955254467996</v>
      </c>
      <c r="H547" s="19" t="n">
        <v>1.102402</v>
      </c>
    </row>
    <row r="548" s="17">
      <c r="A548" s="19" t="n">
        <v>6065</v>
      </c>
      <c r="B548" s="19" t="n">
        <v>74040.51173899999</v>
      </c>
      <c r="C548" s="19" t="n">
        <v>1.6031027</v>
      </c>
      <c r="D548" s="19" t="n">
        <v>0.0044568123</v>
      </c>
      <c r="E548" s="19" t="n">
        <v>0.08102260663851749</v>
      </c>
      <c r="F548" s="19" t="n">
        <v>0.257418936144129</v>
      </c>
      <c r="G548" s="19" t="n">
        <v>0.9188437542127151</v>
      </c>
      <c r="H548" s="19" t="n">
        <v>0.700386</v>
      </c>
    </row>
    <row r="549" s="17">
      <c r="A549" s="19" t="n">
        <v>6070</v>
      </c>
      <c r="B549" s="19" t="n">
        <v>52002.732691</v>
      </c>
      <c r="C549" s="19" t="n">
        <v>2.0140513</v>
      </c>
      <c r="D549" s="19" t="n">
        <v>0.0083359178</v>
      </c>
      <c r="E549" s="19" t="n">
        <v>0.06494358334330085</v>
      </c>
      <c r="F549" s="19" t="n">
        <v>0.1107545829229545</v>
      </c>
      <c r="G549" s="19" t="n">
        <v>0.8677613992677277</v>
      </c>
      <c r="H549" s="19" t="n">
        <v>0.897007</v>
      </c>
    </row>
    <row r="550" s="17">
      <c r="A550" s="19" t="n">
        <v>6075</v>
      </c>
      <c r="B550" s="19" t="n">
        <v>60054.113509</v>
      </c>
      <c r="C550" s="19" t="n">
        <v>1.7036565</v>
      </c>
      <c r="D550" s="19" t="n">
        <v>0.006600587</v>
      </c>
      <c r="E550" s="19" t="n">
        <v>0.1036063234248975</v>
      </c>
      <c r="F550" s="19" t="n">
        <v>0.09946845345371481</v>
      </c>
      <c r="G550" s="19" t="n">
        <v>0.9740075835357201</v>
      </c>
      <c r="H550" s="19" t="n">
        <v>0.287625</v>
      </c>
    </row>
    <row r="551" s="17">
      <c r="A551" s="19" t="n">
        <v>6080</v>
      </c>
      <c r="B551" s="19" t="n">
        <v>62960.70218</v>
      </c>
      <c r="C551" s="19" t="n">
        <v>1.630234</v>
      </c>
      <c r="D551" s="19" t="n">
        <v>0.0048933186</v>
      </c>
      <c r="E551" s="19" t="n">
        <v>0.1086917110313398</v>
      </c>
      <c r="F551" s="19" t="n">
        <v>0.2641273543056897</v>
      </c>
      <c r="G551" s="19" t="n">
        <v>0.8939499984776956</v>
      </c>
      <c r="H551" s="19" t="n">
        <v>1.157524</v>
      </c>
    </row>
    <row r="552" s="17">
      <c r="A552" s="19" t="n">
        <v>6085</v>
      </c>
      <c r="B552" s="19" t="n">
        <v>44798.823158</v>
      </c>
      <c r="C552" s="19" t="n">
        <v>2.0442614</v>
      </c>
      <c r="D552" s="19" t="n">
        <v>0.0076993763</v>
      </c>
      <c r="E552" s="19" t="n">
        <v>0.05188941527019285</v>
      </c>
      <c r="F552" s="19" t="n">
        <v>0.2022988433273005</v>
      </c>
      <c r="G552" s="19" t="n">
        <v>0.935930784287366</v>
      </c>
      <c r="H552" s="19" t="n">
        <v>0.3221</v>
      </c>
    </row>
    <row r="553" s="17">
      <c r="A553" s="19" t="n">
        <v>6090</v>
      </c>
      <c r="B553" s="19" t="n">
        <v>36742.578575</v>
      </c>
      <c r="C553" s="19" t="n">
        <v>2.1567376</v>
      </c>
      <c r="D553" s="19" t="n">
        <v>0.0060248149</v>
      </c>
      <c r="E553" s="19" t="n">
        <v>0.1234030126149795</v>
      </c>
      <c r="F553" s="19" t="n">
        <v>0.3124833609643939</v>
      </c>
      <c r="G553" s="19" t="n">
        <v>0.9414606489512921</v>
      </c>
      <c r="H553" s="19" t="n">
        <v>0.741682</v>
      </c>
    </row>
    <row r="554" s="17">
      <c r="A554" s="19" t="n">
        <v>6095</v>
      </c>
      <c r="B554" s="19" t="n">
        <v>65680.569949</v>
      </c>
      <c r="C554" s="19" t="n">
        <v>1.5107744</v>
      </c>
      <c r="D554" s="19" t="n">
        <v>0.0035602099</v>
      </c>
      <c r="E554" s="19" t="n">
        <v>0.084883734840805</v>
      </c>
      <c r="F554" s="19" t="n">
        <v>0.2468260391781972</v>
      </c>
      <c r="G554" s="19" t="n">
        <v>0.8964323810060228</v>
      </c>
      <c r="H554" s="19" t="n">
        <v>0.891412</v>
      </c>
    </row>
    <row r="555" s="17">
      <c r="A555" s="19" t="n">
        <v>6100</v>
      </c>
      <c r="B555" s="19" t="n">
        <v>32029.720238</v>
      </c>
      <c r="C555" s="19" t="n">
        <v>2.0728179</v>
      </c>
      <c r="D555" s="19" t="n">
        <v>0.0058053384</v>
      </c>
      <c r="E555" s="19" t="n">
        <v>0.07422725609233471</v>
      </c>
      <c r="F555" s="19" t="n">
        <v>0.1165028980672334</v>
      </c>
      <c r="G555" s="19" t="n">
        <v>0.9728232075790689</v>
      </c>
      <c r="H555" s="19" t="n">
        <v>0.215239</v>
      </c>
    </row>
    <row r="556" s="17">
      <c r="A556" s="19" t="n">
        <v>6105</v>
      </c>
      <c r="B556" s="19" t="n">
        <v>45040.056046</v>
      </c>
      <c r="C556" s="19" t="n">
        <v>1.8588372</v>
      </c>
      <c r="D556" s="19" t="n">
        <v>0.0046153618</v>
      </c>
      <c r="E556" s="19" t="n">
        <v>0.103722752429815</v>
      </c>
      <c r="F556" s="19" t="n">
        <v>0.139078678895171</v>
      </c>
      <c r="G556" s="19" t="n">
        <v>0.9653284217600762</v>
      </c>
      <c r="H556" s="19" t="n">
        <v>0.363163</v>
      </c>
    </row>
    <row r="557" s="17">
      <c r="A557" s="19" t="n">
        <v>6110</v>
      </c>
      <c r="B557" s="19" t="n">
        <v>61553.378563</v>
      </c>
      <c r="C557" s="19" t="n">
        <v>2.3546955</v>
      </c>
      <c r="D557" s="19" t="n">
        <v>0.0042236491</v>
      </c>
      <c r="E557" s="19" t="n">
        <v>0.1126465028038767</v>
      </c>
      <c r="F557" s="19" t="n">
        <v>0.346033517682136</v>
      </c>
      <c r="G557" s="19" t="n">
        <v>0.9499968676936444</v>
      </c>
      <c r="H557" s="19" t="n">
        <v>0.604249</v>
      </c>
    </row>
    <row r="558" s="17">
      <c r="A558" s="19" t="n">
        <v>6115</v>
      </c>
      <c r="B558" s="19" t="n">
        <v>42330.237151</v>
      </c>
      <c r="C558" s="19" t="n">
        <v>1.8712321</v>
      </c>
      <c r="D558" s="19" t="n">
        <v>0.0071967264</v>
      </c>
      <c r="E558" s="19" t="n">
        <v>0.06305469283654049</v>
      </c>
      <c r="F558" s="19" t="n">
        <v>0.1005974439648315</v>
      </c>
      <c r="G558" s="19" t="n">
        <v>0.9078735675579204</v>
      </c>
      <c r="H558" s="19" t="n">
        <v>0.583576</v>
      </c>
    </row>
    <row r="559" s="17">
      <c r="A559" s="19" t="n">
        <v>6120</v>
      </c>
      <c r="B559" s="19" t="n">
        <v>47916.015375</v>
      </c>
      <c r="C559" s="19" t="n">
        <v>2.0531376</v>
      </c>
      <c r="D559" s="19" t="n">
        <v>0.0062994925</v>
      </c>
      <c r="E559" s="19" t="n">
        <v>0.07454489672274159</v>
      </c>
      <c r="F559" s="19" t="n">
        <v>0.1462741623711664</v>
      </c>
      <c r="G559" s="19" t="n">
        <v>0.9688281762325691</v>
      </c>
      <c r="H559" s="19" t="n">
        <v>0.277159</v>
      </c>
    </row>
    <row r="560" s="17">
      <c r="A560" s="19" t="n">
        <v>6125</v>
      </c>
      <c r="B560" s="19" t="n">
        <v>55545.040277</v>
      </c>
      <c r="C560" s="19" t="n">
        <v>1.6227095</v>
      </c>
      <c r="D560" s="19" t="n">
        <v>0.0028644129</v>
      </c>
      <c r="E560" s="19" t="n">
        <v>0.1082670581984558</v>
      </c>
      <c r="F560" s="19" t="n">
        <v>0.3154960019626725</v>
      </c>
      <c r="G560" s="19" t="n">
        <v>0.972807836983294</v>
      </c>
      <c r="H560" s="19" t="n">
        <v>0.280401</v>
      </c>
    </row>
    <row r="561" s="17">
      <c r="A561" s="19" t="n">
        <v>6130</v>
      </c>
      <c r="B561" s="19" t="n">
        <v>40930.544707</v>
      </c>
      <c r="C561" s="19" t="n">
        <v>1.78449</v>
      </c>
      <c r="D561" s="19" t="n">
        <v>0.0054523186</v>
      </c>
      <c r="E561" s="19" t="n">
        <v>0.03312572423786758</v>
      </c>
      <c r="F561" s="19" t="n">
        <v>0.08782438112478029</v>
      </c>
      <c r="G561" s="19" t="n">
        <v>0.9699631771642272</v>
      </c>
      <c r="H561" s="19" t="n">
        <v>0.147552</v>
      </c>
    </row>
    <row r="562" s="17">
      <c r="A562" s="19" t="n">
        <v>6135</v>
      </c>
      <c r="B562" s="19" t="n">
        <v>59392.666717</v>
      </c>
      <c r="C562" s="19" t="n">
        <v>2.2469057</v>
      </c>
      <c r="D562" s="19" t="n">
        <v>0.0041985643</v>
      </c>
      <c r="E562" s="19" t="n">
        <v>0.08688778430919236</v>
      </c>
      <c r="F562" s="19" t="n">
        <v>0.2570325516809696</v>
      </c>
      <c r="G562" s="19" t="n">
        <v>0.9531614224635647</v>
      </c>
      <c r="H562" s="19" t="n">
        <v>0.408092</v>
      </c>
    </row>
    <row r="563" s="17">
      <c r="A563" s="19" t="n">
        <v>6140</v>
      </c>
      <c r="B563" s="19" t="n">
        <v>60525.99844</v>
      </c>
      <c r="C563" s="19" t="n">
        <v>2.4058891</v>
      </c>
      <c r="D563" s="19" t="n">
        <v>0.0030210494</v>
      </c>
      <c r="E563" s="19" t="n">
        <v>0.0893362420092786</v>
      </c>
      <c r="F563" s="19" t="n">
        <v>0.3521748510935794</v>
      </c>
      <c r="G563" s="19" t="n">
        <v>0.9249947146157012</v>
      </c>
      <c r="H563" s="19" t="n">
        <v>0.6949379999999999</v>
      </c>
    </row>
    <row r="564" s="17">
      <c r="A564" s="19" t="n">
        <v>6145</v>
      </c>
      <c r="B564" s="19" t="n">
        <v>35736.045277</v>
      </c>
      <c r="C564" s="19" t="n">
        <v>1.7628161</v>
      </c>
      <c r="D564" s="19" t="n">
        <v>0.008758311499999999</v>
      </c>
      <c r="E564" s="19" t="n">
        <v>0.05474525542832214</v>
      </c>
      <c r="F564" s="19" t="n">
        <v>0.2888857021777863</v>
      </c>
      <c r="G564" s="19" t="n">
        <v>0.8903296581134036</v>
      </c>
      <c r="H564" s="19" t="n">
        <v>0.6001570000000001</v>
      </c>
    </row>
    <row r="565" s="17">
      <c r="A565" s="19" t="n">
        <v>6150</v>
      </c>
      <c r="B565" s="19" t="n">
        <v>64718.385158</v>
      </c>
      <c r="C565" s="19" t="n">
        <v>2.0838301</v>
      </c>
      <c r="D565" s="19" t="n">
        <v>0.007876758500000001</v>
      </c>
      <c r="E565" s="19" t="n">
        <v>0.10514061053694</v>
      </c>
      <c r="F565" s="19" t="n">
        <v>0.2324173518358548</v>
      </c>
      <c r="G565" s="19" t="n">
        <v>0.8980697497606255</v>
      </c>
      <c r="H565" s="19" t="n">
        <v>1.106048</v>
      </c>
    </row>
    <row r="566" s="17">
      <c r="A566" s="19" t="n">
        <v>6155</v>
      </c>
      <c r="B566" s="19" t="n">
        <v>64153.576631</v>
      </c>
      <c r="C566" s="19" t="n">
        <v>1.5172028</v>
      </c>
      <c r="D566" s="19" t="n">
        <v>0.0055016554</v>
      </c>
      <c r="E566" s="19" t="n">
        <v>0.1002539023701765</v>
      </c>
      <c r="F566" s="19" t="n">
        <v>0.2038408299077199</v>
      </c>
      <c r="G566" s="19" t="n">
        <v>0.9304603905926895</v>
      </c>
      <c r="H566" s="19" t="n">
        <v>0.746113</v>
      </c>
    </row>
    <row r="567" s="17">
      <c r="A567" s="19" t="n">
        <v>6160</v>
      </c>
      <c r="B567" s="19" t="n">
        <v>36790.072754</v>
      </c>
      <c r="C567" s="19" t="n">
        <v>2.0396806</v>
      </c>
      <c r="D567" s="19" t="n">
        <v>0.0062199709</v>
      </c>
      <c r="E567" s="19" t="n">
        <v>0.04537208242000365</v>
      </c>
      <c r="F567" s="19" t="n">
        <v>0.04057994500918188</v>
      </c>
      <c r="G567" s="19" t="n">
        <v>0.8971086124267629</v>
      </c>
      <c r="H567" s="19" t="n">
        <v>0.49399</v>
      </c>
    </row>
    <row r="568" s="17">
      <c r="A568" s="19" t="n">
        <v>6165</v>
      </c>
      <c r="B568" s="19" t="n">
        <v>61368.613999</v>
      </c>
      <c r="C568" s="19" t="n">
        <v>2.2124518</v>
      </c>
      <c r="D568" s="19" t="n">
        <v>0.0036652144</v>
      </c>
      <c r="E568" s="19" t="n">
        <v>0.1294459478170844</v>
      </c>
      <c r="F568" s="19" t="n">
        <v>0.15317242835282</v>
      </c>
      <c r="G568" s="19" t="n">
        <v>0.8942372677347087</v>
      </c>
      <c r="H568" s="19" t="n">
        <v>1.39172</v>
      </c>
    </row>
    <row r="569" s="17">
      <c r="A569" s="19" t="n">
        <v>6170</v>
      </c>
      <c r="B569" s="19" t="n">
        <v>63536.379253</v>
      </c>
      <c r="C569" s="19" t="n">
        <v>1.4871198</v>
      </c>
      <c r="D569" s="19" t="n">
        <v>0.004031</v>
      </c>
      <c r="E569" s="19" t="n">
        <v>0.08691013609806295</v>
      </c>
      <c r="F569" s="19" t="n">
        <v>0.2360716414787244</v>
      </c>
      <c r="G569" s="19" t="n">
        <v>0.9703931499329308</v>
      </c>
      <c r="H569" s="19" t="n">
        <v>0.252355</v>
      </c>
    </row>
    <row r="570" s="17">
      <c r="A570" s="19" t="n">
        <v>6175</v>
      </c>
      <c r="B570" s="19" t="n">
        <v>52734.193113</v>
      </c>
      <c r="C570" s="19" t="n">
        <v>2.1420688</v>
      </c>
      <c r="D570" s="19" t="n">
        <v>0.008652659599999999</v>
      </c>
      <c r="E570" s="19" t="n">
        <v>0.03769099487739972</v>
      </c>
      <c r="F570" s="19" t="n">
        <v>0.05090582301303249</v>
      </c>
      <c r="G570" s="19" t="n">
        <v>0.9669543136763018</v>
      </c>
      <c r="H570" s="19" t="n">
        <v>0.130856</v>
      </c>
    </row>
    <row r="571" s="17">
      <c r="A571" s="19" t="n">
        <v>6180</v>
      </c>
      <c r="B571" s="19" t="n">
        <v>46638.64601</v>
      </c>
      <c r="C571" s="19" t="n">
        <v>2.0589835</v>
      </c>
      <c r="D571" s="19" t="n">
        <v>0.0080555894</v>
      </c>
      <c r="E571" s="19" t="n">
        <v>0.157019616202032</v>
      </c>
      <c r="F571" s="19" t="n">
        <v>0.2138822826567939</v>
      </c>
      <c r="G571" s="19" t="n">
        <v>0.8741531889581822</v>
      </c>
      <c r="H571" s="19" t="n">
        <v>1.980707</v>
      </c>
    </row>
    <row r="572" s="17">
      <c r="A572" s="19" t="n">
        <v>6185</v>
      </c>
      <c r="B572" s="19" t="n">
        <v>49075.728721</v>
      </c>
      <c r="C572" s="19" t="n">
        <v>1.9187938</v>
      </c>
      <c r="D572" s="19" t="n">
        <v>0.0063919958</v>
      </c>
      <c r="E572" s="19" t="n">
        <v>0.04089456701045162</v>
      </c>
      <c r="F572" s="19" t="n">
        <v>0.04902067812424992</v>
      </c>
      <c r="G572" s="19" t="n">
        <v>0.9417610439922637</v>
      </c>
      <c r="H572" s="19" t="n">
        <v>0.248941</v>
      </c>
    </row>
    <row r="573" s="17">
      <c r="A573" s="19" t="n">
        <v>6190</v>
      </c>
      <c r="B573" s="19" t="n">
        <v>56494.519674</v>
      </c>
      <c r="C573" s="19" t="n">
        <v>2.0626049</v>
      </c>
      <c r="D573" s="19" t="n">
        <v>0.0061350896</v>
      </c>
      <c r="E573" s="19" t="n">
        <v>0.04302658591513062</v>
      </c>
      <c r="F573" s="19" t="n">
        <v>0.08590095020608095</v>
      </c>
      <c r="G573" s="19" t="n">
        <v>0.9629334231707154</v>
      </c>
      <c r="H573" s="19" t="n">
        <v>0.172352</v>
      </c>
    </row>
    <row r="574" s="17">
      <c r="A574" s="19" t="n">
        <v>6195</v>
      </c>
      <c r="B574" s="19" t="n">
        <v>49327.052707</v>
      </c>
      <c r="C574" s="19" t="n">
        <v>1.9884225</v>
      </c>
      <c r="D574" s="19" t="n">
        <v>0.0076321811</v>
      </c>
      <c r="E574" s="19" t="n">
        <v>0.1417954217352472</v>
      </c>
      <c r="F574" s="19" t="n">
        <v>0.15568967169304</v>
      </c>
      <c r="G574" s="19" t="n">
        <v>0.9441930253730857</v>
      </c>
      <c r="H574" s="19" t="n">
        <v>0.836561</v>
      </c>
    </row>
    <row r="575" s="17">
      <c r="A575" s="19" t="n">
        <v>6200</v>
      </c>
      <c r="B575" s="19" t="n">
        <v>63211.81297</v>
      </c>
      <c r="C575" s="19" t="n">
        <v>1.8109362</v>
      </c>
      <c r="D575" s="19" t="n">
        <v>0.0044074435</v>
      </c>
      <c r="E575" s="19" t="n">
        <v>0.06460857431140941</v>
      </c>
      <c r="F575" s="19" t="n">
        <v>0.3531863349582732</v>
      </c>
      <c r="G575" s="19" t="n">
        <v>0.8862430369310198</v>
      </c>
      <c r="H575" s="19" t="n">
        <v>0.747635</v>
      </c>
    </row>
    <row r="576" s="17">
      <c r="A576" s="19" t="n">
        <v>6205</v>
      </c>
      <c r="B576" s="19" t="n">
        <v>51903.063391</v>
      </c>
      <c r="C576" s="19" t="n">
        <v>1.9318635</v>
      </c>
      <c r="D576" s="19" t="n">
        <v>0.0076322253</v>
      </c>
      <c r="E576" s="19" t="n">
        <v>0.04729176955781496</v>
      </c>
      <c r="F576" s="19" t="n">
        <v>0.0229691682816978</v>
      </c>
      <c r="G576" s="19" t="n">
        <v>1</v>
      </c>
      <c r="H576" s="19" t="n">
        <v>0.001</v>
      </c>
    </row>
    <row r="577" s="17">
      <c r="A577" s="19" t="n">
        <v>6210</v>
      </c>
      <c r="B577" s="19" t="n">
        <v>62179.81534</v>
      </c>
      <c r="C577" s="19" t="n">
        <v>2.0697647</v>
      </c>
      <c r="D577" s="19" t="n">
        <v>0.0060064268</v>
      </c>
      <c r="E577" s="19" t="n">
        <v>0.1342443183815502</v>
      </c>
      <c r="F577" s="19" t="n">
        <v>0.2583789950421971</v>
      </c>
      <c r="G577" s="19" t="n">
        <v>0.9284127325058884</v>
      </c>
      <c r="H577" s="19" t="n">
        <v>0.962019</v>
      </c>
    </row>
    <row r="578" s="17">
      <c r="A578" s="19" t="n">
        <v>6215</v>
      </c>
      <c r="B578" s="19" t="n">
        <v>69815.273933</v>
      </c>
      <c r="C578" s="19" t="n">
        <v>2.3528805</v>
      </c>
      <c r="D578" s="19" t="n">
        <v>0.0048224444</v>
      </c>
      <c r="E578" s="19" t="n">
        <v>0.05483892126520891</v>
      </c>
      <c r="F578" s="19" t="n">
        <v>0.3734002168152496</v>
      </c>
      <c r="G578" s="19" t="n">
        <v>0.9228007519199153</v>
      </c>
      <c r="H578" s="19" t="n">
        <v>0.45154</v>
      </c>
    </row>
    <row r="579" s="17">
      <c r="A579" s="19" t="n">
        <v>6220</v>
      </c>
      <c r="B579" s="19" t="n">
        <v>41377.123295</v>
      </c>
      <c r="C579" s="19" t="n">
        <v>2.0731163</v>
      </c>
      <c r="D579" s="19" t="n">
        <v>0.008711941000000001</v>
      </c>
      <c r="E579" s="19" t="n">
        <v>0.07054701803736116</v>
      </c>
      <c r="F579" s="19" t="n">
        <v>0.2778475685788868</v>
      </c>
      <c r="G579" s="19" t="n">
        <v>0.9210753804424047</v>
      </c>
      <c r="H579" s="19" t="n">
        <v>0.5492010000000001</v>
      </c>
    </row>
    <row r="580" s="17">
      <c r="A580" s="19" t="n">
        <v>6225</v>
      </c>
      <c r="B580" s="19" t="n">
        <v>37128.432569</v>
      </c>
      <c r="C580" s="19" t="n">
        <v>1.7235463</v>
      </c>
      <c r="D580" s="19" t="n">
        <v>0.0062615108</v>
      </c>
      <c r="E580" s="19" t="n">
        <v>0.09464462590958522</v>
      </c>
      <c r="F580" s="19" t="n">
        <v>0.2521809335850387</v>
      </c>
      <c r="G580" s="19" t="n">
        <v>0.941829617003106</v>
      </c>
      <c r="H580" s="19" t="n">
        <v>0.584218</v>
      </c>
    </row>
    <row r="581" s="17">
      <c r="A581" s="19" t="n">
        <v>6230</v>
      </c>
      <c r="B581" s="19" t="n">
        <v>73322.918381</v>
      </c>
      <c r="C581" s="19" t="n">
        <v>1.4705216</v>
      </c>
      <c r="D581" s="19" t="n">
        <v>0.0058334019</v>
      </c>
      <c r="E581" s="19" t="n">
        <v>0.08247571479933885</v>
      </c>
      <c r="F581" s="19" t="n">
        <v>0.2907281108800202</v>
      </c>
      <c r="G581" s="19" t="n">
        <v>0.8642642050236644</v>
      </c>
      <c r="H581" s="19" t="n">
        <v>1.148118</v>
      </c>
    </row>
    <row r="582" s="17">
      <c r="A582" s="19" t="n">
        <v>6235</v>
      </c>
      <c r="B582" s="19" t="n">
        <v>45415.566894</v>
      </c>
      <c r="C582" s="19" t="n">
        <v>1.8315756</v>
      </c>
      <c r="D582" s="19" t="n">
        <v>0.0056042367</v>
      </c>
      <c r="E582" s="19" t="n">
        <v>0.04204817627388741</v>
      </c>
      <c r="F582" s="19" t="n">
        <v>0.1806328948655493</v>
      </c>
      <c r="G582" s="19" t="n">
        <v>0.8592153774937327</v>
      </c>
      <c r="H582" s="19" t="n">
        <v>0.638768</v>
      </c>
    </row>
    <row r="583" s="17">
      <c r="A583" s="19" t="n">
        <v>6240</v>
      </c>
      <c r="B583" s="19" t="n">
        <v>66822.82547900001</v>
      </c>
      <c r="C583" s="19" t="n">
        <v>1.8044064</v>
      </c>
      <c r="D583" s="19" t="n">
        <v>0.005440349</v>
      </c>
      <c r="E583" s="19" t="n">
        <v>0.1559349009602013</v>
      </c>
      <c r="F583" s="19" t="n">
        <v>0.1207639587000477</v>
      </c>
      <c r="G583" s="19" t="n">
        <v>0.938460378142391</v>
      </c>
      <c r="H583" s="19" t="n">
        <v>0.989249</v>
      </c>
    </row>
    <row r="584" s="17">
      <c r="A584" s="19" t="n">
        <v>6245</v>
      </c>
      <c r="B584" s="19" t="n">
        <v>62942.100606</v>
      </c>
      <c r="C584" s="19" t="n">
        <v>1.7522269</v>
      </c>
      <c r="D584" s="19" t="n">
        <v>0.0061406844</v>
      </c>
      <c r="E584" s="19" t="n">
        <v>0.101176088397979</v>
      </c>
      <c r="F584" s="19" t="n">
        <v>0.3065035002569342</v>
      </c>
      <c r="G584" s="19" t="n">
        <v>0.8859826868352662</v>
      </c>
      <c r="H584" s="19" t="n">
        <v>1.168084</v>
      </c>
    </row>
    <row r="585" s="17">
      <c r="A585" s="19" t="n">
        <v>6250</v>
      </c>
      <c r="B585" s="19" t="n">
        <v>39171.883755</v>
      </c>
      <c r="C585" s="19" t="n">
        <v>1.9095784</v>
      </c>
      <c r="D585" s="19" t="n">
        <v>0.0072386023</v>
      </c>
      <c r="E585" s="19" t="n">
        <v>0.03363246011228393</v>
      </c>
      <c r="F585" s="19" t="n">
        <v>0.07602443887713363</v>
      </c>
      <c r="G585" s="19" t="n">
        <v>0.9513414491703475</v>
      </c>
      <c r="H585" s="19" t="n">
        <v>0.209144</v>
      </c>
    </row>
    <row r="586" s="17">
      <c r="A586" s="19" t="n">
        <v>6255</v>
      </c>
      <c r="B586" s="19" t="n">
        <v>43362.964553</v>
      </c>
      <c r="C586" s="19" t="n">
        <v>2.0538175</v>
      </c>
      <c r="D586" s="19" t="n">
        <v>0.0077661006</v>
      </c>
      <c r="E586" s="19" t="n">
        <v>0.1092909111531961</v>
      </c>
      <c r="F586" s="19" t="n">
        <v>0.3408536877550007</v>
      </c>
      <c r="G586" s="19" t="n">
        <v>0.8844866952365432</v>
      </c>
      <c r="H586" s="19" t="n">
        <v>1.279724</v>
      </c>
    </row>
    <row r="587" s="17">
      <c r="A587" s="19" t="n">
        <v>6260</v>
      </c>
      <c r="B587" s="19" t="n">
        <v>71727.41308300001</v>
      </c>
      <c r="C587" s="19" t="n">
        <v>2.279132</v>
      </c>
      <c r="D587" s="19" t="n">
        <v>0.004163982</v>
      </c>
      <c r="E587" s="19" t="n">
        <v>0.05570373557284365</v>
      </c>
      <c r="F587" s="19" t="n">
        <v>0.3352629154885292</v>
      </c>
      <c r="G587" s="19" t="n">
        <v>0.9184213534745821</v>
      </c>
      <c r="H587" s="19" t="n">
        <v>0.493396</v>
      </c>
    </row>
    <row r="588" s="17">
      <c r="A588" s="19" t="n">
        <v>6265</v>
      </c>
      <c r="B588" s="19" t="n">
        <v>40442.879218</v>
      </c>
      <c r="C588" s="19" t="n">
        <v>1.7275889</v>
      </c>
      <c r="D588" s="19" t="n">
        <v>0.0094472125</v>
      </c>
      <c r="E588" s="19" t="n">
        <v>0.03301944660635427</v>
      </c>
      <c r="F588" s="19" t="n">
        <v>0.1301631552101131</v>
      </c>
      <c r="G588" s="19" t="n">
        <v>0.9667507370365049</v>
      </c>
      <c r="H588" s="19" t="n">
        <v>0.142486</v>
      </c>
    </row>
    <row r="589" s="17">
      <c r="A589" s="19" t="n">
        <v>6270</v>
      </c>
      <c r="B589" s="19" t="n">
        <v>57669.65205</v>
      </c>
      <c r="C589" s="19" t="n">
        <v>1.9134044</v>
      </c>
      <c r="D589" s="19" t="n">
        <v>0.003682714</v>
      </c>
      <c r="E589" s="19" t="n">
        <v>0.1573556044502634</v>
      </c>
      <c r="F589" s="19" t="n">
        <v>0.1094499643073281</v>
      </c>
      <c r="G589" s="19" t="n">
        <v>0.9591288733996876</v>
      </c>
      <c r="H589" s="19" t="n">
        <v>0.6797299999999999</v>
      </c>
    </row>
    <row r="590" s="17">
      <c r="A590" s="19" t="n">
        <v>6275</v>
      </c>
      <c r="B590" s="19" t="n">
        <v>64585.00426</v>
      </c>
      <c r="C590" s="19" t="n">
        <v>2.4391613</v>
      </c>
      <c r="D590" s="19" t="n">
        <v>0.005800697</v>
      </c>
      <c r="E590" s="19" t="n">
        <v>0.1104698097161604</v>
      </c>
      <c r="F590" s="19" t="n">
        <v>0.225914963755613</v>
      </c>
      <c r="G590" s="19" t="n">
        <v>0.8772186800197078</v>
      </c>
      <c r="H590" s="19" t="n">
        <v>1.389976</v>
      </c>
    </row>
    <row r="591" s="17">
      <c r="A591" s="19" t="n">
        <v>6280</v>
      </c>
      <c r="B591" s="19" t="n">
        <v>38453.111886</v>
      </c>
      <c r="C591" s="19" t="n">
        <v>1.813745</v>
      </c>
      <c r="D591" s="19" t="n">
        <v>0.0096637189</v>
      </c>
      <c r="E591" s="19" t="n">
        <v>0.04127676496212394</v>
      </c>
      <c r="F591" s="19" t="n">
        <v>0.166998238136066</v>
      </c>
      <c r="G591" s="19" t="n">
        <v>0.9555990840341433</v>
      </c>
      <c r="H591" s="19" t="n">
        <v>0.206287</v>
      </c>
    </row>
    <row r="592" s="17">
      <c r="A592" s="19" t="n">
        <v>6285</v>
      </c>
      <c r="B592" s="19" t="n">
        <v>48420.458933</v>
      </c>
      <c r="C592" s="19" t="n">
        <v>1.9338149</v>
      </c>
      <c r="D592" s="19" t="n">
        <v>0.0037322471</v>
      </c>
      <c r="E592" s="19" t="n">
        <v>0.09919295847343192</v>
      </c>
      <c r="F592" s="19" t="n">
        <v>0.1009874260468652</v>
      </c>
      <c r="G592" s="19" t="n">
        <v>0.9183675445322416</v>
      </c>
      <c r="H592" s="19" t="n">
        <v>0.832218</v>
      </c>
    </row>
    <row r="593" s="17">
      <c r="A593" s="19" t="n">
        <v>6290</v>
      </c>
      <c r="B593" s="19" t="n">
        <v>63170.527337</v>
      </c>
      <c r="C593" s="19" t="n">
        <v>2.1681754</v>
      </c>
      <c r="D593" s="19" t="n">
        <v>0.0034718531</v>
      </c>
      <c r="E593" s="19" t="n">
        <v>0.1152027457887973</v>
      </c>
      <c r="F593" s="19" t="n">
        <v>0.3692110094843424</v>
      </c>
      <c r="G593" s="19" t="n">
        <v>0.8721915859711239</v>
      </c>
      <c r="H593" s="19" t="n">
        <v>1.467347</v>
      </c>
    </row>
    <row r="594" s="17">
      <c r="A594" s="19" t="n">
        <v>6295</v>
      </c>
      <c r="B594" s="19" t="n">
        <v>54362.217667</v>
      </c>
      <c r="C594" s="19" t="n">
        <v>1.9741052</v>
      </c>
      <c r="D594" s="19" t="n">
        <v>0.0065812348</v>
      </c>
      <c r="E594" s="19" t="n">
        <v>0.05807395348571727</v>
      </c>
      <c r="F594" s="19" t="n">
        <v>0.08383574669155611</v>
      </c>
      <c r="G594" s="19" t="n">
        <v>0.8986758218821357</v>
      </c>
      <c r="H594" s="19" t="n">
        <v>0.607121</v>
      </c>
    </row>
    <row r="595" s="17">
      <c r="A595" s="19" t="n">
        <v>6300</v>
      </c>
      <c r="B595" s="19" t="n">
        <v>54000.809656</v>
      </c>
      <c r="C595" s="19" t="n">
        <v>2.0467496</v>
      </c>
      <c r="D595" s="19" t="n">
        <v>0.0043397607</v>
      </c>
      <c r="E595" s="19" t="n">
        <v>0.131912123702833</v>
      </c>
      <c r="F595" s="19" t="n">
        <v>0.2007092055400497</v>
      </c>
      <c r="G595" s="19" t="n">
        <v>0.919035081699755</v>
      </c>
      <c r="H595" s="19" t="n">
        <v>1.081815</v>
      </c>
    </row>
    <row r="596" s="17">
      <c r="A596" s="19" t="n">
        <v>6305</v>
      </c>
      <c r="B596" s="19" t="n">
        <v>63990.957025</v>
      </c>
      <c r="C596" s="19" t="n">
        <v>1.7815534</v>
      </c>
      <c r="D596" s="19" t="n">
        <v>0.0031595028</v>
      </c>
      <c r="E596" s="19" t="n">
        <v>0.06587222918448266</v>
      </c>
      <c r="F596" s="19" t="n">
        <v>0.3702429425130981</v>
      </c>
      <c r="G596" s="19" t="n">
        <v>0.8779729112880856</v>
      </c>
      <c r="H596" s="19" t="n">
        <v>0.8196830000000001</v>
      </c>
    </row>
    <row r="597" s="17">
      <c r="A597" s="19" t="n">
        <v>6310</v>
      </c>
      <c r="B597" s="19" t="n">
        <v>52898.938092</v>
      </c>
      <c r="C597" s="19" t="n">
        <v>2.1448562</v>
      </c>
      <c r="D597" s="19" t="n">
        <v>0.0073344817</v>
      </c>
      <c r="E597" s="19" t="n">
        <v>0.03945989056662131</v>
      </c>
      <c r="F597" s="19" t="n">
        <v>0.2261243372416489</v>
      </c>
      <c r="G597" s="19" t="n">
        <v>0.9199395930403252</v>
      </c>
      <c r="H597" s="19" t="n">
        <v>0.31718</v>
      </c>
    </row>
    <row r="598" s="17">
      <c r="A598" s="19" t="n">
        <v>6315</v>
      </c>
      <c r="B598" s="19" t="n">
        <v>37865.3723</v>
      </c>
      <c r="C598" s="19" t="n">
        <v>1.8716101</v>
      </c>
      <c r="D598" s="19" t="n">
        <v>0.0063896248</v>
      </c>
      <c r="E598" s="19" t="n">
        <v>0.07035662462394489</v>
      </c>
      <c r="F598" s="19" t="n">
        <v>0.02207286726436626</v>
      </c>
      <c r="G598" s="19" t="n">
        <v>0.9765452850672842</v>
      </c>
      <c r="H598" s="19" t="n">
        <v>0.212544</v>
      </c>
    </row>
    <row r="599" s="17">
      <c r="A599" s="19" t="n">
        <v>6320</v>
      </c>
      <c r="B599" s="19" t="n">
        <v>56777.514807</v>
      </c>
      <c r="C599" s="19" t="n">
        <v>1.7334416</v>
      </c>
      <c r="D599" s="19" t="n">
        <v>0.0028763958</v>
      </c>
      <c r="E599" s="19" t="n">
        <v>0.1190145710012598</v>
      </c>
      <c r="F599" s="19" t="n">
        <v>0.3168452539005294</v>
      </c>
      <c r="G599" s="19" t="n">
        <v>0.9614024921702479</v>
      </c>
      <c r="H599" s="19" t="n">
        <v>0.452752</v>
      </c>
    </row>
    <row r="600" s="17">
      <c r="A600" s="19" t="n">
        <v>6325</v>
      </c>
      <c r="B600" s="19" t="n">
        <v>52291.02611</v>
      </c>
      <c r="C600" s="19" t="n">
        <v>1.8116116</v>
      </c>
      <c r="D600" s="19" t="n">
        <v>0.0093138709</v>
      </c>
      <c r="E600" s="19" t="n">
        <v>0.06196345094144049</v>
      </c>
      <c r="F600" s="19" t="n">
        <v>0.0953511648630599</v>
      </c>
      <c r="G600" s="19" t="n">
        <v>0.9109768302078821</v>
      </c>
      <c r="H600" s="19" t="n">
        <v>0.596788</v>
      </c>
    </row>
    <row r="601" s="17">
      <c r="A601" s="19" t="n">
        <v>6330</v>
      </c>
      <c r="B601" s="19" t="n">
        <v>38832.855136</v>
      </c>
      <c r="C601" s="19" t="n">
        <v>1.9336521</v>
      </c>
      <c r="D601" s="19" t="n">
        <v>0.0075508555</v>
      </c>
      <c r="E601" s="19" t="n">
        <v>0.1101314529726666</v>
      </c>
      <c r="F601" s="19" t="n">
        <v>0.135010222908113</v>
      </c>
      <c r="G601" s="19" t="n">
        <v>0.9649336532902911</v>
      </c>
      <c r="H601" s="19" t="n">
        <v>0.403798</v>
      </c>
    </row>
    <row r="602" s="17">
      <c r="A602" s="19" t="n">
        <v>6335</v>
      </c>
      <c r="B602" s="19" t="n">
        <v>70545.276854</v>
      </c>
      <c r="C602" s="19" t="n">
        <v>2.4595715</v>
      </c>
      <c r="D602" s="19" t="n">
        <v>0.0033725538</v>
      </c>
      <c r="E602" s="19" t="n">
        <v>0.1009703661983888</v>
      </c>
      <c r="F602" s="19" t="n">
        <v>0.32470757450815</v>
      </c>
      <c r="G602" s="19" t="n">
        <v>0.925645476348941</v>
      </c>
      <c r="H602" s="19" t="n">
        <v>0.744832</v>
      </c>
    </row>
    <row r="603" s="17">
      <c r="A603" s="19" t="n">
        <v>6340</v>
      </c>
      <c r="B603" s="19" t="n">
        <v>46106.709287</v>
      </c>
      <c r="C603" s="19" t="n">
        <v>2.0309769</v>
      </c>
      <c r="D603" s="19" t="n">
        <v>0.0087047667</v>
      </c>
      <c r="E603" s="19" t="n">
        <v>0.07194219484516007</v>
      </c>
      <c r="F603" s="19" t="n">
        <v>0.06043869083545741</v>
      </c>
      <c r="G603" s="19" t="n">
        <v>0.9013842305395882</v>
      </c>
      <c r="H603" s="19" t="n">
        <v>0.7199410000000001</v>
      </c>
    </row>
    <row r="604" s="17">
      <c r="A604" s="19" t="n">
        <v>6345</v>
      </c>
      <c r="B604" s="19" t="n">
        <v>56462.786533</v>
      </c>
      <c r="C604" s="19" t="n">
        <v>2.1357627</v>
      </c>
      <c r="D604" s="19" t="n">
        <v>0.0055470541</v>
      </c>
      <c r="E604" s="19" t="n">
        <v>0.1530884824849966</v>
      </c>
      <c r="F604" s="19" t="n">
        <v>0.1301968155768721</v>
      </c>
      <c r="G604" s="19" t="n">
        <v>0.8862132560395189</v>
      </c>
      <c r="H604" s="19" t="n">
        <v>1.756948</v>
      </c>
    </row>
    <row r="605" s="17">
      <c r="A605" s="19" t="n">
        <v>6350</v>
      </c>
      <c r="B605" s="19" t="n">
        <v>69262.076332</v>
      </c>
      <c r="C605" s="19" t="n">
        <v>1.5152288</v>
      </c>
      <c r="D605" s="19" t="n">
        <v>0.0057973363</v>
      </c>
      <c r="E605" s="19" t="n">
        <v>0.08326403463322385</v>
      </c>
      <c r="F605" s="19" t="n">
        <v>0.3545835658891199</v>
      </c>
      <c r="G605" s="19" t="n">
        <v>0.9271858109877308</v>
      </c>
      <c r="H605" s="19" t="n">
        <v>0.645249</v>
      </c>
    </row>
    <row r="606" s="17">
      <c r="A606" s="19" t="n">
        <v>6355</v>
      </c>
      <c r="B606" s="19" t="n">
        <v>55835.510873</v>
      </c>
      <c r="C606" s="19" t="n">
        <v>1.9178635</v>
      </c>
      <c r="D606" s="19" t="n">
        <v>0.0063217654</v>
      </c>
      <c r="E606" s="19" t="n">
        <v>0.07072946196120686</v>
      </c>
      <c r="F606" s="19" t="n">
        <v>0.1596778526076704</v>
      </c>
      <c r="G606" s="19" t="n">
        <v>0.9291352669732266</v>
      </c>
      <c r="H606" s="19" t="n">
        <v>0.506757</v>
      </c>
    </row>
    <row r="607" s="17">
      <c r="A607" s="19" t="n">
        <v>6360</v>
      </c>
      <c r="B607" s="19" t="n">
        <v>61352.476679</v>
      </c>
      <c r="C607" s="19" t="n">
        <v>1.9098817</v>
      </c>
      <c r="D607" s="19" t="n">
        <v>0.0080328499</v>
      </c>
      <c r="E607" s="19" t="n">
        <v>0.1543986561042302</v>
      </c>
      <c r="F607" s="19" t="n">
        <v>0.08257240060934604</v>
      </c>
      <c r="G607" s="19" t="n">
        <v>0.9208484773913098</v>
      </c>
      <c r="H607" s="19" t="n">
        <v>1.242756</v>
      </c>
    </row>
    <row r="608" s="17">
      <c r="A608" s="19" t="n">
        <v>6365</v>
      </c>
      <c r="B608" s="19" t="n">
        <v>74252.14864100001</v>
      </c>
      <c r="C608" s="19" t="n">
        <v>2.181368</v>
      </c>
      <c r="D608" s="19" t="n">
        <v>0.0032221234</v>
      </c>
      <c r="E608" s="19" t="n">
        <v>0.04468775315081772</v>
      </c>
      <c r="F608" s="19" t="n">
        <v>0.2653484089920413</v>
      </c>
      <c r="G608" s="19" t="n">
        <v>0.9344714899146797</v>
      </c>
      <c r="H608" s="19" t="n">
        <v>0.338961</v>
      </c>
    </row>
    <row r="609" s="17">
      <c r="A609" s="19" t="n">
        <v>6370</v>
      </c>
      <c r="B609" s="19" t="n">
        <v>42774.161411</v>
      </c>
      <c r="C609" s="19" t="n">
        <v>1.9949562</v>
      </c>
      <c r="D609" s="19" t="n">
        <v>0.0077965342</v>
      </c>
      <c r="E609" s="19" t="n">
        <v>0.05081346511649992</v>
      </c>
      <c r="F609" s="19" t="n">
        <v>0.2325224888780426</v>
      </c>
      <c r="G609" s="19" t="n">
        <v>0.9060018049823652</v>
      </c>
      <c r="H609" s="19" t="n">
        <v>0.5081329999999999</v>
      </c>
    </row>
    <row r="610" s="17">
      <c r="A610" s="19" t="n">
        <v>6375</v>
      </c>
      <c r="B610" s="19" t="n">
        <v>64176.8111</v>
      </c>
      <c r="C610" s="19" t="n">
        <v>1.6744844</v>
      </c>
      <c r="D610" s="19" t="n">
        <v>0.006712811</v>
      </c>
      <c r="E610" s="19" t="n">
        <v>0.1463956858250537</v>
      </c>
      <c r="F610" s="19" t="n">
        <v>0.2086237978710938</v>
      </c>
      <c r="G610" s="19" t="n">
        <v>0.8927212481568618</v>
      </c>
      <c r="H610" s="19" t="n">
        <v>1.574273</v>
      </c>
    </row>
    <row r="611" s="17">
      <c r="A611" s="19" t="n">
        <v>6380</v>
      </c>
      <c r="B611" s="19" t="n">
        <v>42547.062645</v>
      </c>
      <c r="C611" s="19" t="n">
        <v>1.9693373</v>
      </c>
      <c r="D611" s="19" t="n">
        <v>0.0051517938</v>
      </c>
      <c r="E611" s="19" t="n">
        <v>0.04788949378759041</v>
      </c>
      <c r="F611" s="19" t="n">
        <v>0.1604600823392935</v>
      </c>
      <c r="G611" s="19" t="n">
        <v>0.9267625347165364</v>
      </c>
      <c r="H611" s="19" t="n">
        <v>0.335384</v>
      </c>
    </row>
    <row r="612" s="17">
      <c r="A612" s="19" t="n">
        <v>6385</v>
      </c>
      <c r="B612" s="19" t="n">
        <v>52746.917334</v>
      </c>
      <c r="C612" s="19" t="n">
        <v>1.9761773</v>
      </c>
      <c r="D612" s="19" t="n">
        <v>0.0075167885</v>
      </c>
      <c r="E612" s="19" t="n">
        <v>0.05364519551074836</v>
      </c>
      <c r="F612" s="19" t="n">
        <v>0.05826960357332102</v>
      </c>
      <c r="G612" s="19" t="n">
        <v>0.9586964935157842</v>
      </c>
      <c r="H612" s="19" t="n">
        <v>0.218029</v>
      </c>
    </row>
    <row r="613" s="17">
      <c r="A613" s="19" t="n">
        <v>6390</v>
      </c>
      <c r="B613" s="19" t="n">
        <v>56144.677714</v>
      </c>
      <c r="C613" s="19" t="n">
        <v>1.967156</v>
      </c>
      <c r="D613" s="19" t="n">
        <v>0.006404752</v>
      </c>
      <c r="E613" s="19" t="n">
        <v>0.08708385151166376</v>
      </c>
      <c r="F613" s="19" t="n">
        <v>0.08749618632392786</v>
      </c>
      <c r="G613" s="19" t="n">
        <v>0.9399845900188587</v>
      </c>
      <c r="H613" s="19" t="n">
        <v>0.5386339999999999</v>
      </c>
    </row>
    <row r="614" s="17">
      <c r="A614" s="19" t="n">
        <v>6395</v>
      </c>
      <c r="B614" s="19" t="n">
        <v>61393.829172</v>
      </c>
      <c r="C614" s="19" t="n">
        <v>2.3815506</v>
      </c>
      <c r="D614" s="19" t="n">
        <v>0.0030931065</v>
      </c>
      <c r="E614" s="19" t="n">
        <v>0.09068938546938954</v>
      </c>
      <c r="F614" s="19" t="n">
        <v>0.2327495295504797</v>
      </c>
      <c r="G614" s="19" t="n">
        <v>1</v>
      </c>
      <c r="H614" s="19" t="n">
        <v>0.001</v>
      </c>
    </row>
    <row r="615" s="17">
      <c r="A615" s="19" t="n">
        <v>6400</v>
      </c>
      <c r="B615" s="19" t="n">
        <v>33898.772716</v>
      </c>
      <c r="C615" s="19" t="n">
        <v>2.0828629</v>
      </c>
      <c r="D615" s="19" t="n">
        <v>0.0095664991</v>
      </c>
      <c r="E615" s="19" t="n">
        <v>0.03295852812885436</v>
      </c>
      <c r="F615" s="19" t="n">
        <v>0.1287558823364891</v>
      </c>
      <c r="G615" s="19" t="n">
        <v>0.9691440400756582</v>
      </c>
      <c r="H615" s="19" t="n">
        <v>0.141057</v>
      </c>
    </row>
    <row r="616" s="17">
      <c r="A616" s="19" t="n">
        <v>6405</v>
      </c>
      <c r="B616" s="19" t="n">
        <v>47420.693884</v>
      </c>
      <c r="C616" s="19" t="n">
        <v>2.1606171</v>
      </c>
      <c r="D616" s="19" t="n">
        <v>0.0073043847</v>
      </c>
      <c r="E616" s="19" t="n">
        <v>0.1535897155148364</v>
      </c>
      <c r="F616" s="19" t="n">
        <v>0.1308201983715713</v>
      </c>
      <c r="G616" s="19" t="n">
        <v>0.9352665831434473</v>
      </c>
      <c r="H616" s="19" t="n">
        <v>0.986524</v>
      </c>
    </row>
    <row r="617" s="17">
      <c r="A617" s="19" t="n">
        <v>6410</v>
      </c>
      <c r="B617" s="19" t="n">
        <v>64964.073473</v>
      </c>
      <c r="C617" s="19" t="n">
        <v>1.8007411</v>
      </c>
      <c r="D617" s="19" t="n">
        <v>0.0048284982</v>
      </c>
      <c r="E617" s="19" t="n">
        <v>0.07352038387804712</v>
      </c>
      <c r="F617" s="19" t="n">
        <v>0.3568401473154345</v>
      </c>
      <c r="G617" s="19" t="n">
        <v>0.8835433968362386</v>
      </c>
      <c r="H617" s="19" t="n">
        <v>0.849766</v>
      </c>
    </row>
    <row r="618" s="17">
      <c r="A618" s="19" t="n">
        <v>6415</v>
      </c>
      <c r="B618" s="19" t="n">
        <v>33936.512847</v>
      </c>
      <c r="C618" s="19" t="n">
        <v>2.12797</v>
      </c>
      <c r="D618" s="19" t="n">
        <v>0.007152801</v>
      </c>
      <c r="E618" s="19" t="n">
        <v>0.04763627258420094</v>
      </c>
      <c r="F618" s="19" t="n">
        <v>0.2034219520735956</v>
      </c>
      <c r="G618" s="19" t="n">
        <v>0.9450888182878292</v>
      </c>
      <c r="H618" s="19" t="n">
        <v>0.287309</v>
      </c>
    </row>
    <row r="619" s="17">
      <c r="A619" s="19" t="n">
        <v>6420</v>
      </c>
      <c r="B619" s="19" t="n">
        <v>50485.126942</v>
      </c>
      <c r="C619" s="19" t="n">
        <v>2.2280399</v>
      </c>
      <c r="D619" s="19" t="n">
        <v>0.005517712</v>
      </c>
      <c r="E619" s="19" t="n">
        <v>0.08974266115129034</v>
      </c>
      <c r="F619" s="19" t="n">
        <v>0.09358633691600388</v>
      </c>
      <c r="G619" s="19" t="n">
        <v>0.9773531355922619</v>
      </c>
      <c r="H619" s="19" t="n">
        <v>0.21787</v>
      </c>
    </row>
    <row r="620" s="17">
      <c r="A620" s="19" t="n">
        <v>6425</v>
      </c>
      <c r="B620" s="19" t="n">
        <v>74126.15309199999</v>
      </c>
      <c r="C620" s="19" t="n">
        <v>2.1525483</v>
      </c>
      <c r="D620" s="19" t="n">
        <v>0.0027162109</v>
      </c>
      <c r="E620" s="19" t="n">
        <v>0.1055307033481783</v>
      </c>
      <c r="F620" s="19" t="n">
        <v>0.2204076327040862</v>
      </c>
      <c r="G620" s="19" t="n">
        <v>0.9405155495851579</v>
      </c>
      <c r="H620" s="19" t="n">
        <v>0.670961</v>
      </c>
    </row>
    <row r="621" s="17">
      <c r="A621" s="19" t="n">
        <v>6430</v>
      </c>
      <c r="B621" s="19" t="n">
        <v>44839.853267</v>
      </c>
      <c r="C621" s="19" t="n">
        <v>2.0397876</v>
      </c>
      <c r="D621" s="19" t="n">
        <v>0.0069074266</v>
      </c>
      <c r="E621" s="19" t="n">
        <v>0.06470643269871329</v>
      </c>
      <c r="F621" s="19" t="n">
        <v>0.1756523017004147</v>
      </c>
      <c r="G621" s="19" t="n">
        <v>0.8756655568186704</v>
      </c>
      <c r="H621" s="19" t="n">
        <v>0.851093</v>
      </c>
    </row>
    <row r="622" s="17">
      <c r="A622" s="19" t="n">
        <v>6435</v>
      </c>
      <c r="B622" s="19" t="n">
        <v>64131.624254</v>
      </c>
      <c r="C622" s="19" t="n">
        <v>1.8582008</v>
      </c>
      <c r="D622" s="19" t="n">
        <v>0.0055770313</v>
      </c>
      <c r="E622" s="19" t="n">
        <v>0.1160344077421645</v>
      </c>
      <c r="F622" s="19" t="n">
        <v>0.1826524605909109</v>
      </c>
      <c r="G622" s="19" t="n">
        <v>0.9022039262316504</v>
      </c>
      <c r="H622" s="19" t="n">
        <v>1.16794</v>
      </c>
    </row>
    <row r="623" s="17">
      <c r="A623" s="19" t="n">
        <v>6440</v>
      </c>
      <c r="B623" s="19" t="n">
        <v>59617.242423</v>
      </c>
      <c r="C623" s="19" t="n">
        <v>1.4709148</v>
      </c>
      <c r="D623" s="19" t="n">
        <v>0.0054409745</v>
      </c>
      <c r="E623" s="19" t="n">
        <v>0.1074857434693964</v>
      </c>
      <c r="F623" s="19" t="n">
        <v>0.2257119211991578</v>
      </c>
      <c r="G623" s="19" t="n">
        <v>0.9424094256474697</v>
      </c>
      <c r="H623" s="19" t="n">
        <v>0.62522</v>
      </c>
    </row>
    <row r="624" s="17">
      <c r="A624" s="19" t="n">
        <v>6445</v>
      </c>
      <c r="B624" s="19" t="n">
        <v>50951.014529</v>
      </c>
      <c r="C624" s="19" t="n">
        <v>2.0776644</v>
      </c>
      <c r="D624" s="19" t="n">
        <v>0.0063034207</v>
      </c>
      <c r="E624" s="19" t="n">
        <v>0.03506135873463454</v>
      </c>
      <c r="F624" s="19" t="n">
        <v>0.04501830731589142</v>
      </c>
      <c r="G624" s="19" t="n">
        <v>0.9542430167010413</v>
      </c>
      <c r="H624" s="19" t="n">
        <v>0.157757</v>
      </c>
    </row>
    <row r="625" s="17">
      <c r="A625" s="19" t="n">
        <v>6450</v>
      </c>
      <c r="B625" s="19" t="n">
        <v>57174.651739</v>
      </c>
      <c r="C625" s="19" t="n">
        <v>2.0461418</v>
      </c>
      <c r="D625" s="19" t="n">
        <v>0.0075524982</v>
      </c>
      <c r="E625" s="19" t="n">
        <v>0.126288316950395</v>
      </c>
      <c r="F625" s="19" t="n">
        <v>0.08669942048063518</v>
      </c>
      <c r="G625" s="19" t="n">
        <v>0.9121723605028793</v>
      </c>
      <c r="H625" s="19" t="n">
        <v>1.155113</v>
      </c>
    </row>
    <row r="626" s="17">
      <c r="A626" s="19" t="n">
        <v>6455</v>
      </c>
      <c r="B626" s="19" t="n">
        <v>71548.92656000001</v>
      </c>
      <c r="C626" s="19" t="n">
        <v>2.1440647</v>
      </c>
      <c r="D626" s="19" t="n">
        <v>0.0052556196</v>
      </c>
      <c r="E626" s="19" t="n">
        <v>0.092944764220261</v>
      </c>
      <c r="F626" s="19" t="n">
        <v>0.2337248888586765</v>
      </c>
      <c r="G626" s="19" t="n">
        <v>0.9049771841868657</v>
      </c>
      <c r="H626" s="19" t="n">
        <v>0.880694</v>
      </c>
    </row>
    <row r="627" s="17">
      <c r="A627" s="19" t="n">
        <v>6460</v>
      </c>
      <c r="B627" s="19" t="n">
        <v>39824.983616</v>
      </c>
      <c r="C627" s="19" t="n">
        <v>1.8611467</v>
      </c>
      <c r="D627" s="19" t="n">
        <v>0.0066125991</v>
      </c>
      <c r="E627" s="19" t="n">
        <v>0.05587837831377682</v>
      </c>
      <c r="F627" s="19" t="n">
        <v>0.133933279195365</v>
      </c>
      <c r="G627" s="19" t="n">
        <v>0.9786945047962501</v>
      </c>
      <c r="H627" s="19" t="n">
        <v>0.14907</v>
      </c>
    </row>
    <row r="628" s="17">
      <c r="A628" s="19" t="n">
        <v>6465</v>
      </c>
      <c r="B628" s="19" t="n">
        <v>44098.601956</v>
      </c>
      <c r="C628" s="19" t="n">
        <v>1.9700151</v>
      </c>
      <c r="D628" s="19" t="n">
        <v>0.0041759316</v>
      </c>
      <c r="E628" s="19" t="n">
        <v>0.09503074753942327</v>
      </c>
      <c r="F628" s="19" t="n">
        <v>0.1065731320762431</v>
      </c>
      <c r="G628" s="19" t="n">
        <v>0.9773172259983106</v>
      </c>
      <c r="H628" s="19" t="n">
        <v>0.204075</v>
      </c>
    </row>
    <row r="629" s="17">
      <c r="A629" s="19" t="n">
        <v>6470</v>
      </c>
      <c r="B629" s="19" t="n">
        <v>67470.08697600001</v>
      </c>
      <c r="C629" s="19" t="n">
        <v>1.558737</v>
      </c>
      <c r="D629" s="19" t="n">
        <v>0.0059154429</v>
      </c>
      <c r="E629" s="19" t="n">
        <v>0.06161728977831608</v>
      </c>
      <c r="F629" s="19" t="n">
        <v>0.2220280956266528</v>
      </c>
      <c r="G629" s="19" t="n">
        <v>0.9749455661660175</v>
      </c>
      <c r="H629" s="19" t="n">
        <v>0.170642</v>
      </c>
    </row>
    <row r="630" s="17">
      <c r="A630" s="19" t="n">
        <v>6475</v>
      </c>
      <c r="B630" s="19" t="n">
        <v>50132.516482</v>
      </c>
      <c r="C630" s="19" t="n">
        <v>1.9817033</v>
      </c>
      <c r="D630" s="19" t="n">
        <v>0.008488069500000001</v>
      </c>
      <c r="E630" s="19" t="n">
        <v>0.07341585146640017</v>
      </c>
      <c r="F630" s="19" t="n">
        <v>0.02084832744668347</v>
      </c>
      <c r="G630" s="19" t="n">
        <v>0.9164228228487747</v>
      </c>
      <c r="H630" s="19" t="n">
        <v>0.62299</v>
      </c>
    </row>
    <row r="631" s="17">
      <c r="A631" s="19" t="n">
        <v>6480</v>
      </c>
      <c r="B631" s="19" t="n">
        <v>47334.540232</v>
      </c>
      <c r="C631" s="19" t="n">
        <v>2.2022135</v>
      </c>
      <c r="D631" s="19" t="n">
        <v>0.0073886929</v>
      </c>
      <c r="E631" s="19" t="n">
        <v>0.1276828489204555</v>
      </c>
      <c r="F631" s="19" t="n">
        <v>0.1946903945909575</v>
      </c>
      <c r="G631" s="19" t="n">
        <v>0.932998769123449</v>
      </c>
      <c r="H631" s="19" t="n">
        <v>0.856926</v>
      </c>
    </row>
    <row r="632" s="17">
      <c r="A632" s="19" t="n">
        <v>6485</v>
      </c>
      <c r="B632" s="19" t="n">
        <v>59916.532292</v>
      </c>
      <c r="C632" s="19" t="n">
        <v>2.1871845</v>
      </c>
      <c r="D632" s="19" t="n">
        <v>0.0055364848</v>
      </c>
      <c r="E632" s="19" t="n">
        <v>0.05289726766939164</v>
      </c>
      <c r="F632" s="19" t="n">
        <v>0.3134106006436808</v>
      </c>
      <c r="G632" s="19" t="n">
        <v>0.9069905178507645</v>
      </c>
      <c r="H632" s="19" t="n">
        <v>0.48313</v>
      </c>
    </row>
    <row r="633" s="17">
      <c r="A633" s="19" t="n">
        <v>6490</v>
      </c>
      <c r="B633" s="19" t="n">
        <v>41932.571543</v>
      </c>
      <c r="C633" s="19" t="n">
        <v>1.9555352</v>
      </c>
      <c r="D633" s="19" t="n">
        <v>0.008665231900000001</v>
      </c>
      <c r="E633" s="19" t="n">
        <v>0.03241381482155967</v>
      </c>
      <c r="F633" s="19" t="n">
        <v>0.1343939407740515</v>
      </c>
      <c r="G633" s="19" t="n">
        <v>0.9546711766170377</v>
      </c>
      <c r="H633" s="19" t="n">
        <v>0.177601</v>
      </c>
    </row>
    <row r="634" s="17">
      <c r="A634" s="19" t="n">
        <v>6495</v>
      </c>
      <c r="B634" s="19" t="n">
        <v>42752.137228</v>
      </c>
      <c r="C634" s="19" t="n">
        <v>1.9405312</v>
      </c>
      <c r="D634" s="19" t="n">
        <v>0.006189446</v>
      </c>
      <c r="E634" s="19" t="n">
        <v>0.1346359774354229</v>
      </c>
      <c r="F634" s="19" t="n">
        <v>0.1258618301885788</v>
      </c>
      <c r="G634" s="19" t="n">
        <v>0.9217836206331765</v>
      </c>
      <c r="H634" s="19" t="n">
        <v>1.09774</v>
      </c>
    </row>
    <row r="635" s="17">
      <c r="A635" s="19" t="n">
        <v>6500</v>
      </c>
      <c r="B635" s="19" t="n">
        <v>72655.680198</v>
      </c>
      <c r="C635" s="19" t="n">
        <v>1.6317068</v>
      </c>
      <c r="D635" s="19" t="n">
        <v>0.0040275929</v>
      </c>
      <c r="E635" s="19" t="n">
        <v>0.05770135136011274</v>
      </c>
      <c r="F635" s="19" t="n">
        <v>0.1908130435269452</v>
      </c>
      <c r="G635" s="19" t="n">
        <v>0.9368975668904582</v>
      </c>
      <c r="H635" s="19" t="n">
        <v>0.39728</v>
      </c>
    </row>
    <row r="636" s="17">
      <c r="A636" s="19" t="n">
        <v>6505</v>
      </c>
      <c r="B636" s="19" t="n">
        <v>39162.302147</v>
      </c>
      <c r="C636" s="19" t="n">
        <v>1.780694</v>
      </c>
      <c r="D636" s="19" t="n">
        <v>0.0065746832</v>
      </c>
      <c r="E636" s="19" t="n">
        <v>0.07077844976543596</v>
      </c>
      <c r="F636" s="19" t="n">
        <v>0.2213716233637791</v>
      </c>
      <c r="G636" s="19" t="n">
        <v>0.923895518906541</v>
      </c>
      <c r="H636" s="19" t="n">
        <v>0.58435</v>
      </c>
    </row>
    <row r="637" s="17">
      <c r="A637" s="19" t="n">
        <v>6510</v>
      </c>
      <c r="B637" s="19" t="n">
        <v>43692.842928</v>
      </c>
      <c r="C637" s="19" t="n">
        <v>1.996915</v>
      </c>
      <c r="D637" s="19" t="n">
        <v>0.0061805225</v>
      </c>
      <c r="E637" s="19" t="n">
        <v>0.06643280743806729</v>
      </c>
      <c r="F637" s="19" t="n">
        <v>0.1625545963224393</v>
      </c>
      <c r="G637" s="19" t="n">
        <v>0.8842363556478979</v>
      </c>
      <c r="H637" s="19" t="n">
        <v>0.785567</v>
      </c>
    </row>
    <row r="638" s="17">
      <c r="A638" s="19" t="n">
        <v>6515</v>
      </c>
      <c r="B638" s="19" t="n">
        <v>57200.056058</v>
      </c>
      <c r="C638" s="19" t="n">
        <v>1.8047006</v>
      </c>
      <c r="D638" s="19" t="n">
        <v>0.004875086</v>
      </c>
      <c r="E638" s="19" t="n">
        <v>0.07772465539953062</v>
      </c>
      <c r="F638" s="19" t="n">
        <v>0.3353351007172837</v>
      </c>
      <c r="G638" s="19" t="n">
        <v>0.9330761863801009</v>
      </c>
      <c r="H638" s="19" t="n">
        <v>0.564729</v>
      </c>
    </row>
    <row r="639" s="17">
      <c r="A639" s="19" t="n">
        <v>6520</v>
      </c>
      <c r="B639" s="19" t="n">
        <v>45769.578176</v>
      </c>
      <c r="C639" s="19" t="n">
        <v>2.0846508</v>
      </c>
      <c r="D639" s="19" t="n">
        <v>0.0081157729</v>
      </c>
      <c r="E639" s="19" t="n">
        <v>0.07357382159324058</v>
      </c>
      <c r="F639" s="19" t="n">
        <v>0.08871615163613072</v>
      </c>
      <c r="G639" s="19" t="n">
        <v>0.9642393416146737</v>
      </c>
      <c r="H639" s="19" t="n">
        <v>0.287257</v>
      </c>
    </row>
    <row r="640" s="17">
      <c r="A640" s="19" t="n">
        <v>6525</v>
      </c>
      <c r="B640" s="19" t="n">
        <v>52124.71642</v>
      </c>
      <c r="C640" s="19" t="n">
        <v>2.1526225</v>
      </c>
      <c r="D640" s="19" t="n">
        <v>0.0034547202</v>
      </c>
      <c r="E640" s="19" t="n">
        <v>0.1426417453523713</v>
      </c>
      <c r="F640" s="19" t="n">
        <v>0.1883395566152196</v>
      </c>
      <c r="G640" s="19" t="n">
        <v>0.9245171978081254</v>
      </c>
      <c r="H640" s="19" t="n">
        <v>1.059971</v>
      </c>
    </row>
    <row r="641" s="17">
      <c r="A641" s="19" t="n">
        <v>6530</v>
      </c>
      <c r="B641" s="19" t="n">
        <v>73901.866956</v>
      </c>
      <c r="C641" s="19" t="n">
        <v>1.6585556</v>
      </c>
      <c r="D641" s="19" t="n">
        <v>0.0054306762</v>
      </c>
      <c r="E641" s="19" t="n">
        <v>0.09033266516885835</v>
      </c>
      <c r="F641" s="19" t="n">
        <v>0.3006694263380223</v>
      </c>
      <c r="G641" s="19" t="n">
        <v>0.8914796369439717</v>
      </c>
      <c r="H641" s="19" t="n">
        <v>0.997331</v>
      </c>
    </row>
    <row r="642" s="17">
      <c r="A642" s="19" t="n">
        <v>6535</v>
      </c>
      <c r="B642" s="19" t="n">
        <v>42578.136066</v>
      </c>
      <c r="C642" s="19" t="n">
        <v>2.097329</v>
      </c>
      <c r="D642" s="19" t="n">
        <v>0.0088545385</v>
      </c>
      <c r="E642" s="19" t="n">
        <v>0.05628964925621534</v>
      </c>
      <c r="F642" s="19" t="n">
        <v>0.2999184409045503</v>
      </c>
      <c r="G642" s="19" t="n">
        <v>0.974776032327812</v>
      </c>
      <c r="H642" s="19" t="n">
        <v>0.169463</v>
      </c>
    </row>
    <row r="643" s="17">
      <c r="A643" s="19" t="n">
        <v>6540</v>
      </c>
      <c r="B643" s="19" t="n">
        <v>68583.604183</v>
      </c>
      <c r="C643" s="19" t="n">
        <v>1.8311044</v>
      </c>
      <c r="D643" s="19" t="n">
        <v>0.0072124501</v>
      </c>
      <c r="E643" s="19" t="n">
        <v>0.126000197417393</v>
      </c>
      <c r="F643" s="19" t="n">
        <v>0.1971409500233097</v>
      </c>
      <c r="G643" s="19" t="n">
        <v>0.9535977183323887</v>
      </c>
      <c r="H643" s="19" t="n">
        <v>0.602387</v>
      </c>
    </row>
    <row r="644" s="17">
      <c r="A644" s="19" t="n">
        <v>6545</v>
      </c>
      <c r="B644" s="19" t="n">
        <v>69828.981311</v>
      </c>
      <c r="C644" s="19" t="n">
        <v>1.5688567</v>
      </c>
      <c r="D644" s="19" t="n">
        <v>0.0034671176</v>
      </c>
      <c r="E644" s="19" t="n">
        <v>0.06749285796143523</v>
      </c>
      <c r="F644" s="19" t="n">
        <v>0.184326180811229</v>
      </c>
      <c r="G644" s="19" t="n">
        <v>0.9072594376097458</v>
      </c>
      <c r="H644" s="19" t="n">
        <v>0.620998</v>
      </c>
    </row>
    <row r="645" s="17">
      <c r="A645" s="19" t="n">
        <v>6550</v>
      </c>
      <c r="B645" s="19" t="n">
        <v>39271.136363</v>
      </c>
      <c r="C645" s="19" t="n">
        <v>1.8503824</v>
      </c>
      <c r="D645" s="19" t="n">
        <v>0.0091419468</v>
      </c>
      <c r="E645" s="19" t="n">
        <v>0.05542459806601669</v>
      </c>
      <c r="F645" s="19" t="n">
        <v>0.2729003059528592</v>
      </c>
      <c r="G645" s="19" t="n">
        <v>0.9009303185759812</v>
      </c>
      <c r="H645" s="19" t="n">
        <v>0.5622509999999999</v>
      </c>
    </row>
    <row r="646" s="17">
      <c r="A646" s="19" t="n">
        <v>6555</v>
      </c>
      <c r="B646" s="19" t="n">
        <v>60548.147088</v>
      </c>
      <c r="C646" s="19" t="n">
        <v>1.6532332</v>
      </c>
      <c r="D646" s="19" t="n">
        <v>0.004699328</v>
      </c>
      <c r="E646" s="19" t="n">
        <v>0.1583375160803445</v>
      </c>
      <c r="F646" s="19" t="n">
        <v>0.1807936759995876</v>
      </c>
      <c r="G646" s="19" t="n">
        <v>0.9140963618935167</v>
      </c>
      <c r="H646" s="19" t="n">
        <v>1.347726</v>
      </c>
    </row>
    <row r="647" s="17">
      <c r="A647" s="19" t="n">
        <v>6560</v>
      </c>
      <c r="B647" s="19" t="n">
        <v>60050.954161</v>
      </c>
      <c r="C647" s="19" t="n">
        <v>1.7507768</v>
      </c>
      <c r="D647" s="19" t="n">
        <v>0.0061118214</v>
      </c>
      <c r="E647" s="19" t="n">
        <v>0.04249138130990639</v>
      </c>
      <c r="F647" s="19" t="n">
        <v>0.2934298801351321</v>
      </c>
      <c r="G647" s="19" t="n">
        <v>0.8942769162399596</v>
      </c>
      <c r="H647" s="19" t="n">
        <v>0.489287</v>
      </c>
    </row>
    <row r="648" s="17">
      <c r="A648" s="19" t="n">
        <v>6565</v>
      </c>
      <c r="B648" s="19" t="n">
        <v>41324.531256</v>
      </c>
      <c r="C648" s="19" t="n">
        <v>1.9426037</v>
      </c>
      <c r="D648" s="19" t="n">
        <v>0.00645048</v>
      </c>
      <c r="E648" s="19" t="n">
        <v>0.05852485185071155</v>
      </c>
      <c r="F648" s="19" t="n">
        <v>0.1329603936840529</v>
      </c>
      <c r="G648" s="19" t="n">
        <v>0.954412275834727</v>
      </c>
      <c r="H648" s="19" t="n">
        <v>0.305842</v>
      </c>
    </row>
    <row r="649" s="17">
      <c r="A649" s="19" t="n">
        <v>6570</v>
      </c>
      <c r="B649" s="19" t="n">
        <v>49035.162848</v>
      </c>
      <c r="C649" s="19" t="n">
        <v>1.6892961</v>
      </c>
      <c r="D649" s="19" t="n">
        <v>0.0075284702</v>
      </c>
      <c r="E649" s="19" t="n">
        <v>0.09415068803350939</v>
      </c>
      <c r="F649" s="19" t="n">
        <v>0.1263641307438545</v>
      </c>
      <c r="G649" s="19" t="n">
        <v>0.9657469347389757</v>
      </c>
      <c r="H649" s="19" t="n">
        <v>0.325092</v>
      </c>
    </row>
    <row r="650" s="17">
      <c r="A650" s="19" t="n">
        <v>6575</v>
      </c>
      <c r="B650" s="19" t="n">
        <v>36391.920964</v>
      </c>
      <c r="C650" s="19" t="n">
        <v>1.9980819</v>
      </c>
      <c r="D650" s="19" t="n">
        <v>0.0066643857</v>
      </c>
      <c r="E650" s="19" t="n">
        <v>0.03029364797778076</v>
      </c>
      <c r="F650" s="19" t="n">
        <v>0.1129865264811812</v>
      </c>
      <c r="G650" s="19" t="n">
        <v>0.9230783284100813</v>
      </c>
      <c r="H650" s="19" t="n">
        <v>0.244635</v>
      </c>
    </row>
    <row r="651" s="17">
      <c r="A651" s="19" t="n">
        <v>6580</v>
      </c>
      <c r="B651" s="19" t="n">
        <v>35957.000715</v>
      </c>
      <c r="C651" s="19" t="n">
        <v>1.9890874</v>
      </c>
      <c r="D651" s="19" t="n">
        <v>0.0051968356</v>
      </c>
      <c r="E651" s="19" t="n">
        <v>0.05823298597298242</v>
      </c>
      <c r="F651" s="19" t="n">
        <v>0.1171623377475109</v>
      </c>
      <c r="G651" s="19" t="n">
        <v>0.9117583251330617</v>
      </c>
      <c r="H651" s="19" t="n">
        <v>0.548924</v>
      </c>
    </row>
    <row r="652" s="17">
      <c r="A652" s="19" t="n">
        <v>6585</v>
      </c>
      <c r="B652" s="19" t="n">
        <v>46064.117224</v>
      </c>
      <c r="C652" s="19" t="n">
        <v>1.8177939</v>
      </c>
      <c r="D652" s="19" t="n">
        <v>0.0077809876</v>
      </c>
      <c r="E652" s="19" t="n">
        <v>0.1527325727505546</v>
      </c>
      <c r="F652" s="19" t="n">
        <v>0.1717986370542711</v>
      </c>
      <c r="G652" s="19" t="n">
        <v>0.8883614600228712</v>
      </c>
      <c r="H652" s="19" t="n">
        <v>1.749438</v>
      </c>
    </row>
    <row r="653" s="17">
      <c r="A653" s="19" t="n">
        <v>6590</v>
      </c>
      <c r="B653" s="19" t="n">
        <v>71416.11072300001</v>
      </c>
      <c r="C653" s="19" t="n">
        <v>1.6963175</v>
      </c>
      <c r="D653" s="19" t="n">
        <v>0.0038494137</v>
      </c>
      <c r="E653" s="19" t="n">
        <v>0.08547180329191141</v>
      </c>
      <c r="F653" s="19" t="n">
        <v>0.3228784198831911</v>
      </c>
      <c r="G653" s="19" t="n">
        <v>0.9085578310361593</v>
      </c>
      <c r="H653" s="19" t="n">
        <v>0.824369</v>
      </c>
    </row>
    <row r="654" s="17">
      <c r="A654" s="19" t="n">
        <v>6595</v>
      </c>
      <c r="B654" s="19" t="n">
        <v>56424.14165</v>
      </c>
      <c r="C654" s="19" t="n">
        <v>2.1212454</v>
      </c>
      <c r="D654" s="19" t="n">
        <v>0.0091435367</v>
      </c>
      <c r="E654" s="19" t="n">
        <v>0.06690008136566437</v>
      </c>
      <c r="F654" s="19" t="n">
        <v>0.1869162026557412</v>
      </c>
      <c r="G654" s="19" t="n">
        <v>0.9875955913206921</v>
      </c>
      <c r="H654" s="19" t="n">
        <v>0.083272</v>
      </c>
    </row>
    <row r="655" s="17">
      <c r="A655" s="19" t="n">
        <v>6600</v>
      </c>
      <c r="B655" s="19" t="n">
        <v>39962.57818</v>
      </c>
      <c r="C655" s="19" t="n">
        <v>1.6951141</v>
      </c>
      <c r="D655" s="19" t="n">
        <v>0.0053232413</v>
      </c>
      <c r="E655" s="19" t="n">
        <v>0.1006702043666155</v>
      </c>
      <c r="F655" s="19" t="n">
        <v>0.1539215256514135</v>
      </c>
      <c r="G655" s="19" t="n">
        <v>0.9330378715847035</v>
      </c>
      <c r="H655" s="19" t="n">
        <v>0.720961</v>
      </c>
    </row>
    <row r="656" s="17">
      <c r="A656" s="19" t="n">
        <v>6605</v>
      </c>
      <c r="B656" s="19" t="n">
        <v>56128.422116</v>
      </c>
      <c r="C656" s="19" t="n">
        <v>2.1294551</v>
      </c>
      <c r="D656" s="19" t="n">
        <v>0.0049887231</v>
      </c>
      <c r="E656" s="19" t="n">
        <v>0.07739570974178131</v>
      </c>
      <c r="F656" s="19" t="n">
        <v>0.3782799443050989</v>
      </c>
      <c r="G656" s="19" t="n">
        <v>0.9021391157417478</v>
      </c>
      <c r="H656" s="19" t="n">
        <v>0.747988</v>
      </c>
    </row>
    <row r="657" s="17">
      <c r="A657" s="19" t="n">
        <v>6610</v>
      </c>
      <c r="B657" s="19" t="n">
        <v>45190.116362</v>
      </c>
      <c r="C657" s="19" t="n">
        <v>2.0972185</v>
      </c>
      <c r="D657" s="19" t="n">
        <v>0.008591373899999999</v>
      </c>
      <c r="E657" s="19" t="n">
        <v>0.04834060121991714</v>
      </c>
      <c r="F657" s="19" t="n">
        <v>0.100340845255023</v>
      </c>
      <c r="G657" s="19" t="n">
        <v>0.9946507914038997</v>
      </c>
      <c r="H657" s="19" t="n">
        <v>0.044877</v>
      </c>
    </row>
    <row r="658" s="17">
      <c r="A658" s="19" t="n">
        <v>6615</v>
      </c>
      <c r="B658" s="19" t="n">
        <v>43494.980912</v>
      </c>
      <c r="C658" s="19" t="n">
        <v>1.7171454</v>
      </c>
      <c r="D658" s="19" t="n">
        <v>0.0055082533</v>
      </c>
      <c r="E658" s="19" t="n">
        <v>0.09933415887980743</v>
      </c>
      <c r="F658" s="19" t="n">
        <v>0.1350378593189514</v>
      </c>
      <c r="G658" s="19" t="n">
        <v>0.9001916129063399</v>
      </c>
      <c r="H658" s="19" t="n">
        <v>1.02519</v>
      </c>
    </row>
    <row r="659" s="17">
      <c r="A659" s="19" t="n">
        <v>6620</v>
      </c>
      <c r="B659" s="19" t="n">
        <v>65229.43508</v>
      </c>
      <c r="C659" s="19" t="n">
        <v>1.7876812</v>
      </c>
      <c r="D659" s="19" t="n">
        <v>0.0029085742</v>
      </c>
      <c r="E659" s="19" t="n">
        <v>0.05189081292812412</v>
      </c>
      <c r="F659" s="19" t="n">
        <v>0.308277367833923</v>
      </c>
      <c r="G659" s="19" t="n">
        <v>0.9328519849840782</v>
      </c>
      <c r="H659" s="19" t="n">
        <v>0.394436</v>
      </c>
    </row>
    <row r="660" s="17">
      <c r="A660" s="19" t="n">
        <v>6625</v>
      </c>
      <c r="B660" s="19" t="n">
        <v>41899.586099</v>
      </c>
      <c r="C660" s="19" t="n">
        <v>1.7551934</v>
      </c>
      <c r="D660" s="19" t="n">
        <v>0.0071751411</v>
      </c>
      <c r="E660" s="19" t="n">
        <v>0.05454871112124347</v>
      </c>
      <c r="F660" s="19" t="n">
        <v>0.1756825637200589</v>
      </c>
      <c r="G660" s="19" t="n">
        <v>0.9113479662976242</v>
      </c>
      <c r="H660" s="19" t="n">
        <v>0.470587</v>
      </c>
    </row>
    <row r="661" s="17">
      <c r="A661" s="19" t="n">
        <v>6630</v>
      </c>
      <c r="B661" s="19" t="n">
        <v>56433.729914</v>
      </c>
      <c r="C661" s="19" t="n">
        <v>2.0027864</v>
      </c>
      <c r="D661" s="19" t="n">
        <v>0.0043746169</v>
      </c>
      <c r="E661" s="19" t="n">
        <v>0.09149683255895122</v>
      </c>
      <c r="F661" s="19" t="n">
        <v>0.2625713151389244</v>
      </c>
      <c r="G661" s="19" t="n">
        <v>0.9548823373826532</v>
      </c>
      <c r="H661" s="19" t="n">
        <v>0.44014</v>
      </c>
    </row>
    <row r="662" s="17">
      <c r="A662" s="19" t="n">
        <v>6635</v>
      </c>
      <c r="B662" s="19" t="n">
        <v>56744.779797</v>
      </c>
      <c r="C662" s="19" t="n">
        <v>2.4701611</v>
      </c>
      <c r="D662" s="19" t="n">
        <v>0.002768555</v>
      </c>
      <c r="E662" s="19" t="n">
        <v>0.05571429294454573</v>
      </c>
      <c r="F662" s="19" t="n">
        <v>0.2954755391147572</v>
      </c>
      <c r="G662" s="19" t="n">
        <v>0.9762960863594412</v>
      </c>
      <c r="H662" s="19" t="n">
        <v>0.139401</v>
      </c>
    </row>
    <row r="663" s="17">
      <c r="A663" s="19" t="n">
        <v>6640</v>
      </c>
      <c r="B663" s="19" t="n">
        <v>47524.906555</v>
      </c>
      <c r="C663" s="19" t="n">
        <v>1.8824493</v>
      </c>
      <c r="D663" s="19" t="n">
        <v>0.0077680535</v>
      </c>
      <c r="E663" s="19" t="n">
        <v>0.0326335925967542</v>
      </c>
      <c r="F663" s="19" t="n">
        <v>0.1127672790431975</v>
      </c>
      <c r="G663" s="19" t="n">
        <v>0.9833953445236037</v>
      </c>
      <c r="H663" s="19" t="n">
        <v>0.073924</v>
      </c>
    </row>
    <row r="664" s="17">
      <c r="A664" s="19" t="n">
        <v>6645</v>
      </c>
      <c r="B664" s="19" t="n">
        <v>46304.83413</v>
      </c>
      <c r="C664" s="19" t="n">
        <v>2.0124325</v>
      </c>
      <c r="D664" s="19" t="n">
        <v>0.0035066005</v>
      </c>
      <c r="E664" s="19" t="n">
        <v>0.1112582999100554</v>
      </c>
      <c r="F664" s="19" t="n">
        <v>0.2981642582091957</v>
      </c>
      <c r="G664" s="19" t="n">
        <v>0.9120898271870467</v>
      </c>
      <c r="H664" s="19" t="n">
        <v>0.9706</v>
      </c>
    </row>
    <row r="665" s="17">
      <c r="A665" s="19" t="n">
        <v>6650</v>
      </c>
      <c r="B665" s="19" t="n">
        <v>60898.161692</v>
      </c>
      <c r="C665" s="19" t="n">
        <v>1.8196557</v>
      </c>
      <c r="D665" s="19" t="n">
        <v>0.0030182568</v>
      </c>
      <c r="E665" s="19" t="n">
        <v>0.09999888747745303</v>
      </c>
      <c r="F665" s="19" t="n">
        <v>0.335515743963664</v>
      </c>
      <c r="G665" s="19" t="n">
        <v>0.9055766415950153</v>
      </c>
      <c r="H665" s="19" t="n">
        <v>0.972722</v>
      </c>
    </row>
    <row r="666" s="17">
      <c r="A666" s="19" t="n">
        <v>6655</v>
      </c>
      <c r="B666" s="19" t="n">
        <v>50735.579975</v>
      </c>
      <c r="C666" s="19" t="n">
        <v>1.8573448</v>
      </c>
      <c r="D666" s="19" t="n">
        <v>0.0074454301</v>
      </c>
      <c r="E666" s="19" t="n">
        <v>0.03008291718063154</v>
      </c>
      <c r="F666" s="19" t="n">
        <v>0.04883880887158253</v>
      </c>
      <c r="G666" s="19" t="n">
        <v>1</v>
      </c>
      <c r="H666" s="19" t="n">
        <v>0.040475</v>
      </c>
    </row>
    <row r="667" s="17">
      <c r="A667" s="19" t="n">
        <v>6660</v>
      </c>
      <c r="B667" s="19" t="n">
        <v>53684.388617</v>
      </c>
      <c r="C667" s="19" t="n">
        <v>1.9719719</v>
      </c>
      <c r="D667" s="19" t="n">
        <v>0.0055282044</v>
      </c>
      <c r="E667" s="19" t="n">
        <v>0.1398225729694844</v>
      </c>
      <c r="F667" s="19" t="n">
        <v>0.2989551620849314</v>
      </c>
      <c r="G667" s="19" t="n">
        <v>0.9128286832233372</v>
      </c>
      <c r="H667" s="19" t="n">
        <v>1.265603</v>
      </c>
    </row>
    <row r="668" s="17">
      <c r="A668" s="19" t="n">
        <v>6665</v>
      </c>
      <c r="B668" s="19" t="n">
        <v>65371.722648</v>
      </c>
      <c r="C668" s="19" t="n">
        <v>2.379958</v>
      </c>
      <c r="D668" s="19" t="n">
        <v>0.0057550791</v>
      </c>
      <c r="E668" s="19" t="n">
        <v>0.06578963649355017</v>
      </c>
      <c r="F668" s="19" t="n">
        <v>0.3031697997102898</v>
      </c>
      <c r="G668" s="19" t="n">
        <v>0.9052203845955713</v>
      </c>
      <c r="H668" s="19" t="n">
        <v>0.629522</v>
      </c>
    </row>
    <row r="669" s="17">
      <c r="A669" s="19" t="n">
        <v>6670</v>
      </c>
      <c r="B669" s="19" t="n">
        <v>32448.68759</v>
      </c>
      <c r="C669" s="19" t="n">
        <v>1.942394</v>
      </c>
      <c r="D669" s="19" t="n">
        <v>0.009330628800000001</v>
      </c>
      <c r="E669" s="19" t="n">
        <v>0.04253555429211889</v>
      </c>
      <c r="F669" s="19" t="n">
        <v>0.07839028296649177</v>
      </c>
      <c r="G669" s="19" t="n">
        <v>1</v>
      </c>
      <c r="H669" s="19" t="n">
        <v>0.039048</v>
      </c>
    </row>
    <row r="670" s="17">
      <c r="A670" s="19" t="n">
        <v>6675</v>
      </c>
      <c r="B670" s="19" t="n">
        <v>59329.963964</v>
      </c>
      <c r="C670" s="19" t="n">
        <v>2.0584313</v>
      </c>
      <c r="D670" s="19" t="n">
        <v>0.0056971465</v>
      </c>
      <c r="E670" s="19" t="n">
        <v>0.1167773038275173</v>
      </c>
      <c r="F670" s="19" t="n">
        <v>0.08072062845021089</v>
      </c>
      <c r="G670" s="19" t="n">
        <v>0.8948413806769908</v>
      </c>
      <c r="H670" s="19" t="n">
        <v>1.275793</v>
      </c>
    </row>
    <row r="671" s="17">
      <c r="A671" s="19" t="n">
        <v>6680</v>
      </c>
      <c r="B671" s="19" t="n">
        <v>64461.626599</v>
      </c>
      <c r="C671" s="19" t="n">
        <v>1.717077</v>
      </c>
      <c r="D671" s="19" t="n">
        <v>0.0038188833</v>
      </c>
      <c r="E671" s="19" t="n">
        <v>0.08234259158178964</v>
      </c>
      <c r="F671" s="19" t="n">
        <v>0.2796098814444757</v>
      </c>
      <c r="G671" s="19" t="n">
        <v>0.8726589963785716</v>
      </c>
      <c r="H671" s="19" t="n">
        <v>1.041296</v>
      </c>
    </row>
    <row r="672" s="17">
      <c r="A672" s="19" t="n">
        <v>6685</v>
      </c>
      <c r="B672" s="19" t="n">
        <v>36973.681505</v>
      </c>
      <c r="C672" s="19" t="n">
        <v>2.1685146</v>
      </c>
      <c r="D672" s="19" t="n">
        <v>0.007974947200000001</v>
      </c>
      <c r="E672" s="19" t="n">
        <v>0.04788206488356921</v>
      </c>
      <c r="F672" s="19" t="n">
        <v>0.221810996265292</v>
      </c>
      <c r="G672" s="19" t="n">
        <v>0.9497728719507595</v>
      </c>
      <c r="H672" s="19" t="n">
        <v>0.240116</v>
      </c>
    </row>
    <row r="673" s="17">
      <c r="A673" s="19" t="n">
        <v>6690</v>
      </c>
      <c r="B673" s="19" t="n">
        <v>45722.377421</v>
      </c>
      <c r="C673" s="19" t="n">
        <v>2.2162098</v>
      </c>
      <c r="D673" s="19" t="n">
        <v>0.0042891217</v>
      </c>
      <c r="E673" s="19" t="n">
        <v>0.1241267527284091</v>
      </c>
      <c r="F673" s="19" t="n">
        <v>0.2113301635913545</v>
      </c>
      <c r="G673" s="19" t="n">
        <v>0.87687377660231</v>
      </c>
      <c r="H673" s="19" t="n">
        <v>1.518099</v>
      </c>
    </row>
    <row r="674" s="17">
      <c r="A674" s="19" t="n">
        <v>6695</v>
      </c>
      <c r="B674" s="19" t="n">
        <v>73419.089016</v>
      </c>
      <c r="C674" s="19" t="n">
        <v>1.5446314</v>
      </c>
      <c r="D674" s="19" t="n">
        <v>0.0049576235</v>
      </c>
      <c r="E674" s="19" t="n">
        <v>0.09782610549497589</v>
      </c>
      <c r="F674" s="19" t="n">
        <v>0.3675474987693025</v>
      </c>
      <c r="G674" s="19" t="n">
        <v>0.9044107520198786</v>
      </c>
      <c r="H674" s="19" t="n">
        <v>0.950569</v>
      </c>
    </row>
    <row r="675" s="17">
      <c r="A675" s="19" t="n">
        <v>6700</v>
      </c>
      <c r="B675" s="19" t="n">
        <v>38930.615322</v>
      </c>
      <c r="C675" s="19" t="n">
        <v>1.873589</v>
      </c>
      <c r="D675" s="19" t="n">
        <v>0.008863681599999999</v>
      </c>
      <c r="E675" s="19" t="n">
        <v>0.04555685596258556</v>
      </c>
      <c r="F675" s="19" t="n">
        <v>0.1090705824693749</v>
      </c>
      <c r="G675" s="19" t="n">
        <v>0.9212647410060812</v>
      </c>
      <c r="H675" s="19" t="n">
        <v>0.400612</v>
      </c>
    </row>
    <row r="676" s="17">
      <c r="A676" s="19" t="n">
        <v>6705</v>
      </c>
      <c r="B676" s="19" t="n">
        <v>52842.32889</v>
      </c>
      <c r="C676" s="19" t="n">
        <v>1.9993128</v>
      </c>
      <c r="D676" s="19" t="n">
        <v>0.0050568607</v>
      </c>
      <c r="E676" s="19" t="n">
        <v>0.05146685336982262</v>
      </c>
      <c r="F676" s="19" t="n">
        <v>0.08812339387530709</v>
      </c>
      <c r="G676" s="19" t="n">
        <v>0.9665634791851834</v>
      </c>
      <c r="H676" s="19" t="n">
        <v>0.203612</v>
      </c>
    </row>
    <row r="677" s="17">
      <c r="A677" s="19" t="n">
        <v>6710</v>
      </c>
      <c r="B677" s="19" t="n">
        <v>72078.91489299999</v>
      </c>
      <c r="C677" s="19" t="n">
        <v>2.1496775</v>
      </c>
      <c r="D677" s="19" t="n">
        <v>0.0060259611</v>
      </c>
      <c r="E677" s="19" t="n">
        <v>0.1080712374339694</v>
      </c>
      <c r="F677" s="19" t="n">
        <v>0.2307693757944395</v>
      </c>
      <c r="G677" s="19" t="n">
        <v>0.9365308770900302</v>
      </c>
      <c r="H677" s="19" t="n">
        <v>0.699367</v>
      </c>
    </row>
    <row r="678" s="17">
      <c r="A678" s="19" t="n">
        <v>6715</v>
      </c>
      <c r="B678" s="19" t="n">
        <v>53426.047816</v>
      </c>
      <c r="C678" s="19" t="n">
        <v>1.750166</v>
      </c>
      <c r="D678" s="19" t="n">
        <v>0.0053206566</v>
      </c>
      <c r="E678" s="19" t="n">
        <v>0.03221657029320375</v>
      </c>
      <c r="F678" s="19" t="n">
        <v>0.1488733917371</v>
      </c>
      <c r="G678" s="19" t="n">
        <v>0.9309927424563991</v>
      </c>
      <c r="H678" s="19" t="n">
        <v>0.243176</v>
      </c>
    </row>
    <row r="679" s="17">
      <c r="A679" s="19" t="n">
        <v>6720</v>
      </c>
      <c r="B679" s="19" t="n">
        <v>69083.178929</v>
      </c>
      <c r="C679" s="19" t="n">
        <v>1.8125317</v>
      </c>
      <c r="D679" s="19" t="n">
        <v>0.0066570125</v>
      </c>
      <c r="E679" s="19" t="n">
        <v>0.1540564656836658</v>
      </c>
      <c r="F679" s="19" t="n">
        <v>0.1079023756849905</v>
      </c>
      <c r="G679" s="19" t="n">
        <v>0.98881946478984</v>
      </c>
      <c r="H679" s="19" t="n">
        <v>0.152583</v>
      </c>
    </row>
    <row r="680" s="17">
      <c r="A680" s="19" t="n">
        <v>6725</v>
      </c>
      <c r="B680" s="19" t="n">
        <v>61122.221976</v>
      </c>
      <c r="C680" s="19" t="n">
        <v>1.5895004</v>
      </c>
      <c r="D680" s="19" t="n">
        <v>0.0052574525</v>
      </c>
      <c r="E680" s="19" t="n">
        <v>0.09281635453669188</v>
      </c>
      <c r="F680" s="19" t="n">
        <v>0.2749986138993795</v>
      </c>
      <c r="G680" s="19" t="n">
        <v>0.8440151291582394</v>
      </c>
      <c r="H680" s="19" t="n">
        <v>1.45529</v>
      </c>
    </row>
    <row r="681" s="17">
      <c r="A681" s="19" t="n">
        <v>6730</v>
      </c>
      <c r="B681" s="19" t="n">
        <v>53592.369483</v>
      </c>
      <c r="C681" s="19" t="n">
        <v>2.0047023</v>
      </c>
      <c r="D681" s="19" t="n">
        <v>0.0055141683</v>
      </c>
      <c r="E681" s="19" t="n">
        <v>0.05324653530474485</v>
      </c>
      <c r="F681" s="19" t="n">
        <v>0.1059340523620354</v>
      </c>
      <c r="G681" s="19" t="n">
        <v>0.9337149771945472</v>
      </c>
      <c r="H681" s="19" t="n">
        <v>0.373547</v>
      </c>
    </row>
    <row r="682" s="17">
      <c r="A682" s="19" t="n">
        <v>6735</v>
      </c>
      <c r="B682" s="19" t="n">
        <v>37984.836813</v>
      </c>
      <c r="C682" s="19" t="n">
        <v>1.9420436</v>
      </c>
      <c r="D682" s="19" t="n">
        <v>0.0040148815</v>
      </c>
      <c r="E682" s="19" t="n">
        <v>0.1115485216523318</v>
      </c>
      <c r="F682" s="19" t="n">
        <v>0.2143635704009453</v>
      </c>
      <c r="G682" s="19" t="n">
        <v>0.9346668165679282</v>
      </c>
      <c r="H682" s="19" t="n">
        <v>0.743841</v>
      </c>
    </row>
    <row r="683" s="17">
      <c r="A683" s="19" t="n">
        <v>6740</v>
      </c>
      <c r="B683" s="19" t="n">
        <v>69137.92585299999</v>
      </c>
      <c r="C683" s="19" t="n">
        <v>2.368444</v>
      </c>
      <c r="D683" s="19" t="n">
        <v>0.0053574846</v>
      </c>
      <c r="E683" s="19" t="n">
        <v>0.04074902928011329</v>
      </c>
      <c r="F683" s="19" t="n">
        <v>0.2444382333026216</v>
      </c>
      <c r="G683" s="19" t="n">
        <v>0.9349768909177353</v>
      </c>
      <c r="H683" s="19" t="n">
        <v>0.300161</v>
      </c>
    </row>
    <row r="684" s="17">
      <c r="A684" s="19" t="n">
        <v>6745</v>
      </c>
      <c r="B684" s="19" t="n">
        <v>40226.516796</v>
      </c>
      <c r="C684" s="19" t="n">
        <v>1.9554903</v>
      </c>
      <c r="D684" s="19" t="n">
        <v>0.0069462901</v>
      </c>
      <c r="E684" s="19" t="n">
        <v>0.0527709514829567</v>
      </c>
      <c r="F684" s="19" t="n">
        <v>0.0960409118056164</v>
      </c>
      <c r="G684" s="19" t="n">
        <v>0.9787755652968492</v>
      </c>
      <c r="H684" s="19" t="n">
        <v>0.127842</v>
      </c>
    </row>
    <row r="685" s="17">
      <c r="A685" s="19" t="n">
        <v>6750</v>
      </c>
      <c r="B685" s="19" t="n">
        <v>66440.900541</v>
      </c>
      <c r="C685" s="19" t="n">
        <v>1.8286234</v>
      </c>
      <c r="D685" s="19" t="n">
        <v>0.0058367567</v>
      </c>
      <c r="E685" s="19" t="n">
        <v>0.1405841613206787</v>
      </c>
      <c r="F685" s="19" t="n">
        <v>0.101493140978879</v>
      </c>
      <c r="G685" s="19" t="n">
        <v>0.9156368534366099</v>
      </c>
      <c r="H685" s="19" t="n">
        <v>1.19504</v>
      </c>
    </row>
    <row r="686" s="17">
      <c r="A686" s="19" t="n">
        <v>6755</v>
      </c>
      <c r="B686" s="19" t="n">
        <v>60931.0149</v>
      </c>
      <c r="C686" s="19" t="n">
        <v>2.3492799</v>
      </c>
      <c r="D686" s="19" t="n">
        <v>0.0060793665</v>
      </c>
      <c r="E686" s="19" t="n">
        <v>0.1194659166166817</v>
      </c>
      <c r="F686" s="19" t="n">
        <v>0.3556300616872353</v>
      </c>
      <c r="G686" s="19" t="n">
        <v>0.9058647316306599</v>
      </c>
      <c r="H686" s="19" t="n">
        <v>1.171686</v>
      </c>
    </row>
    <row r="687" s="17">
      <c r="A687" s="19" t="n">
        <v>6760</v>
      </c>
      <c r="B687" s="19" t="n">
        <v>45552.103738</v>
      </c>
      <c r="C687" s="19" t="n">
        <v>1.826632</v>
      </c>
      <c r="D687" s="19" t="n">
        <v>0.009226374000000001</v>
      </c>
      <c r="E687" s="19" t="n">
        <v>0.03327810057514533</v>
      </c>
      <c r="F687" s="19" t="n">
        <v>0.2170786219792957</v>
      </c>
      <c r="G687" s="19" t="n">
        <v>0.9114817466235068</v>
      </c>
      <c r="H687" s="19" t="n">
        <v>0.310868</v>
      </c>
    </row>
    <row r="688" s="17">
      <c r="A688" s="19" t="n">
        <v>6765</v>
      </c>
      <c r="B688" s="19" t="n">
        <v>55238.392725</v>
      </c>
      <c r="C688" s="19" t="n">
        <v>1.845581</v>
      </c>
      <c r="D688" s="19" t="n">
        <v>0.0066589167</v>
      </c>
      <c r="E688" s="19" t="n">
        <v>0.1080544588178743</v>
      </c>
      <c r="F688" s="19" t="n">
        <v>0.2340528862973293</v>
      </c>
      <c r="G688" s="19" t="n">
        <v>0.9307662690071599</v>
      </c>
      <c r="H688" s="19" t="n">
        <v>0.757764</v>
      </c>
    </row>
    <row r="689" s="17">
      <c r="A689" s="19" t="n">
        <v>6770</v>
      </c>
      <c r="B689" s="19" t="n">
        <v>52857.872058</v>
      </c>
      <c r="C689" s="19" t="n">
        <v>2.0256143</v>
      </c>
      <c r="D689" s="19" t="n">
        <v>0.0064593444</v>
      </c>
      <c r="E689" s="19" t="n">
        <v>0.07180286531160926</v>
      </c>
      <c r="F689" s="19" t="n">
        <v>0.03315949875685007</v>
      </c>
      <c r="G689" s="19" t="n">
        <v>0.9992261556353916</v>
      </c>
      <c r="H689" s="19" t="n">
        <v>0.009933000000000001</v>
      </c>
    </row>
    <row r="690" s="17">
      <c r="A690" s="19" t="n">
        <v>6775</v>
      </c>
      <c r="B690" s="19" t="n">
        <v>52281.232303</v>
      </c>
      <c r="C690" s="19" t="n">
        <v>1.8350768</v>
      </c>
      <c r="D690" s="19" t="n">
        <v>0.0054058953</v>
      </c>
      <c r="E690" s="19" t="n">
        <v>0.06927816072561241</v>
      </c>
      <c r="F690" s="19" t="n">
        <v>0.1657475077155933</v>
      </c>
      <c r="G690" s="19" t="n">
        <v>0.9542973314447019</v>
      </c>
      <c r="H690" s="19" t="n">
        <v>0.333654</v>
      </c>
    </row>
    <row r="691" s="17">
      <c r="A691" s="19" t="n">
        <v>6780</v>
      </c>
      <c r="B691" s="19" t="n">
        <v>68545.157324</v>
      </c>
      <c r="C691" s="19" t="n">
        <v>1.9129574</v>
      </c>
      <c r="D691" s="19" t="n">
        <v>0.0060632235</v>
      </c>
      <c r="E691" s="19" t="n">
        <v>0.117339982684384</v>
      </c>
      <c r="F691" s="19" t="n">
        <v>0.2090955111273055</v>
      </c>
      <c r="G691" s="19" t="n">
        <v>0.930493560713592</v>
      </c>
      <c r="H691" s="19" t="n">
        <v>0.848261</v>
      </c>
    </row>
    <row r="692" s="17">
      <c r="A692" s="19" t="n">
        <v>6785</v>
      </c>
      <c r="B692" s="19" t="n">
        <v>71556.620704</v>
      </c>
      <c r="C692" s="19" t="n">
        <v>1.7636132</v>
      </c>
      <c r="D692" s="19" t="n">
        <v>0.003312259</v>
      </c>
      <c r="E692" s="19" t="n">
        <v>0.07038802432201455</v>
      </c>
      <c r="F692" s="19" t="n">
        <v>0.2580044135744291</v>
      </c>
      <c r="G692" s="19" t="n">
        <v>0.9595709346814534</v>
      </c>
      <c r="H692" s="19" t="n">
        <v>0.306341</v>
      </c>
    </row>
    <row r="693" s="17">
      <c r="A693" s="19" t="n">
        <v>6790</v>
      </c>
      <c r="B693" s="19" t="n">
        <v>48298.001016</v>
      </c>
      <c r="C693" s="19" t="n">
        <v>1.9003927</v>
      </c>
      <c r="D693" s="19" t="n">
        <v>0.0061015961</v>
      </c>
      <c r="E693" s="19" t="n">
        <v>0.04363141372684497</v>
      </c>
      <c r="F693" s="19" t="n">
        <v>0.1338569888632124</v>
      </c>
      <c r="G693" s="19" t="n">
        <v>0.9614590675523355</v>
      </c>
      <c r="H693" s="19" t="n">
        <v>0.171302</v>
      </c>
    </row>
    <row r="694" s="17">
      <c r="A694" s="19" t="n">
        <v>6795</v>
      </c>
      <c r="B694" s="19" t="n">
        <v>67886.051353</v>
      </c>
      <c r="C694" s="19" t="n">
        <v>1.9067971</v>
      </c>
      <c r="D694" s="19" t="n">
        <v>0.0035158874</v>
      </c>
      <c r="E694" s="19" t="n">
        <v>0.1592875558648435</v>
      </c>
      <c r="F694" s="19" t="n">
        <v>0.1284714966546393</v>
      </c>
      <c r="G694" s="19" t="n">
        <v>0.9355232727288678</v>
      </c>
      <c r="H694" s="19" t="n">
        <v>1.071355</v>
      </c>
    </row>
    <row r="695" s="17">
      <c r="A695" s="19" t="n">
        <v>6800</v>
      </c>
      <c r="B695" s="19" t="n">
        <v>55860.952695</v>
      </c>
      <c r="C695" s="19" t="n">
        <v>2.1681547</v>
      </c>
      <c r="D695" s="19" t="n">
        <v>0.0028310509</v>
      </c>
      <c r="E695" s="19" t="n">
        <v>0.1169818603729535</v>
      </c>
      <c r="F695" s="19" t="n">
        <v>0.3433264003552394</v>
      </c>
      <c r="G695" s="19" t="n">
        <v>0.8897847492428399</v>
      </c>
      <c r="H695" s="19" t="n">
        <v>1.302441</v>
      </c>
    </row>
    <row r="696" s="17">
      <c r="A696" s="19" t="n">
        <v>6805</v>
      </c>
      <c r="B696" s="19" t="n">
        <v>43660.413333</v>
      </c>
      <c r="C696" s="19" t="n">
        <v>2.0719437</v>
      </c>
      <c r="D696" s="19" t="n">
        <v>0.0051805065</v>
      </c>
      <c r="E696" s="19" t="n">
        <v>0.04582695426582972</v>
      </c>
      <c r="F696" s="19" t="n">
        <v>0.2989248603201999</v>
      </c>
      <c r="G696" s="19" t="n">
        <v>0.9381334937555997</v>
      </c>
      <c r="H696" s="19" t="n">
        <v>0.284382</v>
      </c>
    </row>
    <row r="697" s="17">
      <c r="A697" s="19" t="n">
        <v>6810</v>
      </c>
      <c r="B697" s="19" t="n">
        <v>49451.439658</v>
      </c>
      <c r="C697" s="19" t="n">
        <v>1.9766063</v>
      </c>
      <c r="D697" s="19" t="n">
        <v>0.0035240865</v>
      </c>
      <c r="E697" s="19" t="n">
        <v>0.1315984530556459</v>
      </c>
      <c r="F697" s="19" t="n">
        <v>0.2716885079367109</v>
      </c>
      <c r="G697" s="19" t="n">
        <v>0.9176036834407948</v>
      </c>
      <c r="H697" s="19" t="n">
        <v>1.065287</v>
      </c>
    </row>
    <row r="698" s="17">
      <c r="A698" s="19" t="n">
        <v>6815</v>
      </c>
      <c r="B698" s="19" t="n">
        <v>69877.16456799999</v>
      </c>
      <c r="C698" s="19" t="n">
        <v>1.7072124</v>
      </c>
      <c r="D698" s="19" t="n">
        <v>0.0054462285</v>
      </c>
      <c r="E698" s="19" t="n">
        <v>0.08797066386575156</v>
      </c>
      <c r="F698" s="19" t="n">
        <v>0.2132661175779379</v>
      </c>
      <c r="G698" s="19" t="n">
        <v>0.9466099621673265</v>
      </c>
      <c r="H698" s="19" t="n">
        <v>0.5045770000000001</v>
      </c>
    </row>
    <row r="699" s="17">
      <c r="A699" s="19" t="n">
        <v>6820</v>
      </c>
      <c r="B699" s="19" t="n">
        <v>43537.495567</v>
      </c>
      <c r="C699" s="19" t="n">
        <v>1.7994439</v>
      </c>
      <c r="D699" s="19" t="n">
        <v>0.008716838500000001</v>
      </c>
      <c r="E699" s="19" t="n">
        <v>0.05108948171406942</v>
      </c>
      <c r="F699" s="19" t="n">
        <v>0.1631134879508069</v>
      </c>
      <c r="G699" s="19" t="n">
        <v>0.9604653853760926</v>
      </c>
      <c r="H699" s="19" t="n">
        <v>0.236821</v>
      </c>
    </row>
    <row r="700" s="17">
      <c r="A700" s="19" t="n">
        <v>6825</v>
      </c>
      <c r="B700" s="19" t="n">
        <v>42491.485013</v>
      </c>
      <c r="C700" s="19" t="n">
        <v>1.7909147</v>
      </c>
      <c r="D700" s="19" t="n">
        <v>0.0061930912</v>
      </c>
      <c r="E700" s="19" t="n">
        <v>0.133864321907875</v>
      </c>
      <c r="F700" s="19" t="n">
        <v>0.09916170342520333</v>
      </c>
      <c r="G700" s="19" t="n">
        <v>0.9135592642578175</v>
      </c>
      <c r="H700" s="19" t="n">
        <v>1.163964</v>
      </c>
    </row>
    <row r="701" s="17">
      <c r="A701" s="19" t="n">
        <v>6830</v>
      </c>
      <c r="B701" s="19" t="n">
        <v>74388.05317100001</v>
      </c>
      <c r="C701" s="19" t="n">
        <v>1.7901744</v>
      </c>
      <c r="D701" s="19" t="n">
        <v>0.0063637313</v>
      </c>
      <c r="E701" s="19" t="n">
        <v>0.09726703867113523</v>
      </c>
      <c r="F701" s="19" t="n">
        <v>0.2856748177752053</v>
      </c>
      <c r="G701" s="19" t="n">
        <v>0.8860969698896985</v>
      </c>
      <c r="H701" s="19" t="n">
        <v>1.10213</v>
      </c>
    </row>
    <row r="702" s="17">
      <c r="A702" s="19" t="n">
        <v>6835</v>
      </c>
      <c r="B702" s="19" t="n">
        <v>36672.758693</v>
      </c>
      <c r="C702" s="19" t="n">
        <v>1.8633053</v>
      </c>
      <c r="D702" s="19" t="n">
        <v>0.007938048200000001</v>
      </c>
      <c r="E702" s="19" t="n">
        <v>0.03940148856400609</v>
      </c>
      <c r="F702" s="19" t="n">
        <v>0.02631501640577405</v>
      </c>
      <c r="G702" s="19" t="n">
        <v>0.9487726521679382</v>
      </c>
      <c r="H702" s="19" t="n">
        <v>0.186228</v>
      </c>
    </row>
    <row r="703" s="17">
      <c r="A703" s="19" t="n">
        <v>6840</v>
      </c>
      <c r="B703" s="19" t="n">
        <v>38334.470755</v>
      </c>
      <c r="C703" s="19" t="n">
        <v>1.673057</v>
      </c>
      <c r="D703" s="19" t="n">
        <v>0.0077735027</v>
      </c>
      <c r="E703" s="19" t="n">
        <v>0.1066711335071234</v>
      </c>
      <c r="F703" s="19" t="n">
        <v>0.2301886765570912</v>
      </c>
      <c r="G703" s="19" t="n">
        <v>0.9032847899986363</v>
      </c>
      <c r="H703" s="19" t="n">
        <v>1.043213</v>
      </c>
    </row>
    <row r="704" s="17">
      <c r="A704" s="19" t="n">
        <v>6845</v>
      </c>
      <c r="B704" s="19" t="n">
        <v>57944.041588</v>
      </c>
      <c r="C704" s="19" t="n">
        <v>1.5443223</v>
      </c>
      <c r="D704" s="19" t="n">
        <v>0.0049452491</v>
      </c>
      <c r="E704" s="19" t="n">
        <v>0.1165638830264271</v>
      </c>
      <c r="F704" s="19" t="n">
        <v>0.2628890565387511</v>
      </c>
      <c r="G704" s="19" t="n">
        <v>0.9499369247205023</v>
      </c>
      <c r="H704" s="19" t="n">
        <v>0.626584</v>
      </c>
    </row>
    <row r="705" s="17">
      <c r="A705" s="19" t="n">
        <v>6850</v>
      </c>
      <c r="B705" s="19" t="n">
        <v>40962.524298</v>
      </c>
      <c r="C705" s="19" t="n">
        <v>2.1406578</v>
      </c>
      <c r="D705" s="19" t="n">
        <v>0.0066287949</v>
      </c>
      <c r="E705" s="19" t="n">
        <v>0.06802111361137578</v>
      </c>
      <c r="F705" s="19" t="n">
        <v>0.2226775067195464</v>
      </c>
      <c r="G705" s="19" t="n">
        <v>0.9181356983782841</v>
      </c>
      <c r="H705" s="19" t="n">
        <v>0.59712</v>
      </c>
    </row>
    <row r="706" s="17">
      <c r="A706" s="19" t="n">
        <v>6855</v>
      </c>
      <c r="B706" s="19" t="n">
        <v>40701.305102</v>
      </c>
      <c r="C706" s="19" t="n">
        <v>2.0975695</v>
      </c>
      <c r="D706" s="19" t="n">
        <v>0.0062729102</v>
      </c>
      <c r="E706" s="19" t="n">
        <v>0.1209342570736088</v>
      </c>
      <c r="F706" s="19" t="n">
        <v>0.129942137772186</v>
      </c>
      <c r="G706" s="19" t="n">
        <v>0.9653622490298184</v>
      </c>
      <c r="H706" s="19" t="n">
        <v>0.404163</v>
      </c>
    </row>
    <row r="707" s="17">
      <c r="A707" s="19" t="n">
        <v>6860</v>
      </c>
      <c r="B707" s="19" t="n">
        <v>74014.341264</v>
      </c>
      <c r="C707" s="19" t="n">
        <v>2.4314972</v>
      </c>
      <c r="D707" s="19" t="n">
        <v>0.0037799114</v>
      </c>
      <c r="E707" s="19" t="n">
        <v>0.1068890587356598</v>
      </c>
      <c r="F707" s="19" t="n">
        <v>0.2218173207864295</v>
      </c>
      <c r="G707" s="19" t="n">
        <v>0.9336429940880046</v>
      </c>
      <c r="H707" s="19" t="n">
        <v>0.731183</v>
      </c>
    </row>
    <row r="708" s="17">
      <c r="A708" s="19" t="n">
        <v>6865</v>
      </c>
      <c r="B708" s="19" t="n">
        <v>46768.583241</v>
      </c>
      <c r="C708" s="19" t="n">
        <v>1.7351255</v>
      </c>
      <c r="D708" s="19" t="n">
        <v>0.0084125246</v>
      </c>
      <c r="E708" s="19" t="n">
        <v>0.06729768391005056</v>
      </c>
      <c r="F708" s="19" t="n">
        <v>0.2342326449259345</v>
      </c>
      <c r="G708" s="19" t="n">
        <v>0.9290775964653895</v>
      </c>
      <c r="H708" s="19" t="n">
        <v>0.524934</v>
      </c>
    </row>
    <row r="709" s="17">
      <c r="A709" s="19" t="n">
        <v>6870</v>
      </c>
      <c r="B709" s="19" t="n">
        <v>50141.472047</v>
      </c>
      <c r="C709" s="19" t="n">
        <v>2.3120203</v>
      </c>
      <c r="D709" s="19" t="n">
        <v>0.005807435</v>
      </c>
      <c r="E709" s="19" t="n">
        <v>0.08909719245050436</v>
      </c>
      <c r="F709" s="19" t="n">
        <v>0.1559955734913186</v>
      </c>
      <c r="G709" s="19" t="n">
        <v>0.9153778170780166</v>
      </c>
      <c r="H709" s="19" t="n">
        <v>0.791813</v>
      </c>
    </row>
    <row r="710" s="17">
      <c r="A710" s="19" t="n">
        <v>6875</v>
      </c>
      <c r="B710" s="19" t="n">
        <v>73826.592451</v>
      </c>
      <c r="C710" s="19" t="n">
        <v>1.7900609</v>
      </c>
      <c r="D710" s="19" t="n">
        <v>0.0027218423</v>
      </c>
      <c r="E710" s="19" t="n">
        <v>0.07093599058285387</v>
      </c>
      <c r="F710" s="19" t="n">
        <v>0.3125521179739641</v>
      </c>
      <c r="G710" s="19" t="n">
        <v>0.9276755739943172</v>
      </c>
      <c r="H710" s="19" t="n">
        <v>0.510283</v>
      </c>
    </row>
    <row r="711" s="17">
      <c r="A711" s="19" t="n">
        <v>6880</v>
      </c>
      <c r="B711" s="19" t="n">
        <v>35344.392656</v>
      </c>
      <c r="C711" s="19" t="n">
        <v>2.0548923</v>
      </c>
      <c r="D711" s="19" t="n">
        <v>0.0064589398</v>
      </c>
      <c r="E711" s="19" t="n">
        <v>0.05273685603098027</v>
      </c>
      <c r="F711" s="19" t="n">
        <v>0.02067573261036838</v>
      </c>
      <c r="G711" s="19" t="n">
        <v>0.95735026898666</v>
      </c>
      <c r="H711" s="19" t="n">
        <v>0.239252</v>
      </c>
    </row>
    <row r="712" s="17">
      <c r="A712" s="19" t="n">
        <v>6885</v>
      </c>
      <c r="B712" s="19" t="n">
        <v>37773.126832</v>
      </c>
      <c r="C712" s="19" t="n">
        <v>2.0135172</v>
      </c>
      <c r="D712" s="19" t="n">
        <v>0.0064960132</v>
      </c>
      <c r="E712" s="19" t="n">
        <v>0.147603048275419</v>
      </c>
      <c r="F712" s="19" t="n">
        <v>0.1629511998949048</v>
      </c>
      <c r="G712" s="19" t="n">
        <v>0.892524460351222</v>
      </c>
      <c r="H712" s="19" t="n">
        <v>1.59795</v>
      </c>
    </row>
    <row r="713" s="17">
      <c r="A713" s="19" t="n">
        <v>6890</v>
      </c>
      <c r="B713" s="19" t="n">
        <v>68528.914571</v>
      </c>
      <c r="C713" s="19" t="n">
        <v>1.6028752</v>
      </c>
      <c r="D713" s="19" t="n">
        <v>0.0050424603</v>
      </c>
      <c r="E713" s="19" t="n">
        <v>0.1192644259524927</v>
      </c>
      <c r="F713" s="19" t="n">
        <v>0.213528720574256</v>
      </c>
      <c r="G713" s="19" t="n">
        <v>0.8687334096699543</v>
      </c>
      <c r="H713" s="19" t="n">
        <v>1.554229</v>
      </c>
    </row>
    <row r="714" s="17">
      <c r="A714" s="19" t="n">
        <v>6895</v>
      </c>
      <c r="B714" s="19" t="n">
        <v>55092.181035</v>
      </c>
      <c r="C714" s="19" t="n">
        <v>2.1124086</v>
      </c>
      <c r="D714" s="19" t="n">
        <v>0.0064538114</v>
      </c>
      <c r="E714" s="19" t="n">
        <v>0.04524199304806537</v>
      </c>
      <c r="F714" s="19" t="n">
        <v>0.2215028555543732</v>
      </c>
      <c r="G714" s="19" t="n">
        <v>0.9051029155427607</v>
      </c>
      <c r="H714" s="19" t="n">
        <v>0.433205</v>
      </c>
    </row>
    <row r="715" s="17">
      <c r="A715" s="19" t="n">
        <v>6900</v>
      </c>
      <c r="B715" s="19" t="n">
        <v>54741.55234</v>
      </c>
      <c r="C715" s="19" t="n">
        <v>2.0985527</v>
      </c>
      <c r="D715" s="19" t="n">
        <v>0.0077699737</v>
      </c>
      <c r="E715" s="19" t="n">
        <v>0.04683185685956485</v>
      </c>
      <c r="F715" s="19" t="n">
        <v>0.04453870964043372</v>
      </c>
      <c r="G715" s="19" t="n">
        <v>0.88200396270764</v>
      </c>
      <c r="H715" s="19" t="n">
        <v>0.578143</v>
      </c>
    </row>
    <row r="716" s="17">
      <c r="A716" s="19" t="n">
        <v>6905</v>
      </c>
      <c r="B716" s="19" t="n">
        <v>58233.367038</v>
      </c>
      <c r="C716" s="19" t="n">
        <v>2.3571583</v>
      </c>
      <c r="D716" s="19" t="n">
        <v>0.0058913797</v>
      </c>
      <c r="E716" s="19" t="n">
        <v>0.1069349896112349</v>
      </c>
      <c r="F716" s="19" t="n">
        <v>0.3352183239893688</v>
      </c>
      <c r="G716" s="19" t="n">
        <v>0.9337344304446188</v>
      </c>
      <c r="H716" s="19" t="n">
        <v>0.697595</v>
      </c>
    </row>
    <row r="717" s="17">
      <c r="A717" s="19" t="n">
        <v>6910</v>
      </c>
      <c r="B717" s="19" t="n">
        <v>41224.953293</v>
      </c>
      <c r="C717" s="19" t="n">
        <v>2.0850256</v>
      </c>
      <c r="D717" s="19" t="n">
        <v>0.0053707721</v>
      </c>
      <c r="E717" s="19" t="n">
        <v>0.03864160850461874</v>
      </c>
      <c r="F717" s="19" t="n">
        <v>0.1762335741539535</v>
      </c>
      <c r="G717" s="19" t="n">
        <v>0.9104629307385477</v>
      </c>
      <c r="H717" s="19" t="n">
        <v>0.350295</v>
      </c>
    </row>
    <row r="718" s="17">
      <c r="A718" s="19" t="n">
        <v>6915</v>
      </c>
      <c r="B718" s="19" t="n">
        <v>57440.971111</v>
      </c>
      <c r="C718" s="19" t="n">
        <v>1.7335552</v>
      </c>
      <c r="D718" s="19" t="n">
        <v>0.0065551078</v>
      </c>
      <c r="E718" s="19" t="n">
        <v>0.1509422893582048</v>
      </c>
      <c r="F718" s="19" t="n">
        <v>0.09284696436475322</v>
      </c>
      <c r="G718" s="19" t="n">
        <v>0.953585640476293</v>
      </c>
      <c r="H718" s="19" t="n">
        <v>0.741969</v>
      </c>
    </row>
    <row r="719" s="17">
      <c r="A719" s="19" t="n">
        <v>6920</v>
      </c>
      <c r="B719" s="19" t="n">
        <v>55019.360024</v>
      </c>
      <c r="C719" s="19" t="n">
        <v>1.7738418</v>
      </c>
      <c r="D719" s="19" t="n">
        <v>0.0035363658</v>
      </c>
      <c r="E719" s="19" t="n">
        <v>0.11868341928306</v>
      </c>
      <c r="F719" s="19" t="n">
        <v>0.3399972387369086</v>
      </c>
      <c r="G719" s="19" t="n">
        <v>0.8823617244190539</v>
      </c>
      <c r="H719" s="19" t="n">
        <v>1.411312</v>
      </c>
    </row>
    <row r="720" s="17">
      <c r="A720" s="19" t="n">
        <v>6925</v>
      </c>
      <c r="B720" s="19" t="n">
        <v>45121.231732</v>
      </c>
      <c r="C720" s="19" t="n">
        <v>1.9992615</v>
      </c>
      <c r="D720" s="19" t="n">
        <v>0.008582678</v>
      </c>
      <c r="E720" s="19" t="n">
        <v>0.04278780484369814</v>
      </c>
      <c r="F720" s="19" t="n">
        <v>0.0899169878485826</v>
      </c>
      <c r="G720" s="19" t="n">
        <v>0.9489979362161773</v>
      </c>
      <c r="H720" s="19" t="n">
        <v>0.214442</v>
      </c>
    </row>
    <row r="721" s="17">
      <c r="A721" s="19" t="n">
        <v>6930</v>
      </c>
      <c r="B721" s="19" t="n">
        <v>62748.160345</v>
      </c>
      <c r="C721" s="19" t="n">
        <v>1.7074022</v>
      </c>
      <c r="D721" s="19" t="n">
        <v>0.0076463641</v>
      </c>
      <c r="E721" s="19" t="n">
        <v>0.1040682738333851</v>
      </c>
      <c r="F721" s="19" t="n">
        <v>0.2456145527012042</v>
      </c>
      <c r="G721" s="19" t="n">
        <v>0.9576372212318132</v>
      </c>
      <c r="H721" s="19" t="n">
        <v>0.455629</v>
      </c>
    </row>
    <row r="722" s="17">
      <c r="A722" s="19" t="n">
        <v>6935</v>
      </c>
      <c r="B722" s="19" t="n">
        <v>71374.183705</v>
      </c>
      <c r="C722" s="19" t="n">
        <v>1.5293507</v>
      </c>
      <c r="D722" s="19" t="n">
        <v>0.0034121058</v>
      </c>
      <c r="E722" s="19" t="n">
        <v>0.0602334536550698</v>
      </c>
      <c r="F722" s="19" t="n">
        <v>0.3783600299022463</v>
      </c>
      <c r="G722" s="19" t="n">
        <v>0.9378016514810318</v>
      </c>
      <c r="H722" s="19" t="n">
        <v>0.377381</v>
      </c>
    </row>
    <row r="723" s="17">
      <c r="A723" s="19" t="n">
        <v>6940</v>
      </c>
      <c r="B723" s="19" t="n">
        <v>37049.847723</v>
      </c>
      <c r="C723" s="19" t="n">
        <v>2.1742767</v>
      </c>
      <c r="D723" s="19" t="n">
        <v>0.008008099100000001</v>
      </c>
      <c r="E723" s="19" t="n">
        <v>0.03284225316220303</v>
      </c>
      <c r="F723" s="19" t="n">
        <v>0.07001713177398529</v>
      </c>
      <c r="G723" s="19" t="n">
        <v>0.9878169855247526</v>
      </c>
      <c r="H723" s="19" t="n">
        <v>0.062695</v>
      </c>
    </row>
    <row r="724" s="17">
      <c r="A724" s="19" t="n">
        <v>6945</v>
      </c>
      <c r="B724" s="19" t="n">
        <v>36808.156851</v>
      </c>
      <c r="C724" s="19" t="n">
        <v>1.657594</v>
      </c>
      <c r="D724" s="19" t="n">
        <v>0.0043045099</v>
      </c>
      <c r="E724" s="19" t="n">
        <v>0.09851687298927043</v>
      </c>
      <c r="F724" s="19" t="n">
        <v>0.1333895368223883</v>
      </c>
      <c r="G724" s="19" t="n">
        <v>0.8733673652776236</v>
      </c>
      <c r="H724" s="19" t="n">
        <v>1.26495</v>
      </c>
    </row>
    <row r="725" s="17">
      <c r="A725" s="19" t="n">
        <v>6950</v>
      </c>
      <c r="B725" s="19" t="n">
        <v>74007.04616300001</v>
      </c>
      <c r="C725" s="19" t="n">
        <v>2.2059132</v>
      </c>
      <c r="D725" s="19" t="n">
        <v>0.0046808506</v>
      </c>
      <c r="E725" s="19" t="n">
        <v>0.09966036582171851</v>
      </c>
      <c r="F725" s="19" t="n">
        <v>0.3777159251146562</v>
      </c>
      <c r="G725" s="19" t="n">
        <v>0.8672652165032889</v>
      </c>
      <c r="H725" s="19" t="n">
        <v>1.316625</v>
      </c>
    </row>
    <row r="726" s="17">
      <c r="A726" s="19" t="n">
        <v>6955</v>
      </c>
      <c r="B726" s="19" t="n">
        <v>57487.360433</v>
      </c>
      <c r="C726" s="19" t="n">
        <v>1.7472184</v>
      </c>
      <c r="D726" s="19" t="n">
        <v>0.0074479977</v>
      </c>
      <c r="E726" s="19" t="n">
        <v>0.0615484144213296</v>
      </c>
      <c r="F726" s="19" t="n">
        <v>0.06542258039281283</v>
      </c>
      <c r="G726" s="19" t="n">
        <v>0.9555247290814299</v>
      </c>
      <c r="H726" s="19" t="n">
        <v>0.29003</v>
      </c>
    </row>
    <row r="727" s="17">
      <c r="A727" s="19" t="n">
        <v>6960</v>
      </c>
      <c r="B727" s="19" t="n">
        <v>64163.554024</v>
      </c>
      <c r="C727" s="19" t="n">
        <v>1.9206409</v>
      </c>
      <c r="D727" s="19" t="n">
        <v>0.0040182017</v>
      </c>
      <c r="E727" s="19" t="n">
        <v>0.1222341803975926</v>
      </c>
      <c r="F727" s="19" t="n">
        <v>0.136063658972981</v>
      </c>
      <c r="G727" s="19" t="n">
        <v>0.9756742594907591</v>
      </c>
      <c r="H727" s="19" t="n">
        <v>0.314868</v>
      </c>
    </row>
    <row r="728" s="17">
      <c r="A728" s="19" t="n">
        <v>6965</v>
      </c>
      <c r="B728" s="19" t="n">
        <v>36453.759674</v>
      </c>
      <c r="C728" s="19" t="n">
        <v>1.8756517</v>
      </c>
      <c r="D728" s="19" t="n">
        <v>0.0064024386</v>
      </c>
      <c r="E728" s="19" t="n">
        <v>0.0526625367929653</v>
      </c>
      <c r="F728" s="19" t="n">
        <v>0.06128837417960074</v>
      </c>
      <c r="G728" s="19" t="n">
        <v>0.9646104987311889</v>
      </c>
      <c r="H728" s="19" t="n">
        <v>0.167958</v>
      </c>
    </row>
    <row r="729" s="17">
      <c r="A729" s="19" t="n">
        <v>6970</v>
      </c>
      <c r="B729" s="19" t="n">
        <v>39123.282435</v>
      </c>
      <c r="C729" s="19" t="n">
        <v>2.0001869</v>
      </c>
      <c r="D729" s="19" t="n">
        <v>0.0060576038</v>
      </c>
      <c r="E729" s="19" t="n">
        <v>0.05284758282714511</v>
      </c>
      <c r="F729" s="19" t="n">
        <v>0.06090059929907581</v>
      </c>
      <c r="G729" s="19" t="n">
        <v>0.9548317786153506</v>
      </c>
      <c r="H729" s="19" t="n">
        <v>0.283488</v>
      </c>
    </row>
    <row r="730" s="17">
      <c r="A730" s="19" t="n">
        <v>6975</v>
      </c>
      <c r="B730" s="19" t="n">
        <v>45275.343158</v>
      </c>
      <c r="C730" s="19" t="n">
        <v>2.2851873</v>
      </c>
      <c r="D730" s="19" t="n">
        <v>0.0064208152</v>
      </c>
      <c r="E730" s="19" t="n">
        <v>0.1450370162607723</v>
      </c>
      <c r="F730" s="19" t="n">
        <v>0.1839796088628571</v>
      </c>
      <c r="G730" s="19" t="n">
        <v>0.8468010948237039</v>
      </c>
      <c r="H730" s="19" t="n">
        <v>2.238697</v>
      </c>
    </row>
    <row r="731" s="17">
      <c r="A731" s="19" t="n">
        <v>6980</v>
      </c>
      <c r="B731" s="19" t="n">
        <v>59887.664909</v>
      </c>
      <c r="C731" s="19" t="n">
        <v>2.1979501</v>
      </c>
      <c r="D731" s="19" t="n">
        <v>0.0059672085</v>
      </c>
      <c r="E731" s="19" t="n">
        <v>0.1135154834861837</v>
      </c>
      <c r="F731" s="19" t="n">
        <v>0.2951382410497505</v>
      </c>
      <c r="G731" s="19" t="n">
        <v>0.925457778420186</v>
      </c>
      <c r="H731" s="19" t="n">
        <v>0.841106</v>
      </c>
    </row>
    <row r="732" s="17">
      <c r="A732" s="19" t="n">
        <v>6985</v>
      </c>
      <c r="B732" s="19" t="n">
        <v>51178.898633</v>
      </c>
      <c r="C732" s="19" t="n">
        <v>1.9636781</v>
      </c>
      <c r="D732" s="19" t="n">
        <v>0.0073619768</v>
      </c>
      <c r="E732" s="19" t="n">
        <v>0.04723240219798251</v>
      </c>
      <c r="F732" s="19" t="n">
        <v>0.1329124649811695</v>
      </c>
      <c r="G732" s="19" t="n">
        <v>0.9395017987311466</v>
      </c>
      <c r="H732" s="19" t="n">
        <v>0.305568</v>
      </c>
    </row>
    <row r="733" s="17">
      <c r="A733" s="19" t="n">
        <v>6990</v>
      </c>
      <c r="B733" s="19" t="n">
        <v>51260.7885</v>
      </c>
      <c r="C733" s="19" t="n">
        <v>1.9830686</v>
      </c>
      <c r="D733" s="19" t="n">
        <v>0.007630951</v>
      </c>
      <c r="E733" s="19" t="n">
        <v>0.1122366289481308</v>
      </c>
      <c r="F733" s="19" t="n">
        <v>0.1414001311242162</v>
      </c>
      <c r="G733" s="19" t="n">
        <v>0.9079199041723649</v>
      </c>
      <c r="H733" s="19" t="n">
        <v>1.020213</v>
      </c>
    </row>
    <row r="734" s="17">
      <c r="A734" s="19" t="n">
        <v>6995</v>
      </c>
      <c r="B734" s="19" t="n">
        <v>66247.228434</v>
      </c>
      <c r="C734" s="19" t="n">
        <v>1.7831172</v>
      </c>
      <c r="D734" s="19" t="n">
        <v>0.0035687445</v>
      </c>
      <c r="E734" s="19" t="n">
        <v>0.05671072356430132</v>
      </c>
      <c r="F734" s="19" t="n">
        <v>0.2654762050624789</v>
      </c>
      <c r="G734" s="19" t="n">
        <v>0.9528748824538402</v>
      </c>
      <c r="H734" s="19" t="n">
        <v>0.250694</v>
      </c>
    </row>
    <row r="735" s="17">
      <c r="A735" s="19" t="n">
        <v>7000</v>
      </c>
      <c r="B735" s="19" t="n">
        <v>42203.862845</v>
      </c>
      <c r="C735" s="19" t="n">
        <v>2.0889083</v>
      </c>
      <c r="D735" s="19" t="n">
        <v>0.0056067157</v>
      </c>
      <c r="E735" s="19" t="n">
        <v>0.04816763405817587</v>
      </c>
      <c r="F735" s="19" t="n">
        <v>0.1922257680717799</v>
      </c>
      <c r="G735" s="19" t="n">
        <v>0.9361978247096351</v>
      </c>
      <c r="H735" s="19" t="n">
        <v>0.338996</v>
      </c>
    </row>
    <row r="736" s="17">
      <c r="A736" s="19" t="n">
        <v>7005</v>
      </c>
      <c r="B736" s="19" t="n">
        <v>57773.02502</v>
      </c>
      <c r="C736" s="19" t="n">
        <v>1.7624373</v>
      </c>
      <c r="D736" s="19" t="n">
        <v>0.0049932662</v>
      </c>
      <c r="E736" s="19" t="n">
        <v>0.1514262887567761</v>
      </c>
      <c r="F736" s="19" t="n">
        <v>0.2293617256296948</v>
      </c>
      <c r="G736" s="19" t="n">
        <v>0.9188810721692807</v>
      </c>
      <c r="H736" s="19" t="n">
        <v>1.235809</v>
      </c>
    </row>
    <row r="737" s="17">
      <c r="A737" s="19" t="n">
        <v>7010</v>
      </c>
      <c r="B737" s="19" t="n">
        <v>70920.82891700001</v>
      </c>
      <c r="C737" s="19" t="n">
        <v>1.6878657</v>
      </c>
      <c r="D737" s="19" t="n">
        <v>0.0063310101</v>
      </c>
      <c r="E737" s="19" t="n">
        <v>0.06218824846149337</v>
      </c>
      <c r="F737" s="19" t="n">
        <v>0.2212649847373218</v>
      </c>
      <c r="G737" s="19" t="n">
        <v>0.9298923428862191</v>
      </c>
      <c r="H737" s="19" t="n">
        <v>0.446658</v>
      </c>
    </row>
    <row r="738" s="17">
      <c r="A738" s="19" t="n">
        <v>7015</v>
      </c>
      <c r="B738" s="19" t="n">
        <v>53208.34267</v>
      </c>
      <c r="C738" s="19" t="n">
        <v>2.0392164</v>
      </c>
      <c r="D738" s="19" t="n">
        <v>0.008721708200000001</v>
      </c>
      <c r="E738" s="19" t="n">
        <v>0.06826230958496306</v>
      </c>
      <c r="F738" s="19" t="n">
        <v>0.04791058923235683</v>
      </c>
      <c r="G738" s="19" t="n">
        <v>0.9808239677875431</v>
      </c>
      <c r="H738" s="19" t="n">
        <v>0.162287</v>
      </c>
    </row>
    <row r="739" s="17">
      <c r="A739" s="19" t="n">
        <v>7020</v>
      </c>
      <c r="B739" s="19" t="n">
        <v>55164.274986</v>
      </c>
      <c r="C739" s="19" t="n">
        <v>2.1727771</v>
      </c>
      <c r="D739" s="19" t="n">
        <v>0.0039856067</v>
      </c>
      <c r="E739" s="19" t="n">
        <v>0.1245318542232809</v>
      </c>
      <c r="F739" s="19" t="n">
        <v>0.09190184202641664</v>
      </c>
      <c r="G739" s="19" t="n">
        <v>0.970285062484247</v>
      </c>
      <c r="H739" s="19" t="n">
        <v>0.377319</v>
      </c>
    </row>
    <row r="740" s="17">
      <c r="A740" s="19" t="n">
        <v>7025</v>
      </c>
      <c r="B740" s="19" t="n">
        <v>62425.226041</v>
      </c>
      <c r="C740" s="19" t="n">
        <v>1.5676565</v>
      </c>
      <c r="D740" s="19" t="n">
        <v>0.0044731323</v>
      </c>
      <c r="E740" s="19" t="n">
        <v>0.1197547263956745</v>
      </c>
      <c r="F740" s="19" t="n">
        <v>0.2104886893413605</v>
      </c>
      <c r="G740" s="19" t="n">
        <v>0.8816513113281124</v>
      </c>
      <c r="H740" s="19" t="n">
        <v>1.444134</v>
      </c>
    </row>
    <row r="741" s="17">
      <c r="A741" s="19" t="n">
        <v>7030</v>
      </c>
      <c r="B741" s="19" t="n">
        <v>51315.379985</v>
      </c>
      <c r="C741" s="19" t="n">
        <v>1.9383708</v>
      </c>
      <c r="D741" s="19" t="n">
        <v>0.0083167261</v>
      </c>
      <c r="E741" s="19" t="n">
        <v>0.048013442881706</v>
      </c>
      <c r="F741" s="19" t="n">
        <v>0.05172089351921294</v>
      </c>
      <c r="G741" s="19" t="n">
        <v>0.9319923667404755</v>
      </c>
      <c r="H741" s="19" t="n">
        <v>0.308389</v>
      </c>
    </row>
    <row r="742" s="17">
      <c r="A742" s="19" t="n">
        <v>7035</v>
      </c>
      <c r="B742" s="19" t="n">
        <v>47600.174537</v>
      </c>
      <c r="C742" s="19" t="n">
        <v>2.1046559</v>
      </c>
      <c r="D742" s="19" t="n">
        <v>0.0077732285</v>
      </c>
      <c r="E742" s="19" t="n">
        <v>0.09856724597410815</v>
      </c>
      <c r="F742" s="19" t="n">
        <v>0.115894867556596</v>
      </c>
      <c r="G742" s="19" t="n">
        <v>0.9546753833542639</v>
      </c>
      <c r="H742" s="19" t="n">
        <v>0.42708</v>
      </c>
    </row>
    <row r="743" s="17">
      <c r="A743" s="19" t="n">
        <v>7040</v>
      </c>
      <c r="B743" s="19" t="n">
        <v>60357.511461</v>
      </c>
      <c r="C743" s="19" t="n">
        <v>2.234934</v>
      </c>
      <c r="D743" s="19" t="n">
        <v>0.0058103111</v>
      </c>
      <c r="E743" s="19" t="n">
        <v>0.1048988164677991</v>
      </c>
      <c r="F743" s="19" t="n">
        <v>0.3393995673328745</v>
      </c>
      <c r="G743" s="19" t="n">
        <v>0.9768596564070087</v>
      </c>
      <c r="H743" s="19" t="n">
        <v>0.250288</v>
      </c>
    </row>
    <row r="744" s="17">
      <c r="A744" s="19" t="n">
        <v>7045</v>
      </c>
      <c r="B744" s="19" t="n">
        <v>45960.327211</v>
      </c>
      <c r="C744" s="19" t="n">
        <v>2.14582</v>
      </c>
      <c r="D744" s="19" t="n">
        <v>0.0065645559</v>
      </c>
      <c r="E744" s="19" t="n">
        <v>0.04346527374694086</v>
      </c>
      <c r="F744" s="19" t="n">
        <v>0.2894991361880017</v>
      </c>
      <c r="G744" s="19" t="n">
        <v>0.9145714424809634</v>
      </c>
      <c r="H744" s="19" t="n">
        <v>0.412302</v>
      </c>
    </row>
    <row r="745" s="17">
      <c r="A745" s="19" t="n">
        <v>7050</v>
      </c>
      <c r="B745" s="19" t="n">
        <v>40665.118473</v>
      </c>
      <c r="C745" s="19" t="n">
        <v>2.1960425</v>
      </c>
      <c r="D745" s="19" t="n">
        <v>0.0062213595</v>
      </c>
      <c r="E745" s="19" t="n">
        <v>0.1245778096057505</v>
      </c>
      <c r="F745" s="19" t="n">
        <v>0.2756057319717218</v>
      </c>
      <c r="G745" s="19" t="n">
        <v>0.8777032661329989</v>
      </c>
      <c r="H745" s="19" t="n">
        <v>1.54302</v>
      </c>
    </row>
    <row r="746" s="17">
      <c r="A746" s="19" t="n">
        <v>7055</v>
      </c>
      <c r="B746" s="19" t="n">
        <v>68001.240309</v>
      </c>
      <c r="C746" s="19" t="n">
        <v>1.7554153</v>
      </c>
      <c r="D746" s="19" t="n">
        <v>0.0059181976</v>
      </c>
      <c r="E746" s="19" t="n">
        <v>0.1032420230680192</v>
      </c>
      <c r="F746" s="19" t="n">
        <v>0.284535584613915</v>
      </c>
      <c r="G746" s="19" t="n">
        <v>0.9481873170827451</v>
      </c>
      <c r="H746" s="19" t="n">
        <v>0.546423</v>
      </c>
    </row>
    <row r="747" s="17">
      <c r="A747" s="19" t="n">
        <v>7060</v>
      </c>
      <c r="B747" s="19" t="n">
        <v>48359.31109</v>
      </c>
      <c r="C747" s="19" t="n">
        <v>2.0134353</v>
      </c>
      <c r="D747" s="19" t="n">
        <v>0.0071903125</v>
      </c>
      <c r="E747" s="19" t="n">
        <v>0.0558404271264778</v>
      </c>
      <c r="F747" s="19" t="n">
        <v>0.05344995769512442</v>
      </c>
      <c r="G747" s="19" t="n">
        <v>0.9144937377091363</v>
      </c>
      <c r="H747" s="19" t="n">
        <v>0.509177</v>
      </c>
    </row>
    <row r="748" s="17">
      <c r="A748" s="19" t="n">
        <v>7065</v>
      </c>
      <c r="B748" s="19" t="n">
        <v>49139.607057</v>
      </c>
      <c r="C748" s="19" t="n">
        <v>2.201723</v>
      </c>
      <c r="D748" s="19" t="n">
        <v>0.0054214473</v>
      </c>
      <c r="E748" s="19" t="n">
        <v>0.1583578114513438</v>
      </c>
      <c r="F748" s="19" t="n">
        <v>0.1546559498865915</v>
      </c>
      <c r="G748" s="19" t="n">
        <v>0.8932634511797681</v>
      </c>
      <c r="H748" s="19" t="n">
        <v>1.691491</v>
      </c>
    </row>
    <row r="749" s="17">
      <c r="A749" s="19" t="n">
        <v>7070</v>
      </c>
      <c r="B749" s="19" t="n">
        <v>72683.49713800001</v>
      </c>
      <c r="C749" s="19" t="n">
        <v>2.1310147</v>
      </c>
      <c r="D749" s="19" t="n">
        <v>0.0043741033</v>
      </c>
      <c r="E749" s="19" t="n">
        <v>0.09380904558096001</v>
      </c>
      <c r="F749" s="19" t="n">
        <v>0.3284251906115999</v>
      </c>
      <c r="G749" s="19" t="n">
        <v>0.8958244798372101</v>
      </c>
      <c r="H749" s="19" t="n">
        <v>1.022667</v>
      </c>
    </row>
    <row r="750" s="17">
      <c r="A750" s="19" t="n">
        <v>7075</v>
      </c>
      <c r="B750" s="19" t="n">
        <v>55280.329933</v>
      </c>
      <c r="C750" s="19" t="n">
        <v>2.1925097</v>
      </c>
      <c r="D750" s="19" t="n">
        <v>0.008648578800000001</v>
      </c>
      <c r="E750" s="19" t="n">
        <v>0.03822111472525399</v>
      </c>
      <c r="F750" s="19" t="n">
        <v>0.07447696044179035</v>
      </c>
      <c r="G750" s="19" t="n">
        <v>0.9958588824064099</v>
      </c>
      <c r="H750" s="19" t="n">
        <v>0.005089</v>
      </c>
    </row>
    <row r="751" s="17">
      <c r="A751" s="19" t="n">
        <v>7080</v>
      </c>
      <c r="B751" s="19" t="n">
        <v>42834.775254</v>
      </c>
      <c r="C751" s="19" t="n">
        <v>2.2334915</v>
      </c>
      <c r="D751" s="19" t="n">
        <v>0.00659591</v>
      </c>
      <c r="E751" s="19" t="n">
        <v>0.1348396180235966</v>
      </c>
      <c r="F751" s="19" t="n">
        <v>0.2206535631084798</v>
      </c>
      <c r="G751" s="19" t="n">
        <v>0.9356297596747178</v>
      </c>
      <c r="H751" s="19" t="n">
        <v>0.888388</v>
      </c>
    </row>
    <row r="752" s="17">
      <c r="A752" s="19" t="n">
        <v>7085</v>
      </c>
      <c r="B752" s="19" t="n">
        <v>63158.914554</v>
      </c>
      <c r="C752" s="19" t="n">
        <v>2.4423226</v>
      </c>
      <c r="D752" s="19" t="n">
        <v>0.0046705151</v>
      </c>
      <c r="E752" s="19" t="n">
        <v>0.0908690456244908</v>
      </c>
      <c r="F752" s="19" t="n">
        <v>0.3222482701468412</v>
      </c>
      <c r="G752" s="19" t="n">
        <v>0.9087732665022116</v>
      </c>
      <c r="H752" s="19" t="n">
        <v>0.8281579999999999</v>
      </c>
    </row>
    <row r="753" s="17">
      <c r="A753" s="19" t="n">
        <v>7090</v>
      </c>
      <c r="B753" s="19" t="n">
        <v>46873.036696</v>
      </c>
      <c r="C753" s="19" t="n">
        <v>2.0807498</v>
      </c>
      <c r="D753" s="19" t="n">
        <v>0.0067995485</v>
      </c>
      <c r="E753" s="19" t="n">
        <v>0.0708498674204833</v>
      </c>
      <c r="F753" s="19" t="n">
        <v>0.2758281101204914</v>
      </c>
      <c r="G753" s="19" t="n">
        <v>0.9630590167856439</v>
      </c>
      <c r="H753" s="19" t="n">
        <v>0.291312</v>
      </c>
    </row>
    <row r="754" s="17">
      <c r="A754" s="19" t="n">
        <v>7095</v>
      </c>
      <c r="B754" s="19" t="n">
        <v>47581.947844</v>
      </c>
      <c r="C754" s="19" t="n">
        <v>1.9186591</v>
      </c>
      <c r="D754" s="19" t="n">
        <v>0.0062287614</v>
      </c>
      <c r="E754" s="19" t="n">
        <v>0.05716597357669914</v>
      </c>
      <c r="F754" s="19" t="n">
        <v>0.0924028285106749</v>
      </c>
      <c r="G754" s="19" t="n">
        <v>0.9180630363721484</v>
      </c>
      <c r="H754" s="19" t="n">
        <v>0.495908</v>
      </c>
    </row>
    <row r="755" s="17">
      <c r="A755" s="19" t="n">
        <v>7100</v>
      </c>
      <c r="B755" s="19" t="n">
        <v>73710.16898</v>
      </c>
      <c r="C755" s="19" t="n">
        <v>2.1846854</v>
      </c>
      <c r="D755" s="19" t="n">
        <v>0.0048619217</v>
      </c>
      <c r="E755" s="19" t="n">
        <v>0.08947669572627397</v>
      </c>
      <c r="F755" s="19" t="n">
        <v>0.2335100243104496</v>
      </c>
      <c r="G755" s="19" t="n">
        <v>0.9165227461245585</v>
      </c>
      <c r="H755" s="19" t="n">
        <v>0.78547</v>
      </c>
    </row>
    <row r="756" s="17">
      <c r="A756" s="19" t="n">
        <v>7105</v>
      </c>
      <c r="B756" s="19" t="n">
        <v>49286.284451</v>
      </c>
      <c r="C756" s="19" t="n">
        <v>2.0522632</v>
      </c>
      <c r="D756" s="19" t="n">
        <v>0.0051777936</v>
      </c>
      <c r="E756" s="19" t="n">
        <v>0.04925933600807642</v>
      </c>
      <c r="F756" s="19" t="n">
        <v>0.02941103923865876</v>
      </c>
      <c r="G756" s="19" t="n">
        <v>0.9361715641568135</v>
      </c>
      <c r="H756" s="19" t="n">
        <v>0.337126</v>
      </c>
    </row>
    <row r="757" s="17">
      <c r="A757" s="19" t="n">
        <v>7110</v>
      </c>
      <c r="B757" s="19" t="n">
        <v>69076.576955</v>
      </c>
      <c r="C757" s="19" t="n">
        <v>1.8527554</v>
      </c>
      <c r="D757" s="19" t="n">
        <v>0.0077513027</v>
      </c>
      <c r="E757" s="19" t="n">
        <v>0.1094333026621264</v>
      </c>
      <c r="F757" s="19" t="n">
        <v>0.1320878250885926</v>
      </c>
      <c r="G757" s="19" t="n">
        <v>0.9107096927959223</v>
      </c>
      <c r="H757" s="19" t="n">
        <v>0.990826</v>
      </c>
    </row>
    <row r="758" s="17">
      <c r="A758" s="19" t="n">
        <v>7115</v>
      </c>
      <c r="B758" s="19" t="n">
        <v>67042.646626</v>
      </c>
      <c r="C758" s="19" t="n">
        <v>1.7704644</v>
      </c>
      <c r="D758" s="19" t="n">
        <v>0.0043904704</v>
      </c>
      <c r="E758" s="19" t="n">
        <v>0.08308971626932826</v>
      </c>
      <c r="F758" s="19" t="n">
        <v>0.3642219439985215</v>
      </c>
      <c r="G758" s="19" t="n">
        <v>0.9148393866323954</v>
      </c>
      <c r="H758" s="19" t="n">
        <v>0.71698</v>
      </c>
    </row>
    <row r="759" s="17">
      <c r="A759" s="19" t="n">
        <v>7120</v>
      </c>
      <c r="B759" s="19" t="n">
        <v>54541.964734</v>
      </c>
      <c r="C759" s="19" t="n">
        <v>2.1074192</v>
      </c>
      <c r="D759" s="19" t="n">
        <v>0.0072994891</v>
      </c>
      <c r="E759" s="19" t="n">
        <v>0.05671573810796229</v>
      </c>
      <c r="F759" s="19" t="n">
        <v>0.1071841258823066</v>
      </c>
      <c r="G759" s="19" t="n">
        <v>0.9208638839219302</v>
      </c>
      <c r="H759" s="19" t="n">
        <v>0.454945</v>
      </c>
    </row>
    <row r="760" s="17">
      <c r="A760" s="19" t="n">
        <v>7125</v>
      </c>
      <c r="B760" s="19" t="n">
        <v>51364.00683</v>
      </c>
      <c r="C760" s="19" t="n">
        <v>1.916431</v>
      </c>
      <c r="D760" s="19" t="n">
        <v>0.0038525589</v>
      </c>
      <c r="E760" s="19" t="n">
        <v>0.1095379211518473</v>
      </c>
      <c r="F760" s="19" t="n">
        <v>0.1952199614569149</v>
      </c>
      <c r="G760" s="19" t="n">
        <v>0.8589808545128451</v>
      </c>
      <c r="H760" s="19" t="n">
        <v>1.584118</v>
      </c>
    </row>
    <row r="761" s="17">
      <c r="A761" s="19" t="n">
        <v>7130</v>
      </c>
      <c r="B761" s="19" t="n">
        <v>73791.76414499999</v>
      </c>
      <c r="C761" s="19" t="n">
        <v>2.2261971</v>
      </c>
      <c r="D761" s="19" t="n">
        <v>0.0030122442</v>
      </c>
      <c r="E761" s="19" t="n">
        <v>0.05429749531156162</v>
      </c>
      <c r="F761" s="19" t="n">
        <v>0.3602177453863416</v>
      </c>
      <c r="G761" s="19" t="n">
        <v>0.9426889784233728</v>
      </c>
      <c r="H761" s="19" t="n">
        <v>0.303978</v>
      </c>
    </row>
    <row r="762" s="17">
      <c r="A762" s="19" t="n">
        <v>7135</v>
      </c>
      <c r="B762" s="19" t="n">
        <v>53082.813427</v>
      </c>
      <c r="C762" s="19" t="n">
        <v>2.1965618</v>
      </c>
      <c r="D762" s="19" t="n">
        <v>0.0050556394</v>
      </c>
      <c r="E762" s="19" t="n">
        <v>0.0428624432871448</v>
      </c>
      <c r="F762" s="19" t="n">
        <v>0.2515770022031465</v>
      </c>
      <c r="G762" s="19" t="n">
        <v>0.9635351829430544</v>
      </c>
      <c r="H762" s="19" t="n">
        <v>0.173392</v>
      </c>
    </row>
    <row r="763" s="17">
      <c r="A763" s="19" t="n">
        <v>7140</v>
      </c>
      <c r="B763" s="19" t="n">
        <v>41515.017304</v>
      </c>
      <c r="C763" s="19" t="n">
        <v>2.1619737</v>
      </c>
      <c r="D763" s="19" t="n">
        <v>0.0075354323</v>
      </c>
      <c r="E763" s="19" t="n">
        <v>0.1593402396975501</v>
      </c>
      <c r="F763" s="19" t="n">
        <v>0.2901916885051323</v>
      </c>
      <c r="G763" s="19" t="n">
        <v>0.9840573597460424</v>
      </c>
      <c r="H763" s="19" t="n">
        <v>0.300205</v>
      </c>
    </row>
    <row r="764" s="17">
      <c r="A764" s="19" t="n">
        <v>7145</v>
      </c>
      <c r="B764" s="19" t="n">
        <v>71751.941802</v>
      </c>
      <c r="C764" s="19" t="n">
        <v>1.7716258</v>
      </c>
      <c r="D764" s="19" t="n">
        <v>0.0046678328</v>
      </c>
      <c r="E764" s="19" t="n">
        <v>0.0974157342381648</v>
      </c>
      <c r="F764" s="19" t="n">
        <v>0.3116983968702728</v>
      </c>
      <c r="G764" s="19" t="n">
        <v>0.8935284566061577</v>
      </c>
      <c r="H764" s="19" t="n">
        <v>1.0521</v>
      </c>
    </row>
    <row r="765" s="17">
      <c r="A765" s="19" t="n">
        <v>7150</v>
      </c>
      <c r="B765" s="19" t="n">
        <v>49159.044924</v>
      </c>
      <c r="C765" s="19" t="n">
        <v>2.0292681</v>
      </c>
      <c r="D765" s="19" t="n">
        <v>0.0078232623</v>
      </c>
      <c r="E765" s="19" t="n">
        <v>0.06365463590749608</v>
      </c>
      <c r="F765" s="19" t="n">
        <v>0.04535910957037553</v>
      </c>
      <c r="G765" s="19" t="n">
        <v>1</v>
      </c>
      <c r="H765" s="19" t="n">
        <v>0.001</v>
      </c>
    </row>
    <row r="766" s="17">
      <c r="A766" s="19" t="n">
        <v>7155</v>
      </c>
      <c r="B766" s="19" t="n">
        <v>58589.830304</v>
      </c>
      <c r="C766" s="19" t="n">
        <v>1.9848607</v>
      </c>
      <c r="D766" s="19" t="n">
        <v>0.0056889616</v>
      </c>
      <c r="E766" s="19" t="n">
        <v>0.154381336138984</v>
      </c>
      <c r="F766" s="19" t="n">
        <v>0.2988958976121789</v>
      </c>
      <c r="G766" s="19" t="n">
        <v>0.9120988899981914</v>
      </c>
      <c r="H766" s="19" t="n">
        <v>1.359796</v>
      </c>
    </row>
    <row r="767" s="17">
      <c r="A767" s="19" t="n">
        <v>7160</v>
      </c>
      <c r="B767" s="19" t="n">
        <v>42267.66194</v>
      </c>
      <c r="C767" s="19" t="n">
        <v>2.0946219</v>
      </c>
      <c r="D767" s="19" t="n">
        <v>0.0078899357</v>
      </c>
      <c r="E767" s="19" t="n">
        <v>0.04213860161045271</v>
      </c>
      <c r="F767" s="19" t="n">
        <v>0.1565390461243143</v>
      </c>
      <c r="G767" s="19" t="n">
        <v>0.9140972539788935</v>
      </c>
      <c r="H767" s="19" t="n">
        <v>0.400475</v>
      </c>
    </row>
    <row r="768" s="17">
      <c r="A768" s="19" t="n">
        <v>7165</v>
      </c>
      <c r="B768" s="19" t="n">
        <v>34784.319752</v>
      </c>
      <c r="C768" s="19" t="n">
        <v>2.1936331</v>
      </c>
      <c r="D768" s="19" t="n">
        <v>0.007893767100000001</v>
      </c>
      <c r="E768" s="19" t="n">
        <v>0.0622659323564785</v>
      </c>
      <c r="F768" s="19" t="n">
        <v>0.2342724709428692</v>
      </c>
      <c r="G768" s="19" t="n">
        <v>0.9009644448579581</v>
      </c>
      <c r="H768" s="19" t="n">
        <v>0.6317120000000001</v>
      </c>
    </row>
    <row r="769" s="17">
      <c r="A769" s="19" t="n">
        <v>7170</v>
      </c>
      <c r="B769" s="19" t="n">
        <v>63296.60666</v>
      </c>
      <c r="C769" s="19" t="n">
        <v>1.6931885</v>
      </c>
      <c r="D769" s="19" t="n">
        <v>0.0036572116</v>
      </c>
      <c r="E769" s="19" t="n">
        <v>0.1152506163199276</v>
      </c>
      <c r="F769" s="19" t="n">
        <v>0.1243896611100804</v>
      </c>
      <c r="G769" s="19" t="n">
        <v>0.9695909245184151</v>
      </c>
      <c r="H769" s="19" t="n">
        <v>0.361174</v>
      </c>
    </row>
    <row r="770" s="17">
      <c r="A770" s="19" t="n">
        <v>7175</v>
      </c>
      <c r="B770" s="19" t="n">
        <v>62406.349306</v>
      </c>
      <c r="C770" s="19" t="n">
        <v>2.4294087</v>
      </c>
      <c r="D770" s="19" t="n">
        <v>0.0032551488</v>
      </c>
      <c r="E770" s="19" t="n">
        <v>0.1016220931243179</v>
      </c>
      <c r="F770" s="19" t="n">
        <v>0.1885130693832359</v>
      </c>
      <c r="G770" s="19" t="n">
        <v>0.9339109416076697</v>
      </c>
      <c r="H770" s="19" t="n">
        <v>0.713017</v>
      </c>
    </row>
    <row r="771" s="17">
      <c r="A771" s="19" t="n">
        <v>7180</v>
      </c>
      <c r="B771" s="19" t="n">
        <v>34551.252696</v>
      </c>
      <c r="C771" s="19" t="n">
        <v>1.9075614</v>
      </c>
      <c r="D771" s="19" t="n">
        <v>0.008213515500000001</v>
      </c>
      <c r="E771" s="19" t="n">
        <v>0.05665852894974736</v>
      </c>
      <c r="F771" s="19" t="n">
        <v>0.2442691649705526</v>
      </c>
      <c r="G771" s="19" t="n">
        <v>0.9003506913187534</v>
      </c>
      <c r="H771" s="19" t="n">
        <v>0.593603</v>
      </c>
    </row>
    <row r="772" s="17">
      <c r="A772" s="19" t="n">
        <v>7185</v>
      </c>
      <c r="B772" s="19" t="n">
        <v>64783.588489</v>
      </c>
      <c r="C772" s="19" t="n">
        <v>2.0081919</v>
      </c>
      <c r="D772" s="19" t="n">
        <v>0.0058973876</v>
      </c>
      <c r="E772" s="19" t="n">
        <v>0.157534346496012</v>
      </c>
      <c r="F772" s="19" t="n">
        <v>0.2371090143690063</v>
      </c>
      <c r="G772" s="19" t="n">
        <v>0.9079547129105461</v>
      </c>
      <c r="H772" s="19" t="n">
        <v>1.475778</v>
      </c>
    </row>
    <row r="773" s="17">
      <c r="A773" s="19" t="n">
        <v>7190</v>
      </c>
      <c r="B773" s="19" t="n">
        <v>69036.785923</v>
      </c>
      <c r="C773" s="19" t="n">
        <v>1.4822783</v>
      </c>
      <c r="D773" s="19" t="n">
        <v>0.006434443</v>
      </c>
      <c r="E773" s="19" t="n">
        <v>0.0815377857678365</v>
      </c>
      <c r="F773" s="19" t="n">
        <v>0.2246010076276646</v>
      </c>
      <c r="G773" s="19" t="n">
        <v>0.9040111547699217</v>
      </c>
      <c r="H773" s="19" t="n">
        <v>0.820441</v>
      </c>
    </row>
    <row r="774" s="17">
      <c r="A774" s="19" t="n">
        <v>7195</v>
      </c>
      <c r="B774" s="19" t="n">
        <v>36322.848789</v>
      </c>
      <c r="C774" s="19" t="n">
        <v>2.0977601</v>
      </c>
      <c r="D774" s="19" t="n">
        <v>0.0068345509</v>
      </c>
      <c r="E774" s="19" t="n">
        <v>0.04094487757334173</v>
      </c>
      <c r="F774" s="19" t="n">
        <v>0.1596182241831957</v>
      </c>
      <c r="G774" s="19" t="n">
        <v>0.9755301699011798</v>
      </c>
      <c r="H774" s="19" t="n">
        <v>0.131526</v>
      </c>
    </row>
    <row r="775" s="17">
      <c r="A775" s="19" t="n">
        <v>7200</v>
      </c>
      <c r="B775" s="19" t="n">
        <v>65931.056661</v>
      </c>
      <c r="C775" s="19" t="n">
        <v>1.9963741</v>
      </c>
      <c r="D775" s="19" t="n">
        <v>0.0039427351</v>
      </c>
      <c r="E775" s="19" t="n">
        <v>0.1332892646642503</v>
      </c>
      <c r="F775" s="19" t="n">
        <v>0.3346037746068548</v>
      </c>
      <c r="G775" s="19" t="n">
        <v>0.9353492236171274</v>
      </c>
      <c r="H775" s="19" t="n">
        <v>0.909236</v>
      </c>
    </row>
    <row r="776" s="17">
      <c r="A776" s="19" t="n">
        <v>7205</v>
      </c>
      <c r="B776" s="19" t="n">
        <v>70649.171781</v>
      </c>
      <c r="C776" s="19" t="n">
        <v>2.2960694</v>
      </c>
      <c r="D776" s="19" t="n">
        <v>0.0027463012</v>
      </c>
      <c r="E776" s="19" t="n">
        <v>0.06951145000586904</v>
      </c>
      <c r="F776" s="19" t="n">
        <v>0.2455860272972974</v>
      </c>
      <c r="G776" s="19" t="n">
        <v>0.9559611052155425</v>
      </c>
      <c r="H776" s="19" t="n">
        <v>0.312745</v>
      </c>
    </row>
    <row r="777" s="17">
      <c r="A777" s="19" t="n">
        <v>7210</v>
      </c>
      <c r="B777" s="19" t="n">
        <v>41395.584723</v>
      </c>
      <c r="C777" s="19" t="n">
        <v>2.0047022</v>
      </c>
      <c r="D777" s="19" t="n">
        <v>0.006381947</v>
      </c>
      <c r="E777" s="19" t="n">
        <v>0.05272099926535741</v>
      </c>
      <c r="F777" s="19" t="n">
        <v>0.2979479072784231</v>
      </c>
      <c r="G777" s="19" t="n">
        <v>0.8654537639142822</v>
      </c>
      <c r="H777" s="19" t="n">
        <v>0.709188</v>
      </c>
    </row>
    <row r="778" s="17">
      <c r="A778" s="19" t="n">
        <v>7215</v>
      </c>
      <c r="B778" s="19" t="n">
        <v>43018.323011</v>
      </c>
      <c r="C778" s="19" t="n">
        <v>1.9220633</v>
      </c>
      <c r="D778" s="19" t="n">
        <v>0.0035763802</v>
      </c>
      <c r="E778" s="19" t="n">
        <v>0.1077998751978684</v>
      </c>
      <c r="F778" s="19" t="n">
        <v>0.3009383105483842</v>
      </c>
      <c r="G778" s="19" t="n">
        <v>0.9137126977053018</v>
      </c>
      <c r="H778" s="19" t="n">
        <v>0.933093</v>
      </c>
    </row>
    <row r="779" s="17">
      <c r="A779" s="19" t="n">
        <v>7220</v>
      </c>
      <c r="B779" s="19" t="n">
        <v>73753.607841</v>
      </c>
      <c r="C779" s="19" t="n">
        <v>2.148065</v>
      </c>
      <c r="D779" s="19" t="n">
        <v>0.0059544167</v>
      </c>
      <c r="E779" s="19" t="n">
        <v>0.1012396688382732</v>
      </c>
      <c r="F779" s="19" t="n">
        <v>0.2730931315942597</v>
      </c>
      <c r="G779" s="19" t="n">
        <v>0.9041862136473565</v>
      </c>
      <c r="H779" s="19" t="n">
        <v>0.971665</v>
      </c>
    </row>
    <row r="780" s="17">
      <c r="A780" s="19" t="n">
        <v>7225</v>
      </c>
      <c r="B780" s="19" t="n">
        <v>50942.116636</v>
      </c>
      <c r="C780" s="19" t="n">
        <v>1.8670947</v>
      </c>
      <c r="D780" s="19" t="n">
        <v>0.0069729858</v>
      </c>
      <c r="E780" s="19" t="n">
        <v>0.04938437263120192</v>
      </c>
      <c r="F780" s="19" t="n">
        <v>0.04803708940474748</v>
      </c>
      <c r="G780" s="19" t="n">
        <v>0.8863630984810762</v>
      </c>
      <c r="H780" s="19" t="n">
        <v>0.563575</v>
      </c>
    </row>
    <row r="781" s="17">
      <c r="A781" s="19" t="n">
        <v>7230</v>
      </c>
      <c r="B781" s="19" t="n">
        <v>48413.115583</v>
      </c>
      <c r="C781" s="19" t="n">
        <v>1.6842322</v>
      </c>
      <c r="D781" s="19" t="n">
        <v>0.0039171479</v>
      </c>
      <c r="E781" s="19" t="n">
        <v>0.1163323336568196</v>
      </c>
      <c r="F781" s="19" t="n">
        <v>0.1121089186040202</v>
      </c>
      <c r="G781" s="19" t="n">
        <v>0.9557746585448645</v>
      </c>
      <c r="H781" s="19" t="n">
        <v>0.560994</v>
      </c>
    </row>
    <row r="782" s="17">
      <c r="A782" s="19" t="n">
        <v>7235</v>
      </c>
      <c r="B782" s="19" t="n">
        <v>69162.095782</v>
      </c>
      <c r="C782" s="19" t="n">
        <v>2.1483973</v>
      </c>
      <c r="D782" s="19" t="n">
        <v>0.0049371617</v>
      </c>
      <c r="E782" s="19" t="n">
        <v>0.04874288836903425</v>
      </c>
      <c r="F782" s="19" t="n">
        <v>0.2546902354044505</v>
      </c>
      <c r="G782" s="19" t="n">
        <v>0.9755877339963916</v>
      </c>
      <c r="H782" s="19" t="n">
        <v>0.152752</v>
      </c>
    </row>
    <row r="783" s="17">
      <c r="A783" s="19" t="n">
        <v>7240</v>
      </c>
      <c r="B783" s="19" t="n">
        <v>53163.030121</v>
      </c>
      <c r="C783" s="19" t="n">
        <v>2.0129603</v>
      </c>
      <c r="D783" s="19" t="n">
        <v>0.0069401002</v>
      </c>
      <c r="E783" s="19" t="n">
        <v>0.06887377615052642</v>
      </c>
      <c r="F783" s="19" t="n">
        <v>0.0743933490507893</v>
      </c>
      <c r="G783" s="19" t="n">
        <v>0.9570268232597924</v>
      </c>
      <c r="H783" s="19" t="n">
        <v>0.288583</v>
      </c>
    </row>
    <row r="784" s="17">
      <c r="A784" s="19" t="n">
        <v>7245</v>
      </c>
      <c r="B784" s="19" t="n">
        <v>35098.973602</v>
      </c>
      <c r="C784" s="19" t="n">
        <v>1.886355</v>
      </c>
      <c r="D784" s="19" t="n">
        <v>0.0053776881</v>
      </c>
      <c r="E784" s="19" t="n">
        <v>0.1347048404247569</v>
      </c>
      <c r="F784" s="19" t="n">
        <v>0.1481897199124937</v>
      </c>
      <c r="G784" s="19" t="n">
        <v>0.9414959509488655</v>
      </c>
      <c r="H784" s="19" t="n">
        <v>0.800366</v>
      </c>
    </row>
    <row r="785" s="17">
      <c r="A785" s="19" t="n">
        <v>7250</v>
      </c>
      <c r="B785" s="19" t="n">
        <v>57686.055944</v>
      </c>
      <c r="C785" s="19" t="n">
        <v>1.8291872</v>
      </c>
      <c r="D785" s="19" t="n">
        <v>0.0049017483</v>
      </c>
      <c r="E785" s="19" t="n">
        <v>0.04997971049608367</v>
      </c>
      <c r="F785" s="19" t="n">
        <v>0.3571863040949433</v>
      </c>
      <c r="G785" s="19" t="n">
        <v>0.9138110869701547</v>
      </c>
      <c r="H785" s="19" t="n">
        <v>0.446985</v>
      </c>
    </row>
    <row r="786" s="17">
      <c r="A786" s="19" t="n">
        <v>7255</v>
      </c>
      <c r="B786" s="19" t="n">
        <v>36076.816954</v>
      </c>
      <c r="C786" s="19" t="n">
        <v>1.9868898</v>
      </c>
      <c r="D786" s="19" t="n">
        <v>0.0086115081</v>
      </c>
      <c r="E786" s="19" t="n">
        <v>0.05459850332606703</v>
      </c>
      <c r="F786" s="19" t="n">
        <v>0.0515695721205842</v>
      </c>
      <c r="G786" s="19" t="n">
        <v>0.9642991352361532</v>
      </c>
      <c r="H786" s="19" t="n">
        <v>0.228054</v>
      </c>
    </row>
    <row r="787" s="17">
      <c r="A787" s="19" t="n">
        <v>7260</v>
      </c>
      <c r="B787" s="19" t="n">
        <v>41995.788705</v>
      </c>
      <c r="C787" s="19" t="n">
        <v>2.1074492</v>
      </c>
      <c r="D787" s="19" t="n">
        <v>0.0048881524</v>
      </c>
      <c r="E787" s="19" t="n">
        <v>0.1058495935885927</v>
      </c>
      <c r="F787" s="19" t="n">
        <v>0.3298639253301335</v>
      </c>
      <c r="G787" s="19" t="n">
        <v>0.8756048829957123</v>
      </c>
      <c r="H787" s="19" t="n">
        <v>1.336736</v>
      </c>
    </row>
    <row r="788" s="17">
      <c r="A788" s="19" t="n">
        <v>7265</v>
      </c>
      <c r="B788" s="19" t="n">
        <v>74476.847169</v>
      </c>
      <c r="C788" s="19" t="n">
        <v>1.4716564</v>
      </c>
      <c r="D788" s="19" t="n">
        <v>0.0062634599</v>
      </c>
      <c r="E788" s="19" t="n">
        <v>0.1128729548829726</v>
      </c>
      <c r="F788" s="19" t="n">
        <v>0.273045144941847</v>
      </c>
      <c r="G788" s="19" t="n">
        <v>0.9253695727303485</v>
      </c>
      <c r="H788" s="19" t="n">
        <v>0.868366</v>
      </c>
    </row>
    <row r="789" s="17">
      <c r="A789" s="19" t="n">
        <v>7270</v>
      </c>
      <c r="B789" s="19" t="n">
        <v>50257.491862</v>
      </c>
      <c r="C789" s="19" t="n">
        <v>2.0929098</v>
      </c>
      <c r="D789" s="19" t="n">
        <v>0.0059251681</v>
      </c>
      <c r="E789" s="19" t="n">
        <v>0.03249001752677157</v>
      </c>
      <c r="F789" s="19" t="n">
        <v>0.2512789083798983</v>
      </c>
      <c r="G789" s="19" t="n">
        <v>0.9367260274717971</v>
      </c>
      <c r="H789" s="19" t="n">
        <v>0.246136</v>
      </c>
    </row>
    <row r="790" s="17">
      <c r="A790" s="19" t="n">
        <v>7275</v>
      </c>
      <c r="B790" s="19" t="n">
        <v>48889.582965</v>
      </c>
      <c r="C790" s="19" t="n">
        <v>2.0007947</v>
      </c>
      <c r="D790" s="19" t="n">
        <v>0.0051679848</v>
      </c>
      <c r="E790" s="19" t="n">
        <v>0.1121690608935094</v>
      </c>
      <c r="F790" s="19" t="n">
        <v>0.3478731838175652</v>
      </c>
      <c r="G790" s="19" t="n">
        <v>0.9107354947103019</v>
      </c>
      <c r="H790" s="19" t="n">
        <v>1.018389</v>
      </c>
    </row>
    <row r="791" s="17">
      <c r="A791" s="19" t="n">
        <v>7280</v>
      </c>
      <c r="B791" s="19" t="n">
        <v>66954.88710000001</v>
      </c>
      <c r="C791" s="19" t="n">
        <v>1.5868948</v>
      </c>
      <c r="D791" s="19" t="n">
        <v>0.0029444366</v>
      </c>
      <c r="E791" s="19" t="n">
        <v>0.1059975548410417</v>
      </c>
      <c r="F791" s="19" t="n">
        <v>0.2880322827752313</v>
      </c>
      <c r="G791" s="19" t="n">
        <v>0.843913816557453</v>
      </c>
      <c r="H791" s="19" t="n">
        <v>1.638963</v>
      </c>
    </row>
    <row r="792" s="17">
      <c r="A792" s="19" t="n">
        <v>7285</v>
      </c>
      <c r="B792" s="19" t="n">
        <v>48568.684443</v>
      </c>
      <c r="C792" s="19" t="n">
        <v>1.9797672</v>
      </c>
      <c r="D792" s="19" t="n">
        <v>0.0052192997</v>
      </c>
      <c r="E792" s="19" t="n">
        <v>0.04037517249524329</v>
      </c>
      <c r="F792" s="19" t="n">
        <v>0.08855360389227854</v>
      </c>
      <c r="G792" s="19" t="n">
        <v>0.9230298154906085</v>
      </c>
      <c r="H792" s="19" t="n">
        <v>0.351553</v>
      </c>
    </row>
    <row r="793" s="17">
      <c r="A793" s="19" t="n">
        <v>7290</v>
      </c>
      <c r="B793" s="19" t="n">
        <v>47436.295713</v>
      </c>
      <c r="C793" s="19" t="n">
        <v>2.0033949</v>
      </c>
      <c r="D793" s="19" t="n">
        <v>0.0059830673</v>
      </c>
      <c r="E793" s="19" t="n">
        <v>0.0715210777877085</v>
      </c>
      <c r="F793" s="19" t="n">
        <v>0.1740656883909461</v>
      </c>
      <c r="G793" s="19" t="n">
        <v>0.9436580320714949</v>
      </c>
      <c r="H793" s="19" t="n">
        <v>0.40278</v>
      </c>
    </row>
    <row r="794" s="17">
      <c r="A794" s="19" t="n">
        <v>7295</v>
      </c>
      <c r="B794" s="19" t="n">
        <v>57758.158319</v>
      </c>
      <c r="C794" s="19" t="n">
        <v>2.1915126</v>
      </c>
      <c r="D794" s="19" t="n">
        <v>0.0037676647</v>
      </c>
      <c r="E794" s="19" t="n">
        <v>0.06133575066330579</v>
      </c>
      <c r="F794" s="19" t="n">
        <v>0.3243511038706224</v>
      </c>
      <c r="G794" s="19" t="n">
        <v>0.855075767547758</v>
      </c>
      <c r="H794" s="19" t="n">
        <v>0.877161</v>
      </c>
    </row>
    <row r="795" s="17">
      <c r="A795" s="19" t="n">
        <v>7300</v>
      </c>
      <c r="B795" s="19" t="n">
        <v>46397.117953</v>
      </c>
      <c r="C795" s="19" t="n">
        <v>1.9664952</v>
      </c>
      <c r="D795" s="19" t="n">
        <v>0.0086043388</v>
      </c>
      <c r="E795" s="19" t="n">
        <v>0.04536028332663892</v>
      </c>
      <c r="F795" s="19" t="n">
        <v>0.09684446157097713</v>
      </c>
      <c r="G795" s="19" t="n">
        <v>0.9788514992178541</v>
      </c>
      <c r="H795" s="19" t="n">
        <v>0.13376</v>
      </c>
    </row>
    <row r="796" s="17">
      <c r="A796" s="19" t="n">
        <v>7305</v>
      </c>
      <c r="B796" s="19" t="n">
        <v>48993.668826</v>
      </c>
      <c r="C796" s="19" t="n">
        <v>2.0202069</v>
      </c>
      <c r="D796" s="19" t="n">
        <v>0.0076931387</v>
      </c>
      <c r="E796" s="19" t="n">
        <v>0.111254620335144</v>
      </c>
      <c r="F796" s="19" t="n">
        <v>0.2288553381691957</v>
      </c>
      <c r="G796" s="19" t="n">
        <v>0.9224893665765229</v>
      </c>
      <c r="H796" s="19" t="n">
        <v>0.868816</v>
      </c>
    </row>
    <row r="797" s="17">
      <c r="A797" s="19" t="n">
        <v>7310</v>
      </c>
      <c r="B797" s="19" t="n">
        <v>56821.46584</v>
      </c>
      <c r="C797" s="19" t="n">
        <v>1.7680208</v>
      </c>
      <c r="D797" s="19" t="n">
        <v>0.0043185451</v>
      </c>
      <c r="E797" s="19" t="n">
        <v>0.1196893119936151</v>
      </c>
      <c r="F797" s="19" t="n">
        <v>0.3469806692156006</v>
      </c>
      <c r="G797" s="19" t="n">
        <v>0.9022383730136067</v>
      </c>
      <c r="H797" s="19" t="n">
        <v>1.205168</v>
      </c>
    </row>
    <row r="798" s="17">
      <c r="A798" s="19" t="n">
        <v>7315</v>
      </c>
      <c r="B798" s="19" t="n">
        <v>56370.139099</v>
      </c>
      <c r="C798" s="19" t="n">
        <v>2.0536978</v>
      </c>
      <c r="D798" s="19" t="n">
        <v>0.0091458493</v>
      </c>
      <c r="E798" s="19" t="n">
        <v>0.07456942382304896</v>
      </c>
      <c r="F798" s="19" t="n">
        <v>0.1791053063486651</v>
      </c>
      <c r="G798" s="19" t="n">
        <v>0.9044094967396529</v>
      </c>
      <c r="H798" s="19" t="n">
        <v>0.760833</v>
      </c>
    </row>
    <row r="799" s="17">
      <c r="A799" s="19" t="n">
        <v>7320</v>
      </c>
      <c r="B799" s="19" t="n">
        <v>53608.360961</v>
      </c>
      <c r="C799" s="19" t="n">
        <v>2.0446231</v>
      </c>
      <c r="D799" s="19" t="n">
        <v>0.0046171947</v>
      </c>
      <c r="E799" s="19" t="n">
        <v>0.1124119256011759</v>
      </c>
      <c r="F799" s="19" t="n">
        <v>0.3274342812254805</v>
      </c>
      <c r="G799" s="19" t="n">
        <v>0.9250818229646336</v>
      </c>
      <c r="H799" s="19" t="n">
        <v>0.884506</v>
      </c>
    </row>
    <row r="800" s="17">
      <c r="A800" s="19" t="n">
        <v>7325</v>
      </c>
      <c r="B800" s="19" t="n">
        <v>63096.359344</v>
      </c>
      <c r="C800" s="19" t="n">
        <v>1.5999856</v>
      </c>
      <c r="D800" s="19" t="n">
        <v>0.0051585613</v>
      </c>
      <c r="E800" s="19" t="n">
        <v>0.06384695248644372</v>
      </c>
      <c r="F800" s="19" t="n">
        <v>0.3318460413643081</v>
      </c>
      <c r="G800" s="19" t="n">
        <v>0.8975329893149443</v>
      </c>
      <c r="H800" s="19" t="n">
        <v>0.703596</v>
      </c>
    </row>
    <row r="801" s="17">
      <c r="A801" s="19" t="n">
        <v>7330</v>
      </c>
      <c r="B801" s="19" t="n">
        <v>36670.896535</v>
      </c>
      <c r="C801" s="19" t="n">
        <v>2.0908642</v>
      </c>
      <c r="D801" s="19" t="n">
        <v>0.0070903525</v>
      </c>
      <c r="E801" s="19" t="n">
        <v>0.04669797000027594</v>
      </c>
      <c r="F801" s="19" t="n">
        <v>0.1049937514168512</v>
      </c>
      <c r="G801" s="19" t="n">
        <v>0.9824171291318399</v>
      </c>
      <c r="H801" s="19" t="n">
        <v>0.07230200000000001</v>
      </c>
    </row>
    <row r="802" s="17">
      <c r="A802" s="19" t="n">
        <v>7335</v>
      </c>
      <c r="B802" s="19" t="n">
        <v>41067.498662</v>
      </c>
      <c r="C802" s="19" t="n">
        <v>2.1740028</v>
      </c>
      <c r="D802" s="19" t="n">
        <v>0.0074720513</v>
      </c>
      <c r="E802" s="19" t="n">
        <v>0.1034012139258913</v>
      </c>
      <c r="F802" s="19" t="n">
        <v>0.1903338041909225</v>
      </c>
      <c r="G802" s="19" t="n">
        <v>1</v>
      </c>
      <c r="H802" s="19" t="n">
        <v>0.004054</v>
      </c>
    </row>
    <row r="803" s="17">
      <c r="A803" s="19" t="n">
        <v>7340</v>
      </c>
      <c r="B803" s="19" t="n">
        <v>74502.274538</v>
      </c>
      <c r="C803" s="19" t="n">
        <v>1.5767552</v>
      </c>
      <c r="D803" s="19" t="n">
        <v>0.006053514</v>
      </c>
      <c r="E803" s="19" t="n">
        <v>0.08620671919925757</v>
      </c>
      <c r="F803" s="19" t="n">
        <v>0.2787627281497155</v>
      </c>
      <c r="G803" s="19" t="n">
        <v>0.9061195344159777</v>
      </c>
      <c r="H803" s="19" t="n">
        <v>0.848373</v>
      </c>
    </row>
    <row r="804" s="17">
      <c r="A804" s="19" t="n">
        <v>7345</v>
      </c>
      <c r="B804" s="19" t="n">
        <v>47467.271371</v>
      </c>
      <c r="C804" s="19" t="n">
        <v>2.0640845</v>
      </c>
      <c r="D804" s="19" t="n">
        <v>0.0052456832</v>
      </c>
      <c r="E804" s="19" t="n">
        <v>0.05581949739434239</v>
      </c>
      <c r="F804" s="19" t="n">
        <v>0.2304738485844779</v>
      </c>
      <c r="G804" s="19" t="n">
        <v>0.8995632078957401</v>
      </c>
      <c r="H804" s="19" t="n">
        <v>0.599876</v>
      </c>
    </row>
    <row r="805" s="17">
      <c r="A805" s="19" t="n">
        <v>7350</v>
      </c>
      <c r="B805" s="19" t="n">
        <v>42480.187204</v>
      </c>
      <c r="C805" s="19" t="n">
        <v>1.8372179</v>
      </c>
      <c r="D805" s="19" t="n">
        <v>0.0045903018</v>
      </c>
      <c r="E805" s="19" t="n">
        <v>0.08567256529765443</v>
      </c>
      <c r="F805" s="19" t="n">
        <v>0.3426151194825182</v>
      </c>
      <c r="G805" s="19" t="n">
        <v>0.905128986044556</v>
      </c>
      <c r="H805" s="19" t="n">
        <v>0.83344</v>
      </c>
    </row>
    <row r="806" s="17">
      <c r="A806" s="19" t="n">
        <v>7355</v>
      </c>
      <c r="B806" s="19" t="n">
        <v>54638.544651</v>
      </c>
      <c r="C806" s="19" t="n">
        <v>2.1011294</v>
      </c>
      <c r="D806" s="19" t="n">
        <v>0.0063789312</v>
      </c>
      <c r="E806" s="19" t="n">
        <v>0.03986563992038474</v>
      </c>
      <c r="F806" s="19" t="n">
        <v>0.05778178273607573</v>
      </c>
      <c r="G806" s="19" t="n">
        <v>0.9938626583862755</v>
      </c>
      <c r="H806" s="19" t="n">
        <v>0.037519</v>
      </c>
    </row>
    <row r="807" s="17">
      <c r="A807" s="19" t="n">
        <v>7360</v>
      </c>
      <c r="B807" s="19" t="n">
        <v>57582.815257</v>
      </c>
      <c r="C807" s="19" t="n">
        <v>2.190437</v>
      </c>
      <c r="D807" s="19" t="n">
        <v>0.00943743</v>
      </c>
      <c r="E807" s="19" t="n">
        <v>0.03354343359838612</v>
      </c>
      <c r="F807" s="19" t="n">
        <v>0.2821441101826659</v>
      </c>
      <c r="G807" s="19" t="n">
        <v>0.9384215540707646</v>
      </c>
      <c r="H807" s="19" t="n">
        <v>0.238019</v>
      </c>
    </row>
    <row r="808" s="17">
      <c r="A808" s="19" t="n">
        <v>7365</v>
      </c>
      <c r="B808" s="19" t="n">
        <v>46083.952767</v>
      </c>
      <c r="C808" s="19" t="n">
        <v>1.9436388</v>
      </c>
      <c r="D808" s="19" t="n">
        <v>0.0037131132</v>
      </c>
      <c r="E808" s="19" t="n">
        <v>0.1180834930472598</v>
      </c>
      <c r="F808" s="19" t="n">
        <v>0.1189630481985469</v>
      </c>
      <c r="G808" s="19" t="n">
        <v>0.9627919469147982</v>
      </c>
      <c r="H808" s="19" t="n">
        <v>0.452272</v>
      </c>
    </row>
    <row r="809" s="17">
      <c r="A809" s="19" t="n">
        <v>7370</v>
      </c>
      <c r="B809" s="19" t="n">
        <v>61123.255303</v>
      </c>
      <c r="C809" s="19" t="n">
        <v>2.2685539</v>
      </c>
      <c r="D809" s="19" t="n">
        <v>0.0042846645</v>
      </c>
      <c r="E809" s="19" t="n">
        <v>0.04999445866727812</v>
      </c>
      <c r="F809" s="19" t="n">
        <v>0.2740545458482271</v>
      </c>
      <c r="G809" s="19" t="n">
        <v>0.9615600987178857</v>
      </c>
      <c r="H809" s="19" t="n">
        <v>0.221462</v>
      </c>
    </row>
    <row r="810" s="17">
      <c r="A810" s="19" t="n">
        <v>7375</v>
      </c>
      <c r="B810" s="19" t="n">
        <v>43672.561211</v>
      </c>
      <c r="C810" s="19" t="n">
        <v>1.9388296</v>
      </c>
      <c r="D810" s="19" t="n">
        <v>0.0056432754</v>
      </c>
      <c r="E810" s="19" t="n">
        <v>0.03776813993112259</v>
      </c>
      <c r="F810" s="19" t="n">
        <v>0.02860991466898822</v>
      </c>
      <c r="G810" s="19" t="n">
        <v>0.9757986344229861</v>
      </c>
      <c r="H810" s="19" t="n">
        <v>0.085912</v>
      </c>
    </row>
    <row r="811" s="17">
      <c r="A811" s="19" t="n">
        <v>7380</v>
      </c>
      <c r="B811" s="19" t="n">
        <v>57437.917841</v>
      </c>
      <c r="C811" s="19" t="n">
        <v>2.092537</v>
      </c>
      <c r="D811" s="19" t="n">
        <v>0.0063115144</v>
      </c>
      <c r="E811" s="19" t="n">
        <v>0.1577941139631913</v>
      </c>
      <c r="F811" s="19" t="n">
        <v>0.3447230107443419</v>
      </c>
      <c r="G811" s="19" t="n">
        <v>0.8958771683553091</v>
      </c>
      <c r="H811" s="19" t="n">
        <v>1.675366</v>
      </c>
    </row>
    <row r="812" s="17">
      <c r="A812" s="19" t="n">
        <v>7385</v>
      </c>
      <c r="B812" s="19" t="n">
        <v>71379.87963700001</v>
      </c>
      <c r="C812" s="19" t="n">
        <v>2.249416</v>
      </c>
      <c r="D812" s="19" t="n">
        <v>0.0062217432</v>
      </c>
      <c r="E812" s="19" t="n">
        <v>0.0800920939510356</v>
      </c>
      <c r="F812" s="19" t="n">
        <v>0.3170493515735935</v>
      </c>
      <c r="G812" s="19" t="n">
        <v>0.9651617557892492</v>
      </c>
      <c r="H812" s="19" t="n">
        <v>0.290384</v>
      </c>
    </row>
    <row r="813" s="17">
      <c r="A813" s="19" t="n">
        <v>7390</v>
      </c>
      <c r="B813" s="19" t="n">
        <v>54827.961036</v>
      </c>
      <c r="C813" s="19" t="n">
        <v>2.0501568</v>
      </c>
      <c r="D813" s="19" t="n">
        <v>0.0066858465</v>
      </c>
      <c r="E813" s="19" t="n">
        <v>0.06861407821695589</v>
      </c>
      <c r="F813" s="19" t="n">
        <v>0.2635806842882085</v>
      </c>
      <c r="G813" s="19" t="n">
        <v>0.9097192949507812</v>
      </c>
      <c r="H813" s="19" t="n">
        <v>0.630934</v>
      </c>
    </row>
    <row r="814" s="17">
      <c r="A814" s="19" t="n">
        <v>7395</v>
      </c>
      <c r="B814" s="19" t="n">
        <v>46909.111704</v>
      </c>
      <c r="C814" s="19" t="n">
        <v>2.2457547</v>
      </c>
      <c r="D814" s="19" t="n">
        <v>0.0036116105</v>
      </c>
      <c r="E814" s="19" t="n">
        <v>0.113496189817848</v>
      </c>
      <c r="F814" s="19" t="n">
        <v>0.1029859729853998</v>
      </c>
      <c r="G814" s="19" t="n">
        <v>0.9099063284025047</v>
      </c>
      <c r="H814" s="19" t="n">
        <v>1.007055</v>
      </c>
    </row>
    <row r="815" s="17">
      <c r="A815" s="19" t="n">
        <v>7400</v>
      </c>
      <c r="B815" s="19" t="n">
        <v>64567.391961</v>
      </c>
      <c r="C815" s="19" t="n">
        <v>1.4858369</v>
      </c>
      <c r="D815" s="19" t="n">
        <v>0.00626343</v>
      </c>
      <c r="E815" s="19" t="n">
        <v>0.1080767520541706</v>
      </c>
      <c r="F815" s="19" t="n">
        <v>0.276398414743005</v>
      </c>
      <c r="G815" s="19" t="n">
        <v>0.9161014483252806</v>
      </c>
      <c r="H815" s="19" t="n">
        <v>0.913296</v>
      </c>
    </row>
    <row r="816" s="17">
      <c r="A816" s="19" t="n">
        <v>7405</v>
      </c>
      <c r="B816" s="19" t="n">
        <v>49248.920048</v>
      </c>
      <c r="C816" s="19" t="n">
        <v>1.8274245</v>
      </c>
      <c r="D816" s="19" t="n">
        <v>0.0056892244</v>
      </c>
      <c r="E816" s="19" t="n">
        <v>0.05294477349388416</v>
      </c>
      <c r="F816" s="19" t="n">
        <v>0.09314362900735197</v>
      </c>
      <c r="G816" s="19" t="n">
        <v>0.9480241048493017</v>
      </c>
      <c r="H816" s="19" t="n">
        <v>0.272614</v>
      </c>
    </row>
    <row r="817" s="17">
      <c r="A817" s="19" t="n">
        <v>7410</v>
      </c>
      <c r="B817" s="19" t="n">
        <v>53161.250417</v>
      </c>
      <c r="C817" s="19" t="n">
        <v>2.111796</v>
      </c>
      <c r="D817" s="19" t="n">
        <v>0.0053775003</v>
      </c>
      <c r="E817" s="19" t="n">
        <v>0.115150708414568</v>
      </c>
      <c r="F817" s="19" t="n">
        <v>0.1582407126369637</v>
      </c>
      <c r="G817" s="19" t="n">
        <v>0.8740668281068268</v>
      </c>
      <c r="H817" s="19" t="n">
        <v>1.498841</v>
      </c>
    </row>
    <row r="818" s="17">
      <c r="A818" s="19" t="n">
        <v>7415</v>
      </c>
      <c r="B818" s="19" t="n">
        <v>63977.54502</v>
      </c>
      <c r="C818" s="19" t="n">
        <v>2.1477462</v>
      </c>
      <c r="D818" s="19" t="n">
        <v>0.005599627</v>
      </c>
      <c r="E818" s="19" t="n">
        <v>0.09976361931821603</v>
      </c>
      <c r="F818" s="19" t="n">
        <v>0.2927610275785103</v>
      </c>
      <c r="G818" s="19" t="n">
        <v>0.9036650183852133</v>
      </c>
      <c r="H818" s="19" t="n">
        <v>0.963012</v>
      </c>
    </row>
    <row r="819" s="17">
      <c r="A819" s="19" t="n">
        <v>7420</v>
      </c>
      <c r="B819" s="19" t="n">
        <v>48633.463059</v>
      </c>
      <c r="C819" s="19" t="n">
        <v>2.0684235</v>
      </c>
      <c r="D819" s="19" t="n">
        <v>0.007122074</v>
      </c>
      <c r="E819" s="19" t="n">
        <v>0.0579764669301339</v>
      </c>
      <c r="F819" s="19" t="n">
        <v>0.1348780094415515</v>
      </c>
      <c r="G819" s="19" t="n">
        <v>0.9599036890294507</v>
      </c>
      <c r="H819" s="19" t="n">
        <v>0.229319</v>
      </c>
    </row>
    <row r="820" s="17">
      <c r="A820" s="19" t="n">
        <v>7425</v>
      </c>
      <c r="B820" s="19" t="n">
        <v>39319.729335</v>
      </c>
      <c r="C820" s="19" t="n">
        <v>1.9446002</v>
      </c>
      <c r="D820" s="19" t="n">
        <v>0.0077580609</v>
      </c>
      <c r="E820" s="19" t="n">
        <v>0.08797809298742496</v>
      </c>
      <c r="F820" s="19" t="n">
        <v>0.3019899112656972</v>
      </c>
      <c r="G820" s="19" t="n">
        <v>0.9339946099473039</v>
      </c>
      <c r="H820" s="19" t="n">
        <v>0.575051</v>
      </c>
    </row>
    <row r="821" s="17">
      <c r="A821" s="19" t="n">
        <v>7430</v>
      </c>
      <c r="B821" s="19" t="n">
        <v>72217.886272</v>
      </c>
      <c r="C821" s="19" t="n">
        <v>1.5571211</v>
      </c>
      <c r="D821" s="19" t="n">
        <v>0.0046701293</v>
      </c>
      <c r="E821" s="19" t="n">
        <v>0.1198082983429202</v>
      </c>
      <c r="F821" s="19" t="n">
        <v>0.3775609955055181</v>
      </c>
      <c r="G821" s="19" t="n">
        <v>0.850501623223642</v>
      </c>
      <c r="H821" s="19" t="n">
        <v>1.800319</v>
      </c>
    </row>
    <row r="822" s="17">
      <c r="A822" s="19" t="n">
        <v>7435</v>
      </c>
      <c r="B822" s="19" t="n">
        <v>46998.348821</v>
      </c>
      <c r="C822" s="19" t="n">
        <v>1.7817803</v>
      </c>
      <c r="D822" s="19" t="n">
        <v>0.0061285228</v>
      </c>
      <c r="E822" s="19" t="n">
        <v>0.04090390605113604</v>
      </c>
      <c r="F822" s="19" t="n">
        <v>0.06996710138379718</v>
      </c>
      <c r="G822" s="19" t="n">
        <v>0.9551482069647806</v>
      </c>
      <c r="H822" s="19" t="n">
        <v>0.207121</v>
      </c>
    </row>
    <row r="823" s="17">
      <c r="A823" s="19" t="n">
        <v>7440</v>
      </c>
      <c r="B823" s="19" t="n">
        <v>61226.170957</v>
      </c>
      <c r="C823" s="19" t="n">
        <v>2.0885593</v>
      </c>
      <c r="D823" s="19" t="n">
        <v>0.0071595842</v>
      </c>
      <c r="E823" s="19" t="n">
        <v>0.1596855931811912</v>
      </c>
      <c r="F823" s="19" t="n">
        <v>0.2990447409852889</v>
      </c>
      <c r="G823" s="19" t="n">
        <v>0.882683664038763</v>
      </c>
      <c r="H823" s="19" t="n">
        <v>1.862805</v>
      </c>
    </row>
    <row r="824" s="17">
      <c r="A824" s="19" t="n">
        <v>7445</v>
      </c>
      <c r="B824" s="19" t="n">
        <v>61753.784625</v>
      </c>
      <c r="C824" s="19" t="n">
        <v>2.207214</v>
      </c>
      <c r="D824" s="19" t="n">
        <v>0.0046209971</v>
      </c>
      <c r="E824" s="19" t="n">
        <v>0.09338497286118921</v>
      </c>
      <c r="F824" s="19" t="n">
        <v>0.2792726752694492</v>
      </c>
      <c r="G824" s="19" t="n">
        <v>0.8879499315813285</v>
      </c>
      <c r="H824" s="19" t="n">
        <v>1.061758</v>
      </c>
    </row>
    <row r="825" s="17">
      <c r="A825" s="19" t="n">
        <v>7450</v>
      </c>
      <c r="B825" s="19" t="n">
        <v>50080.315135</v>
      </c>
      <c r="C825" s="19" t="n">
        <v>1.7996357</v>
      </c>
      <c r="D825" s="19" t="n">
        <v>0.0064680838</v>
      </c>
      <c r="E825" s="19" t="n">
        <v>0.07466226863218216</v>
      </c>
      <c r="F825" s="19" t="n">
        <v>0.08287419048941565</v>
      </c>
      <c r="G825" s="19" t="n">
        <v>0.9347121262412298</v>
      </c>
      <c r="H825" s="19" t="n">
        <v>0.535656</v>
      </c>
    </row>
    <row r="826" s="17">
      <c r="A826" s="19" t="n">
        <v>7455</v>
      </c>
      <c r="B826" s="19" t="n">
        <v>65291.812895</v>
      </c>
      <c r="C826" s="19" t="n">
        <v>2.3151464</v>
      </c>
      <c r="D826" s="19" t="n">
        <v>0.0057236347</v>
      </c>
      <c r="E826" s="19" t="n">
        <v>0.1375960298313166</v>
      </c>
      <c r="F826" s="19" t="n">
        <v>0.09356901749877125</v>
      </c>
      <c r="G826" s="19" t="n">
        <v>0.9478107052779083</v>
      </c>
      <c r="H826" s="19" t="n">
        <v>0.747154</v>
      </c>
    </row>
    <row r="827" s="17">
      <c r="A827" s="19" t="n">
        <v>7460</v>
      </c>
      <c r="B827" s="19" t="n">
        <v>73776.683775</v>
      </c>
      <c r="C827" s="19" t="n">
        <v>2.1479383</v>
      </c>
      <c r="D827" s="19" t="n">
        <v>0.0053744649</v>
      </c>
      <c r="E827" s="19" t="n">
        <v>0.06748747570753212</v>
      </c>
      <c r="F827" s="19" t="n">
        <v>0.2761061336954979</v>
      </c>
      <c r="G827" s="19" t="n">
        <v>0.8971236760939831</v>
      </c>
      <c r="H827" s="19" t="n">
        <v>0.708</v>
      </c>
    </row>
    <row r="828" s="17">
      <c r="A828" s="19" t="n">
        <v>7465</v>
      </c>
      <c r="B828" s="19" t="n">
        <v>53808.84397</v>
      </c>
      <c r="C828" s="19" t="n">
        <v>1.9734434</v>
      </c>
      <c r="D828" s="19" t="n">
        <v>0.0063423232</v>
      </c>
      <c r="E828" s="19" t="n">
        <v>0.05294755385003862</v>
      </c>
      <c r="F828" s="19" t="n">
        <v>0.02855527891644025</v>
      </c>
      <c r="G828" s="19" t="n">
        <v>0.9311152487890089</v>
      </c>
      <c r="H828" s="19" t="n">
        <v>0.400576</v>
      </c>
    </row>
    <row r="829" s="17">
      <c r="A829" s="19" t="n">
        <v>7470</v>
      </c>
      <c r="B829" s="19" t="n">
        <v>55607.638736</v>
      </c>
      <c r="C829" s="19" t="n">
        <v>2.0839547</v>
      </c>
      <c r="D829" s="19" t="n">
        <v>0.0055156268</v>
      </c>
      <c r="E829" s="19" t="n">
        <v>0.1208550421307292</v>
      </c>
      <c r="F829" s="19" t="n">
        <v>0.1251968730500079</v>
      </c>
      <c r="G829" s="19" t="n">
        <v>0.9117928915771695</v>
      </c>
      <c r="H829" s="19" t="n">
        <v>1.077294</v>
      </c>
    </row>
    <row r="830" s="17">
      <c r="A830" s="19" t="n">
        <v>7475</v>
      </c>
      <c r="B830" s="19" t="n">
        <v>65110.290477</v>
      </c>
      <c r="C830" s="19" t="n">
        <v>1.4638876</v>
      </c>
      <c r="D830" s="19" t="n">
        <v>0.0044634946</v>
      </c>
      <c r="E830" s="19" t="n">
        <v>0.06652676318011716</v>
      </c>
      <c r="F830" s="19" t="n">
        <v>0.2124841688109087</v>
      </c>
      <c r="G830" s="19" t="n">
        <v>0.9455499192393153</v>
      </c>
      <c r="H830" s="19" t="n">
        <v>0.367782</v>
      </c>
    </row>
    <row r="831" s="17">
      <c r="A831" s="19" t="n">
        <v>7480</v>
      </c>
      <c r="B831" s="19" t="n">
        <v>57989.656169</v>
      </c>
      <c r="C831" s="19" t="n">
        <v>1.9809381</v>
      </c>
      <c r="D831" s="19" t="n">
        <v>0.0061549894</v>
      </c>
      <c r="E831" s="19" t="n">
        <v>0.03861978770993964</v>
      </c>
      <c r="F831" s="19" t="n">
        <v>0.2078952072967097</v>
      </c>
      <c r="G831" s="19" t="n">
        <v>0.890964825243719</v>
      </c>
      <c r="H831" s="19" t="n">
        <v>0.415685</v>
      </c>
    </row>
    <row r="832" s="17">
      <c r="A832" s="19" t="n">
        <v>7485</v>
      </c>
      <c r="B832" s="19" t="n">
        <v>52585.630246</v>
      </c>
      <c r="C832" s="19" t="n">
        <v>2.051699</v>
      </c>
      <c r="D832" s="19" t="n">
        <v>0.0061413364</v>
      </c>
      <c r="E832" s="19" t="n">
        <v>0.06088619177214109</v>
      </c>
      <c r="F832" s="19" t="n">
        <v>0.1643303827088139</v>
      </c>
      <c r="G832" s="19" t="n">
        <v>0.9415894862894483</v>
      </c>
      <c r="H832" s="19" t="n">
        <v>0.397305</v>
      </c>
    </row>
    <row r="833" s="17">
      <c r="A833" s="19" t="n">
        <v>7490</v>
      </c>
      <c r="B833" s="19" t="n">
        <v>61300.951054</v>
      </c>
      <c r="C833" s="19" t="n">
        <v>1.7990092</v>
      </c>
      <c r="D833" s="19" t="n">
        <v>0.0043333989</v>
      </c>
      <c r="E833" s="19" t="n">
        <v>0.05513908717527363</v>
      </c>
      <c r="F833" s="19" t="n">
        <v>0.3425302486363856</v>
      </c>
      <c r="G833" s="19" t="n">
        <v>0.8883009235566098</v>
      </c>
      <c r="H833" s="19" t="n">
        <v>0.6041800000000001</v>
      </c>
    </row>
    <row r="834" s="17">
      <c r="A834" s="19" t="n">
        <v>7495</v>
      </c>
      <c r="B834" s="19" t="n">
        <v>32534.737347</v>
      </c>
      <c r="C834" s="19" t="n">
        <v>1.9828451</v>
      </c>
      <c r="D834" s="19" t="n">
        <v>0.0057515369</v>
      </c>
      <c r="E834" s="19" t="n">
        <v>0.06855173272971393</v>
      </c>
      <c r="F834" s="19" t="n">
        <v>0.1811453529675862</v>
      </c>
      <c r="G834" s="19" t="n">
        <v>0.9410814482034258</v>
      </c>
      <c r="H834" s="19" t="n">
        <v>0.390419</v>
      </c>
    </row>
    <row r="835" s="17">
      <c r="A835" s="19" t="n">
        <v>7500</v>
      </c>
      <c r="B835" s="19" t="n">
        <v>60914.366758</v>
      </c>
      <c r="C835" s="19" t="n">
        <v>1.8036447</v>
      </c>
      <c r="D835" s="19" t="n">
        <v>0.0043270017</v>
      </c>
      <c r="E835" s="19" t="n">
        <v>0.08505361327241992</v>
      </c>
      <c r="F835" s="19" t="n">
        <v>0.09091320805789881</v>
      </c>
      <c r="G835" s="19" t="n">
        <v>0.9480333817504485</v>
      </c>
      <c r="H835" s="19" t="n">
        <v>0.425449</v>
      </c>
    </row>
    <row r="836" s="17">
      <c r="A836" s="19" t="n">
        <v>7505</v>
      </c>
      <c r="B836" s="19" t="n">
        <v>72854.849535</v>
      </c>
      <c r="C836" s="19" t="n">
        <v>2.3828832</v>
      </c>
      <c r="D836" s="19" t="n">
        <v>0.003983569</v>
      </c>
      <c r="E836" s="19" t="n">
        <v>0.1064663161212097</v>
      </c>
      <c r="F836" s="19" t="n">
        <v>0.2314160956347181</v>
      </c>
      <c r="G836" s="19" t="n">
        <v>0.9898334067224007</v>
      </c>
      <c r="H836" s="19" t="n">
        <v>0.149785</v>
      </c>
    </row>
    <row r="837" s="17">
      <c r="A837" s="19" t="n">
        <v>7510</v>
      </c>
      <c r="B837" s="19" t="n">
        <v>46175.796662</v>
      </c>
      <c r="C837" s="19" t="n">
        <v>1.9489289</v>
      </c>
      <c r="D837" s="19" t="n">
        <v>0.005156174</v>
      </c>
      <c r="E837" s="19" t="n">
        <v>0.04915981020127293</v>
      </c>
      <c r="F837" s="19" t="n">
        <v>0.1356002266626926</v>
      </c>
      <c r="G837" s="19" t="n">
        <v>0.9537827561635764</v>
      </c>
      <c r="H837" s="19" t="n">
        <v>0.231814</v>
      </c>
    </row>
    <row r="838" s="17">
      <c r="A838" s="19" t="n">
        <v>7515</v>
      </c>
      <c r="B838" s="19" t="n">
        <v>66907.370387</v>
      </c>
      <c r="C838" s="19" t="n">
        <v>1.8507043</v>
      </c>
      <c r="D838" s="19" t="n">
        <v>0.0061370371</v>
      </c>
      <c r="E838" s="19" t="n">
        <v>0.1479401181251824</v>
      </c>
      <c r="F838" s="19" t="n">
        <v>0.2443703329497086</v>
      </c>
      <c r="G838" s="19" t="n">
        <v>0.8951889119804879</v>
      </c>
      <c r="H838" s="19" t="n">
        <v>1.545638</v>
      </c>
    </row>
    <row r="839" s="17">
      <c r="A839" s="19" t="n">
        <v>7520</v>
      </c>
      <c r="B839" s="19" t="n">
        <v>70090.341591</v>
      </c>
      <c r="C839" s="19" t="n">
        <v>1.6436801</v>
      </c>
      <c r="D839" s="19" t="n">
        <v>0.0062693713</v>
      </c>
      <c r="E839" s="19" t="n">
        <v>0.1103492297906488</v>
      </c>
      <c r="F839" s="19" t="n">
        <v>0.2738338307771446</v>
      </c>
      <c r="G839" s="19" t="n">
        <v>0.9183878260605857</v>
      </c>
      <c r="H839" s="19" t="n">
        <v>0.8973640000000001</v>
      </c>
    </row>
    <row r="840" s="17">
      <c r="A840" s="19" t="n">
        <v>7525</v>
      </c>
      <c r="B840" s="19" t="n">
        <v>43838.467378</v>
      </c>
      <c r="C840" s="19" t="n">
        <v>2.0408424</v>
      </c>
      <c r="D840" s="19" t="n">
        <v>0.0056964808</v>
      </c>
      <c r="E840" s="19" t="n">
        <v>0.04791577977800875</v>
      </c>
      <c r="F840" s="19" t="n">
        <v>0.1233113569916855</v>
      </c>
      <c r="G840" s="19" t="n">
        <v>0.9451361217695862</v>
      </c>
      <c r="H840" s="19" t="n">
        <v>0.24446</v>
      </c>
    </row>
    <row r="841" s="17">
      <c r="A841" s="19" t="n">
        <v>7530</v>
      </c>
      <c r="B841" s="19" t="n">
        <v>55001.698317</v>
      </c>
      <c r="C841" s="19" t="n">
        <v>2.3030246</v>
      </c>
      <c r="D841" s="19" t="n">
        <v>0.0072945562</v>
      </c>
      <c r="E841" s="19" t="n">
        <v>0.09421912422127324</v>
      </c>
      <c r="F841" s="19" t="n">
        <v>0.2364869830886436</v>
      </c>
      <c r="G841" s="19" t="n">
        <v>0.9545220992464358</v>
      </c>
      <c r="H841" s="19" t="n">
        <v>0.475258</v>
      </c>
    </row>
    <row r="842" s="17">
      <c r="A842" s="19" t="n">
        <v>7535</v>
      </c>
      <c r="B842" s="19" t="n">
        <v>58032.232955</v>
      </c>
      <c r="C842" s="19" t="n">
        <v>2.3331102</v>
      </c>
      <c r="D842" s="19" t="n">
        <v>0.0039150783</v>
      </c>
      <c r="E842" s="19" t="n">
        <v>0.09254330199438801</v>
      </c>
      <c r="F842" s="19" t="n">
        <v>0.2722367958939294</v>
      </c>
      <c r="G842" s="19" t="n">
        <v>0.8875197981350366</v>
      </c>
      <c r="H842" s="19" t="n">
        <v>1.073976</v>
      </c>
    </row>
    <row r="843" s="17">
      <c r="A843" s="19" t="n">
        <v>7540</v>
      </c>
      <c r="B843" s="19" t="n">
        <v>40598.713823</v>
      </c>
      <c r="C843" s="19" t="n">
        <v>1.7999837</v>
      </c>
      <c r="D843" s="19" t="n">
        <v>0.0064569136</v>
      </c>
      <c r="E843" s="19" t="n">
        <v>0.04161571295737788</v>
      </c>
      <c r="F843" s="19" t="n">
        <v>0.2389624261442443</v>
      </c>
      <c r="G843" s="19" t="n">
        <v>0.9198411031586419</v>
      </c>
      <c r="H843" s="19" t="n">
        <v>0.326151</v>
      </c>
    </row>
    <row r="844" s="17">
      <c r="A844" s="19" t="n">
        <v>7545</v>
      </c>
      <c r="B844" s="19" t="n">
        <v>54722.281453</v>
      </c>
      <c r="C844" s="19" t="n">
        <v>1.8685377</v>
      </c>
      <c r="D844" s="19" t="n">
        <v>0.007869449299999999</v>
      </c>
      <c r="E844" s="19" t="n">
        <v>0.09733692715019163</v>
      </c>
      <c r="F844" s="19" t="n">
        <v>0.1436622697331351</v>
      </c>
      <c r="G844" s="19" t="n">
        <v>0.9391010112749573</v>
      </c>
      <c r="H844" s="19" t="n">
        <v>0.5903119999999999</v>
      </c>
    </row>
    <row r="845" s="17">
      <c r="A845" s="19" t="n">
        <v>7550</v>
      </c>
      <c r="B845" s="19" t="n">
        <v>39313.49509</v>
      </c>
      <c r="C845" s="19" t="n">
        <v>1.9555241</v>
      </c>
      <c r="D845" s="19" t="n">
        <v>0.0080469641</v>
      </c>
      <c r="E845" s="19" t="n">
        <v>0.06615506048056456</v>
      </c>
      <c r="F845" s="19" t="n">
        <v>0.08515169635548943</v>
      </c>
      <c r="G845" s="19" t="n">
        <v>0.9981240218769761</v>
      </c>
      <c r="H845" s="19" t="n">
        <v>0.059072</v>
      </c>
    </row>
    <row r="846" s="17">
      <c r="A846" s="19" t="n">
        <v>7555</v>
      </c>
      <c r="B846" s="19" t="n">
        <v>44668.587705</v>
      </c>
      <c r="C846" s="19" t="n">
        <v>1.9420273</v>
      </c>
      <c r="D846" s="19" t="n">
        <v>0.0064095476</v>
      </c>
      <c r="E846" s="19" t="n">
        <v>0.05270142967024213</v>
      </c>
      <c r="F846" s="19" t="n">
        <v>0.1289672348452664</v>
      </c>
      <c r="G846" s="19" t="n">
        <v>0.8994121301020727</v>
      </c>
      <c r="H846" s="19" t="n">
        <v>0.5703009999999999</v>
      </c>
    </row>
    <row r="847" s="17">
      <c r="A847" s="19" t="n">
        <v>7560</v>
      </c>
      <c r="B847" s="19" t="n">
        <v>65283.134447</v>
      </c>
      <c r="C847" s="19" t="n">
        <v>1.9485069</v>
      </c>
      <c r="D847" s="19" t="n">
        <v>0.0063637129</v>
      </c>
      <c r="E847" s="19" t="n">
        <v>0.1412452299979065</v>
      </c>
      <c r="F847" s="19" t="n">
        <v>0.1214934765043603</v>
      </c>
      <c r="G847" s="19" t="n">
        <v>0.8324876813306645</v>
      </c>
      <c r="H847" s="19" t="n">
        <v>2.367644</v>
      </c>
    </row>
    <row r="848" s="17">
      <c r="A848" s="19" t="n">
        <v>7565</v>
      </c>
      <c r="B848" s="19" t="n">
        <v>74240.953909</v>
      </c>
      <c r="C848" s="19" t="n">
        <v>1.5389071</v>
      </c>
      <c r="D848" s="19" t="n">
        <v>0.0031024013</v>
      </c>
      <c r="E848" s="19" t="n">
        <v>0.07656549791954539</v>
      </c>
      <c r="F848" s="19" t="n">
        <v>0.2946161955661647</v>
      </c>
      <c r="G848" s="19" t="n">
        <v>0.9533554880710812</v>
      </c>
      <c r="H848" s="19" t="n">
        <v>0.387618</v>
      </c>
    </row>
    <row r="849" s="17">
      <c r="A849" s="19" t="n">
        <v>7570</v>
      </c>
      <c r="B849" s="19" t="n">
        <v>38379.634574</v>
      </c>
      <c r="C849" s="19" t="n">
        <v>1.9362396</v>
      </c>
      <c r="D849" s="19" t="n">
        <v>0.009609183</v>
      </c>
      <c r="E849" s="19" t="n">
        <v>0.06778871662821281</v>
      </c>
      <c r="F849" s="19" t="n">
        <v>0.2953788338005769</v>
      </c>
      <c r="G849" s="19" t="n">
        <v>0.8819401079536474</v>
      </c>
      <c r="H849" s="19" t="n">
        <v>0.782462</v>
      </c>
    </row>
    <row r="850" s="17">
      <c r="A850" s="19" t="n">
        <v>7575</v>
      </c>
      <c r="B850" s="19" t="n">
        <v>55030.365859</v>
      </c>
      <c r="C850" s="19" t="n">
        <v>1.843402</v>
      </c>
      <c r="D850" s="19" t="n">
        <v>0.0078120257</v>
      </c>
      <c r="E850" s="19" t="n">
        <v>0.1079646418424381</v>
      </c>
      <c r="F850" s="19" t="n">
        <v>0.1086678510221925</v>
      </c>
      <c r="G850" s="19" t="n">
        <v>0.9103068212908931</v>
      </c>
      <c r="H850" s="19" t="n">
        <v>0.980772</v>
      </c>
    </row>
    <row r="851" s="17">
      <c r="A851" s="19" t="n">
        <v>7580</v>
      </c>
      <c r="B851" s="19" t="n">
        <v>73577.851574</v>
      </c>
      <c r="C851" s="19" t="n">
        <v>1.5001883</v>
      </c>
      <c r="D851" s="19" t="n">
        <v>0.0031376886</v>
      </c>
      <c r="E851" s="19" t="n">
        <v>0.11403300571716</v>
      </c>
      <c r="F851" s="19" t="n">
        <v>0.3792787775418658</v>
      </c>
      <c r="G851" s="19" t="n">
        <v>0.8948859455348314</v>
      </c>
      <c r="H851" s="19" t="n">
        <v>1.192067</v>
      </c>
    </row>
    <row r="852" s="17">
      <c r="A852" s="19" t="n">
        <v>7585</v>
      </c>
      <c r="B852" s="19" t="n">
        <v>39921.653454</v>
      </c>
      <c r="C852" s="19" t="n">
        <v>1.8829439</v>
      </c>
      <c r="D852" s="19" t="n">
        <v>0.007899252400000001</v>
      </c>
      <c r="E852" s="19" t="n">
        <v>0.06273542382712538</v>
      </c>
      <c r="F852" s="19" t="n">
        <v>0.2707990732964988</v>
      </c>
      <c r="G852" s="19" t="n">
        <v>0.9060287812811026</v>
      </c>
      <c r="H852" s="19" t="n">
        <v>0.57658</v>
      </c>
    </row>
    <row r="853" s="17">
      <c r="A853" s="19" t="n">
        <v>7590</v>
      </c>
      <c r="B853" s="19" t="n">
        <v>60070.537076</v>
      </c>
      <c r="C853" s="19" t="n">
        <v>1.9295808</v>
      </c>
      <c r="D853" s="19" t="n">
        <v>0.0036213593</v>
      </c>
      <c r="E853" s="19" t="n">
        <v>0.1385922661655174</v>
      </c>
      <c r="F853" s="19" t="n">
        <v>0.1668402116606533</v>
      </c>
      <c r="G853" s="19" t="n">
        <v>0.9171294480427674</v>
      </c>
      <c r="H853" s="19" t="n">
        <v>1.189766</v>
      </c>
    </row>
    <row r="854" s="17">
      <c r="A854" s="19" t="n">
        <v>7595</v>
      </c>
      <c r="B854" s="19" t="n">
        <v>70959.17015000001</v>
      </c>
      <c r="C854" s="19" t="n">
        <v>1.5953066</v>
      </c>
      <c r="D854" s="19" t="n">
        <v>0.0029176166</v>
      </c>
      <c r="E854" s="19" t="n">
        <v>0.05914396902392632</v>
      </c>
      <c r="F854" s="19" t="n">
        <v>0.2315852529633532</v>
      </c>
      <c r="G854" s="19" t="n">
        <v>0.975686872209971</v>
      </c>
      <c r="H854" s="19" t="n">
        <v>0.15902</v>
      </c>
    </row>
    <row r="855" s="17">
      <c r="A855" s="19" t="n">
        <v>7600</v>
      </c>
      <c r="B855" s="19" t="n">
        <v>40358.843874</v>
      </c>
      <c r="C855" s="19" t="n">
        <v>1.9326191</v>
      </c>
      <c r="D855" s="19" t="n">
        <v>0.0056506462</v>
      </c>
      <c r="E855" s="19" t="n">
        <v>0.04771530090731535</v>
      </c>
      <c r="F855" s="19" t="n">
        <v>0.1400432756401216</v>
      </c>
      <c r="G855" s="19" t="n">
        <v>0.9260029934827271</v>
      </c>
      <c r="H855" s="19" t="n">
        <v>0.34825</v>
      </c>
    </row>
    <row r="856" s="17">
      <c r="A856" s="19" t="n">
        <v>7605</v>
      </c>
      <c r="B856" s="19" t="n">
        <v>53953.723694</v>
      </c>
      <c r="C856" s="19" t="n">
        <v>1.8655291</v>
      </c>
      <c r="D856" s="19" t="n">
        <v>0.0060958135</v>
      </c>
      <c r="E856" s="19" t="n">
        <v>0.1554422784495965</v>
      </c>
      <c r="F856" s="19" t="n">
        <v>0.3270665490275276</v>
      </c>
      <c r="G856" s="19" t="n">
        <v>0.8732179449435669</v>
      </c>
      <c r="H856" s="19" t="n">
        <v>1.982363</v>
      </c>
    </row>
    <row r="857" s="17">
      <c r="A857" s="19" t="n">
        <v>7610</v>
      </c>
      <c r="B857" s="19" t="n">
        <v>66170.82612899999</v>
      </c>
      <c r="C857" s="19" t="n">
        <v>1.7698417</v>
      </c>
      <c r="D857" s="19" t="n">
        <v>0.0049485438</v>
      </c>
      <c r="E857" s="19" t="n">
        <v>0.06830862035053235</v>
      </c>
      <c r="F857" s="19" t="n">
        <v>0.2949253031235095</v>
      </c>
      <c r="G857" s="19" t="n">
        <v>0.929693885203426</v>
      </c>
      <c r="H857" s="19" t="n">
        <v>0.46383</v>
      </c>
    </row>
    <row r="858" s="17">
      <c r="A858" s="19" t="n">
        <v>7615</v>
      </c>
      <c r="B858" s="19" t="n">
        <v>42500.07419</v>
      </c>
      <c r="C858" s="19" t="n">
        <v>1.9891147</v>
      </c>
      <c r="D858" s="19" t="n">
        <v>0.0056748715</v>
      </c>
      <c r="E858" s="19" t="n">
        <v>0.05674990317510067</v>
      </c>
      <c r="F858" s="19" t="n">
        <v>0.1582334602712472</v>
      </c>
      <c r="G858" s="19" t="n">
        <v>1</v>
      </c>
      <c r="H858" s="19" t="n">
        <v>0.001</v>
      </c>
    </row>
    <row r="859" s="17">
      <c r="A859" s="19" t="n">
        <v>7620</v>
      </c>
      <c r="B859" s="19" t="n">
        <v>62690.694295</v>
      </c>
      <c r="C859" s="19" t="n">
        <v>2.1322442</v>
      </c>
      <c r="D859" s="19" t="n">
        <v>0.0056087847</v>
      </c>
      <c r="E859" s="19" t="n">
        <v>0.1051339702393348</v>
      </c>
      <c r="F859" s="19" t="n">
        <v>0.09579995830006544</v>
      </c>
      <c r="G859" s="19" t="n">
        <v>0.9432820977896437</v>
      </c>
      <c r="H859" s="19" t="n">
        <v>0.605498</v>
      </c>
    </row>
    <row r="860" s="17">
      <c r="A860" s="19" t="n">
        <v>7625</v>
      </c>
      <c r="B860" s="19" t="n">
        <v>67578.302104</v>
      </c>
      <c r="C860" s="19" t="n">
        <v>1.4840367</v>
      </c>
      <c r="D860" s="19" t="n">
        <v>0.0037171116</v>
      </c>
      <c r="E860" s="19" t="n">
        <v>0.04530869055262927</v>
      </c>
      <c r="F860" s="19" t="n">
        <v>0.3648554264997962</v>
      </c>
      <c r="G860" s="19" t="n">
        <v>0.9275429477085013</v>
      </c>
      <c r="H860" s="19" t="n">
        <v>0.364846</v>
      </c>
    </row>
    <row r="861" s="17">
      <c r="A861" s="19" t="n">
        <v>7630</v>
      </c>
      <c r="B861" s="19" t="n">
        <v>40195.398337</v>
      </c>
      <c r="C861" s="19" t="n">
        <v>2.1298279</v>
      </c>
      <c r="D861" s="19" t="n">
        <v>0.0063644558</v>
      </c>
      <c r="E861" s="19" t="n">
        <v>0.05028701181838886</v>
      </c>
      <c r="F861" s="19" t="n">
        <v>0.1988663083795036</v>
      </c>
      <c r="G861" s="19" t="n">
        <v>0.9314530319944714</v>
      </c>
      <c r="H861" s="19" t="n">
        <v>0.370543</v>
      </c>
    </row>
    <row r="862" s="17">
      <c r="A862" s="19" t="n">
        <v>7635</v>
      </c>
      <c r="B862" s="19" t="n">
        <v>35588.529326</v>
      </c>
      <c r="C862" s="19" t="n">
        <v>2.2870701</v>
      </c>
      <c r="D862" s="19" t="n">
        <v>0.0073078353</v>
      </c>
      <c r="E862" s="19" t="n">
        <v>0.1569572739354563</v>
      </c>
      <c r="F862" s="19" t="n">
        <v>0.1215694676414206</v>
      </c>
      <c r="G862" s="19" t="n">
        <v>0.9049372192027081</v>
      </c>
      <c r="H862" s="19" t="n">
        <v>1.507943</v>
      </c>
    </row>
    <row r="863" s="17">
      <c r="A863" s="19" t="n">
        <v>7640</v>
      </c>
      <c r="B863" s="19" t="n">
        <v>70696.07952699999</v>
      </c>
      <c r="C863" s="19" t="n">
        <v>1.703868</v>
      </c>
      <c r="D863" s="19" t="n">
        <v>0.0053665034</v>
      </c>
      <c r="E863" s="19" t="n">
        <v>0.1104688230212974</v>
      </c>
      <c r="F863" s="19" t="n">
        <v>0.2281979873399115</v>
      </c>
      <c r="G863" s="19" t="n">
        <v>0.8687907631531326</v>
      </c>
      <c r="H863" s="19" t="n">
        <v>1.483442</v>
      </c>
    </row>
    <row r="864" s="17">
      <c r="A864" s="19" t="n">
        <v>7645</v>
      </c>
      <c r="B864" s="19" t="n">
        <v>50903.789043</v>
      </c>
      <c r="C864" s="19" t="n">
        <v>2.0582236</v>
      </c>
      <c r="D864" s="19" t="n">
        <v>0.0073049518</v>
      </c>
      <c r="E864" s="19" t="n">
        <v>0.07367603455719593</v>
      </c>
      <c r="F864" s="19" t="n">
        <v>0.1762272561587655</v>
      </c>
      <c r="G864" s="19" t="n">
        <v>0.9783152004877347</v>
      </c>
      <c r="H864" s="19" t="n">
        <v>0.184754</v>
      </c>
    </row>
    <row r="865" s="17">
      <c r="A865" s="19" t="n">
        <v>7650</v>
      </c>
      <c r="B865" s="19" t="n">
        <v>64667.381195</v>
      </c>
      <c r="C865" s="19" t="n">
        <v>2.2292385</v>
      </c>
      <c r="D865" s="19" t="n">
        <v>0.0054085879</v>
      </c>
      <c r="E865" s="19" t="n">
        <v>0.1364634450146742</v>
      </c>
      <c r="F865" s="19" t="n">
        <v>0.1869325194346729</v>
      </c>
      <c r="G865" s="19" t="n">
        <v>0.9156106994886419</v>
      </c>
      <c r="H865" s="19" t="n">
        <v>1.182205</v>
      </c>
    </row>
    <row r="866" s="17">
      <c r="A866" s="19" t="n">
        <v>7655</v>
      </c>
      <c r="B866" s="19" t="n">
        <v>72591.10831900001</v>
      </c>
      <c r="C866" s="19" t="n">
        <v>1.8101117</v>
      </c>
      <c r="D866" s="19" t="n">
        <v>0.005224595</v>
      </c>
      <c r="E866" s="19" t="n">
        <v>0.04980381501413453</v>
      </c>
      <c r="F866" s="19" t="n">
        <v>0.3417410408688991</v>
      </c>
      <c r="G866" s="19" t="n">
        <v>0.9197899359855994</v>
      </c>
      <c r="H866" s="19" t="n">
        <v>0.413369</v>
      </c>
    </row>
    <row r="867" s="17">
      <c r="A867" s="19" t="n">
        <v>7660</v>
      </c>
      <c r="B867" s="19" t="n">
        <v>34758.55209</v>
      </c>
      <c r="C867" s="19" t="n">
        <v>1.9121896</v>
      </c>
      <c r="D867" s="19" t="n">
        <v>0.008264977200000001</v>
      </c>
      <c r="E867" s="19" t="n">
        <v>0.04164956613498137</v>
      </c>
      <c r="F867" s="19" t="n">
        <v>0.2089197252230475</v>
      </c>
      <c r="G867" s="19" t="n">
        <v>0.9244473584525607</v>
      </c>
      <c r="H867" s="19" t="n">
        <v>0.324488</v>
      </c>
    </row>
    <row r="868" s="17">
      <c r="A868" s="19" t="n">
        <v>7665</v>
      </c>
      <c r="B868" s="19" t="n">
        <v>38233.72813</v>
      </c>
      <c r="C868" s="19" t="n">
        <v>1.7829015</v>
      </c>
      <c r="D868" s="19" t="n">
        <v>0.007640032</v>
      </c>
      <c r="E868" s="19" t="n">
        <v>0.09127400833967156</v>
      </c>
      <c r="F868" s="19" t="n">
        <v>0.144294542042375</v>
      </c>
      <c r="G868" s="19" t="n">
        <v>0.9617996064642836</v>
      </c>
      <c r="H868" s="19" t="n">
        <v>0.377472</v>
      </c>
    </row>
    <row r="869" s="17">
      <c r="A869" s="19" t="n">
        <v>7670</v>
      </c>
      <c r="B869" s="19" t="n">
        <v>69373.45116700001</v>
      </c>
      <c r="C869" s="19" t="n">
        <v>2.4382885</v>
      </c>
      <c r="D869" s="19" t="n">
        <v>0.0054431023</v>
      </c>
      <c r="E869" s="19" t="n">
        <v>0.1005780240813996</v>
      </c>
      <c r="F869" s="19" t="n">
        <v>0.2290202882899744</v>
      </c>
      <c r="G869" s="19" t="n">
        <v>0.8861842675762845</v>
      </c>
      <c r="H869" s="19" t="n">
        <v>1.155086</v>
      </c>
    </row>
    <row r="870" s="17">
      <c r="A870" s="19" t="n">
        <v>7675</v>
      </c>
      <c r="B870" s="19" t="n">
        <v>40193.194644</v>
      </c>
      <c r="C870" s="19" t="n">
        <v>1.9108704</v>
      </c>
      <c r="D870" s="19" t="n">
        <v>0.0083151492</v>
      </c>
      <c r="E870" s="19" t="n">
        <v>0.05107596099358409</v>
      </c>
      <c r="F870" s="19" t="n">
        <v>0.160571877590927</v>
      </c>
      <c r="G870" s="19" t="n">
        <v>0.9710949341180785</v>
      </c>
      <c r="H870" s="19" t="n">
        <v>0.187939</v>
      </c>
    </row>
    <row r="871" s="17">
      <c r="A871" s="19" t="n">
        <v>7680</v>
      </c>
      <c r="B871" s="19" t="n">
        <v>43486.605004</v>
      </c>
      <c r="C871" s="19" t="n">
        <v>2.0809456</v>
      </c>
      <c r="D871" s="19" t="n">
        <v>0.0058924933</v>
      </c>
      <c r="E871" s="19" t="n">
        <v>0.0733620645303409</v>
      </c>
      <c r="F871" s="19" t="n">
        <v>0.1661126868333709</v>
      </c>
      <c r="G871" s="19" t="n">
        <v>0.9350659471077968</v>
      </c>
      <c r="H871" s="19" t="n">
        <v>0.516624</v>
      </c>
    </row>
    <row r="872" s="17">
      <c r="A872" s="19" t="n">
        <v>7685</v>
      </c>
      <c r="B872" s="19" t="n">
        <v>69468.100322</v>
      </c>
      <c r="C872" s="19" t="n">
        <v>2.3557848</v>
      </c>
      <c r="D872" s="19" t="n">
        <v>0.0057483897</v>
      </c>
      <c r="E872" s="19" t="n">
        <v>0.06695160480910127</v>
      </c>
      <c r="F872" s="19" t="n">
        <v>0.2494132197908362</v>
      </c>
      <c r="G872" s="19" t="n">
        <v>0.8806138013346588</v>
      </c>
      <c r="H872" s="19" t="n">
        <v>0.8054750000000001</v>
      </c>
    </row>
    <row r="873" s="17">
      <c r="A873" s="19" t="n">
        <v>7690</v>
      </c>
      <c r="B873" s="19" t="n">
        <v>35276.558494</v>
      </c>
      <c r="C873" s="19" t="n">
        <v>1.9808589</v>
      </c>
      <c r="D873" s="19" t="n">
        <v>0.0059182927</v>
      </c>
      <c r="E873" s="19" t="n">
        <v>0.06183622520551456</v>
      </c>
      <c r="F873" s="19" t="n">
        <v>0.05582862353326437</v>
      </c>
      <c r="G873" s="19" t="n">
        <v>0.9700023722203803</v>
      </c>
      <c r="H873" s="19" t="n">
        <v>0.21488</v>
      </c>
    </row>
    <row r="874" s="17">
      <c r="A874" s="19" t="n">
        <v>7695</v>
      </c>
      <c r="B874" s="19" t="n">
        <v>60790.724814</v>
      </c>
      <c r="C874" s="19" t="n">
        <v>2.2226264</v>
      </c>
      <c r="D874" s="19" t="n">
        <v>0.0055737428</v>
      </c>
      <c r="E874" s="19" t="n">
        <v>0.116904670288945</v>
      </c>
      <c r="F874" s="19" t="n">
        <v>0.223429356675354</v>
      </c>
      <c r="G874" s="19" t="n">
        <v>0.9250709450149867</v>
      </c>
      <c r="H874" s="19" t="n">
        <v>0.865093</v>
      </c>
    </row>
    <row r="875" s="17">
      <c r="A875" s="19" t="n">
        <v>7700</v>
      </c>
      <c r="B875" s="19" t="n">
        <v>69044.228804</v>
      </c>
      <c r="C875" s="19" t="n">
        <v>2.436672</v>
      </c>
      <c r="D875" s="19" t="n">
        <v>0.002717767</v>
      </c>
      <c r="E875" s="19" t="n">
        <v>0.05332352518442161</v>
      </c>
      <c r="F875" s="19" t="n">
        <v>0.2696452260361646</v>
      </c>
      <c r="G875" s="19" t="n">
        <v>0.9222245328053689</v>
      </c>
      <c r="H875" s="19" t="n">
        <v>0.455847</v>
      </c>
    </row>
    <row r="876" s="17">
      <c r="A876" s="19" t="n">
        <v>7705</v>
      </c>
      <c r="B876" s="19" t="n">
        <v>54650.250533</v>
      </c>
      <c r="C876" s="19" t="n">
        <v>1.8679848</v>
      </c>
      <c r="D876" s="19" t="n">
        <v>0.0073191858</v>
      </c>
      <c r="E876" s="19" t="n">
        <v>0.03055502242530091</v>
      </c>
      <c r="F876" s="19" t="n">
        <v>0.2774467883302374</v>
      </c>
      <c r="G876" s="19" t="n">
        <v>0.9029352119817046</v>
      </c>
      <c r="H876" s="19" t="n">
        <v>0.284171</v>
      </c>
    </row>
    <row r="877" s="17">
      <c r="A877" s="19" t="n">
        <v>7710</v>
      </c>
      <c r="B877" s="19" t="n">
        <v>44601.620924</v>
      </c>
      <c r="C877" s="19" t="n">
        <v>1.8967949</v>
      </c>
      <c r="D877" s="19" t="n">
        <v>0.0045987298</v>
      </c>
      <c r="E877" s="19" t="n">
        <v>0.1580677657788809</v>
      </c>
      <c r="F877" s="19" t="n">
        <v>0.2055694882815556</v>
      </c>
      <c r="G877" s="19" t="n">
        <v>0.9023316715045214</v>
      </c>
      <c r="H877" s="19" t="n">
        <v>1.530214</v>
      </c>
    </row>
    <row r="878" s="17">
      <c r="A878" s="19" t="n">
        <v>7715</v>
      </c>
      <c r="B878" s="19" t="n">
        <v>67480.241607</v>
      </c>
      <c r="C878" s="19" t="n">
        <v>2.2023372</v>
      </c>
      <c r="D878" s="19" t="n">
        <v>0.0029903061</v>
      </c>
      <c r="E878" s="19" t="n">
        <v>0.09711427664312955</v>
      </c>
      <c r="F878" s="19" t="n">
        <v>0.3736658612830329</v>
      </c>
      <c r="G878" s="19" t="n">
        <v>0.8637356483489251</v>
      </c>
      <c r="H878" s="19" t="n">
        <v>1.365386</v>
      </c>
    </row>
    <row r="879" s="17">
      <c r="A879" s="19" t="n">
        <v>7720</v>
      </c>
      <c r="B879" s="19" t="n">
        <v>52027.445584</v>
      </c>
      <c r="C879" s="19" t="n">
        <v>2.0892648</v>
      </c>
      <c r="D879" s="19" t="n">
        <v>0.0059613047</v>
      </c>
      <c r="E879" s="19" t="n">
        <v>0.06755096402682666</v>
      </c>
      <c r="F879" s="19" t="n">
        <v>0.1708662759374971</v>
      </c>
      <c r="G879" s="19" t="n">
        <v>0.9141614747093888</v>
      </c>
      <c r="H879" s="19" t="n">
        <v>0.562347</v>
      </c>
    </row>
    <row r="880" s="17">
      <c r="A880" s="19" t="n">
        <v>7725</v>
      </c>
      <c r="B880" s="19" t="n">
        <v>39975.781834</v>
      </c>
      <c r="C880" s="19" t="n">
        <v>1.7021992</v>
      </c>
      <c r="D880" s="19" t="n">
        <v>0.0066534606</v>
      </c>
      <c r="E880" s="19" t="n">
        <v>0.1156442061047385</v>
      </c>
      <c r="F880" s="19" t="n">
        <v>0.1340221765796723</v>
      </c>
      <c r="G880" s="19" t="n">
        <v>0.9316986056150979</v>
      </c>
      <c r="H880" s="19" t="n">
        <v>0.810019</v>
      </c>
    </row>
    <row r="881" s="17">
      <c r="A881" s="19" t="n">
        <v>7730</v>
      </c>
      <c r="B881" s="19" t="n">
        <v>55927.693013</v>
      </c>
      <c r="C881" s="19" t="n">
        <v>1.4814055</v>
      </c>
      <c r="D881" s="19" t="n">
        <v>0.003208632</v>
      </c>
      <c r="E881" s="19" t="n">
        <v>0.05287220106885179</v>
      </c>
      <c r="F881" s="19" t="n">
        <v>0.2996716118903314</v>
      </c>
      <c r="G881" s="19" t="n">
        <v>0.8827221461249248</v>
      </c>
      <c r="H881" s="19" t="n">
        <v>0.660074</v>
      </c>
    </row>
    <row r="882" s="17">
      <c r="A882" s="19" t="n">
        <v>7735</v>
      </c>
      <c r="B882" s="19" t="n">
        <v>49960.232011</v>
      </c>
      <c r="C882" s="19" t="n">
        <v>1.9443309</v>
      </c>
      <c r="D882" s="19" t="n">
        <v>0.0068459839</v>
      </c>
      <c r="E882" s="19" t="n">
        <v>0.04785064319976932</v>
      </c>
      <c r="F882" s="19" t="n">
        <v>0.09914034713474362</v>
      </c>
      <c r="G882" s="19" t="n">
        <v>0.9225833427848174</v>
      </c>
      <c r="H882" s="19" t="n">
        <v>0.358844</v>
      </c>
    </row>
    <row r="883" s="17">
      <c r="A883" s="19" t="n">
        <v>7740</v>
      </c>
      <c r="B883" s="19" t="n">
        <v>53328.786038</v>
      </c>
      <c r="C883" s="19" t="n">
        <v>1.7112799</v>
      </c>
      <c r="D883" s="19" t="n">
        <v>0.0075851206</v>
      </c>
      <c r="E883" s="19" t="n">
        <v>0.1187461848394057</v>
      </c>
      <c r="F883" s="19" t="n">
        <v>0.155666159517631</v>
      </c>
      <c r="G883" s="19" t="n">
        <v>0.9158172002229794</v>
      </c>
      <c r="H883" s="19" t="n">
        <v>1.036781</v>
      </c>
    </row>
    <row r="884" s="17">
      <c r="A884" s="19" t="n">
        <v>7745</v>
      </c>
      <c r="B884" s="19" t="n">
        <v>42506.138205</v>
      </c>
      <c r="C884" s="19" t="n">
        <v>1.8726088</v>
      </c>
      <c r="D884" s="19" t="n">
        <v>0.0051481047</v>
      </c>
      <c r="E884" s="19" t="n">
        <v>0.06294407875169045</v>
      </c>
      <c r="F884" s="19" t="n">
        <v>0.0478367140884239</v>
      </c>
      <c r="G884" s="19" t="n">
        <v>0.9297670200755256</v>
      </c>
      <c r="H884" s="19" t="n">
        <v>0.479677</v>
      </c>
    </row>
    <row r="885" s="17">
      <c r="A885" s="19" t="n">
        <v>7750</v>
      </c>
      <c r="B885" s="19" t="n">
        <v>46934.098393</v>
      </c>
      <c r="C885" s="19" t="n">
        <v>2.0611637</v>
      </c>
      <c r="D885" s="19" t="n">
        <v>0.0080703201</v>
      </c>
      <c r="E885" s="19" t="n">
        <v>0.05439007657434182</v>
      </c>
      <c r="F885" s="19" t="n">
        <v>0.2613082488235615</v>
      </c>
      <c r="G885" s="19" t="n">
        <v>0.9214601283890489</v>
      </c>
      <c r="H885" s="19" t="n">
        <v>0.459116</v>
      </c>
    </row>
    <row r="886" s="17">
      <c r="A886" s="19" t="n">
        <v>7755</v>
      </c>
      <c r="B886" s="19" t="n">
        <v>48438.898621</v>
      </c>
      <c r="C886" s="19" t="n">
        <v>2.0301858</v>
      </c>
      <c r="D886" s="19" t="n">
        <v>0.0053562714</v>
      </c>
      <c r="E886" s="19" t="n">
        <v>0.1040719694330003</v>
      </c>
      <c r="F886" s="19" t="n">
        <v>0.2530272232186699</v>
      </c>
      <c r="G886" s="19" t="n">
        <v>0.9581683774774659</v>
      </c>
      <c r="H886" s="19" t="n">
        <v>0.429919</v>
      </c>
    </row>
    <row r="887" s="17">
      <c r="A887" s="19" t="n">
        <v>7760</v>
      </c>
      <c r="B887" s="19" t="n">
        <v>68206.22162700001</v>
      </c>
      <c r="C887" s="19" t="n">
        <v>1.5225922</v>
      </c>
      <c r="D887" s="19" t="n">
        <v>0.0060876603</v>
      </c>
      <c r="E887" s="19" t="n">
        <v>0.07903121723781972</v>
      </c>
      <c r="F887" s="19" t="n">
        <v>0.2417175141091634</v>
      </c>
      <c r="G887" s="19" t="n">
        <v>0.9162781582778211</v>
      </c>
      <c r="H887" s="19" t="n">
        <v>0.674019</v>
      </c>
    </row>
    <row r="888" s="17">
      <c r="A888" s="19" t="n">
        <v>7765</v>
      </c>
      <c r="B888" s="19" t="n">
        <v>56896.206728</v>
      </c>
      <c r="C888" s="19" t="n">
        <v>1.7893862</v>
      </c>
      <c r="D888" s="19" t="n">
        <v>0.0077884116</v>
      </c>
      <c r="E888" s="19" t="n">
        <v>0.04796374079264595</v>
      </c>
      <c r="F888" s="19" t="n">
        <v>0.2294558842744442</v>
      </c>
      <c r="G888" s="19" t="n">
        <v>0.9755444516616819</v>
      </c>
      <c r="H888" s="19" t="n">
        <v>0.149643</v>
      </c>
    </row>
    <row r="889" s="17">
      <c r="A889" s="19" t="n">
        <v>7770</v>
      </c>
      <c r="B889" s="19" t="n">
        <v>47059.46669</v>
      </c>
      <c r="C889" s="19" t="n">
        <v>1.8266983</v>
      </c>
      <c r="D889" s="19" t="n">
        <v>0.0079156748</v>
      </c>
      <c r="E889" s="19" t="n">
        <v>0.1215170952239502</v>
      </c>
      <c r="F889" s="19" t="n">
        <v>0.1691313471629047</v>
      </c>
      <c r="G889" s="19" t="n">
        <v>0.9246940460559955</v>
      </c>
      <c r="H889" s="19" t="n">
        <v>0.941778</v>
      </c>
    </row>
    <row r="890" s="17">
      <c r="A890" s="19" t="n">
        <v>7775</v>
      </c>
      <c r="B890" s="19" t="n">
        <v>71292.490261</v>
      </c>
      <c r="C890" s="19" t="n">
        <v>1.6964925</v>
      </c>
      <c r="D890" s="19" t="n">
        <v>0.0029206231</v>
      </c>
      <c r="E890" s="19" t="n">
        <v>0.0799416723382647</v>
      </c>
      <c r="F890" s="19" t="n">
        <v>0.2926408930765537</v>
      </c>
      <c r="G890" s="19" t="n">
        <v>0.908901272244534</v>
      </c>
      <c r="H890" s="19" t="n">
        <v>0.726023</v>
      </c>
    </row>
    <row r="891" s="17">
      <c r="A891" s="19" t="n">
        <v>7780</v>
      </c>
      <c r="B891" s="19" t="n">
        <v>36666.701375</v>
      </c>
      <c r="C891" s="19" t="n">
        <v>2.0836588</v>
      </c>
      <c r="D891" s="19" t="n">
        <v>0.005934641</v>
      </c>
      <c r="E891" s="19" t="n">
        <v>0.07025917339170717</v>
      </c>
      <c r="F891" s="19" t="n">
        <v>0.1177203486051917</v>
      </c>
      <c r="G891" s="19" t="n">
        <v>0.9212032201046436</v>
      </c>
      <c r="H891" s="19" t="n">
        <v>0.60358</v>
      </c>
    </row>
    <row r="892" s="17">
      <c r="A892" s="19" t="n">
        <v>7785</v>
      </c>
      <c r="B892" s="19" t="n">
        <v>48329.028593</v>
      </c>
      <c r="C892" s="19" t="n">
        <v>1.8233954</v>
      </c>
      <c r="D892" s="19" t="n">
        <v>0.0080433586</v>
      </c>
      <c r="E892" s="19" t="n">
        <v>0.1528610999832789</v>
      </c>
      <c r="F892" s="19" t="n">
        <v>0.2789826380297563</v>
      </c>
      <c r="G892" s="19" t="n">
        <v>0.9099102836496598</v>
      </c>
      <c r="H892" s="19" t="n">
        <v>1.382508</v>
      </c>
    </row>
    <row r="893" s="17">
      <c r="A893" s="19" t="n">
        <v>7790</v>
      </c>
      <c r="B893" s="19" t="n">
        <v>62142.477673</v>
      </c>
      <c r="C893" s="19" t="n">
        <v>2.3376143</v>
      </c>
      <c r="D893" s="19" t="n">
        <v>0.0042309651</v>
      </c>
      <c r="E893" s="19" t="n">
        <v>0.09256687842190162</v>
      </c>
      <c r="F893" s="19" t="n">
        <v>0.3010877808818392</v>
      </c>
      <c r="G893" s="19" t="n">
        <v>0.859331449495462</v>
      </c>
      <c r="H893" s="19" t="n">
        <v>1.304002</v>
      </c>
    </row>
    <row r="894" s="17">
      <c r="A894" s="19" t="n">
        <v>7795</v>
      </c>
      <c r="B894" s="19" t="n">
        <v>53620.529087</v>
      </c>
      <c r="C894" s="19" t="n">
        <v>2.0973978</v>
      </c>
      <c r="D894" s="19" t="n">
        <v>0.0056767103</v>
      </c>
      <c r="E894" s="19" t="n">
        <v>0.05612769887562052</v>
      </c>
      <c r="F894" s="19" t="n">
        <v>0.09602790160638223</v>
      </c>
      <c r="G894" s="19" t="n">
        <v>0.9859086839646729</v>
      </c>
      <c r="H894" s="19" t="n">
        <v>0.107153</v>
      </c>
    </row>
    <row r="895" s="17">
      <c r="A895" s="19" t="n">
        <v>7800</v>
      </c>
      <c r="B895" s="19" t="n">
        <v>36555.84289</v>
      </c>
      <c r="C895" s="19" t="n">
        <v>2.2087511</v>
      </c>
      <c r="D895" s="19" t="n">
        <v>0.007561335</v>
      </c>
      <c r="E895" s="19" t="n">
        <v>0.139593550396304</v>
      </c>
      <c r="F895" s="19" t="n">
        <v>0.1435337868871497</v>
      </c>
      <c r="G895" s="19" t="n">
        <v>0.907390845847985</v>
      </c>
      <c r="H895" s="19" t="n">
        <v>1.290998</v>
      </c>
    </row>
    <row r="896" s="17">
      <c r="A896" s="19" t="n">
        <v>7805</v>
      </c>
      <c r="B896" s="19" t="n">
        <v>68130.61655799999</v>
      </c>
      <c r="C896" s="19" t="n">
        <v>1.6371623</v>
      </c>
      <c r="D896" s="19" t="n">
        <v>0.0029831092</v>
      </c>
      <c r="E896" s="19" t="n">
        <v>0.09079320310706543</v>
      </c>
      <c r="F896" s="19" t="n">
        <v>0.2474267622019775</v>
      </c>
      <c r="G896" s="19" t="n">
        <v>0.9562075460693128</v>
      </c>
      <c r="H896" s="19" t="n">
        <v>0.413691</v>
      </c>
    </row>
    <row r="897" s="17">
      <c r="A897" s="19" t="n">
        <v>7810</v>
      </c>
      <c r="B897" s="19" t="n">
        <v>46014.669034</v>
      </c>
      <c r="C897" s="19" t="n">
        <v>2.0510756</v>
      </c>
      <c r="D897" s="19" t="n">
        <v>0.00589429</v>
      </c>
      <c r="E897" s="19" t="n">
        <v>0.0316992054850284</v>
      </c>
      <c r="F897" s="19" t="n">
        <v>0.1010956512815477</v>
      </c>
      <c r="G897" s="19" t="n">
        <v>0.9904235130169818</v>
      </c>
      <c r="H897" s="19" t="n">
        <v>0.019137</v>
      </c>
    </row>
    <row r="898" s="17">
      <c r="A898" s="19" t="n">
        <v>7815</v>
      </c>
      <c r="B898" s="19" t="n">
        <v>56508.49202</v>
      </c>
      <c r="C898" s="19" t="n">
        <v>1.8578434</v>
      </c>
      <c r="D898" s="19" t="n">
        <v>0.0068420514</v>
      </c>
      <c r="E898" s="19" t="n">
        <v>0.08959035284220378</v>
      </c>
      <c r="F898" s="19" t="n">
        <v>0.2613717914626718</v>
      </c>
      <c r="G898" s="19" t="n">
        <v>0.9408324275212946</v>
      </c>
      <c r="H898" s="19" t="n">
        <v>0.511363</v>
      </c>
    </row>
    <row r="899" s="17">
      <c r="A899" s="19" t="n">
        <v>7820</v>
      </c>
      <c r="B899" s="19" t="n">
        <v>70728.041059</v>
      </c>
      <c r="C899" s="19" t="n">
        <v>1.4841396</v>
      </c>
      <c r="D899" s="19" t="n">
        <v>0.0064743068</v>
      </c>
      <c r="E899" s="19" t="n">
        <v>0.07793255912653486</v>
      </c>
      <c r="F899" s="19" t="n">
        <v>0.1834340430002993</v>
      </c>
      <c r="G899" s="19" t="n">
        <v>0.9467357955038906</v>
      </c>
      <c r="H899" s="19" t="n">
        <v>0.41648</v>
      </c>
    </row>
    <row r="900" s="17">
      <c r="A900" s="19" t="n">
        <v>7825</v>
      </c>
      <c r="B900" s="19" t="n">
        <v>46599.074521</v>
      </c>
      <c r="C900" s="19" t="n">
        <v>2.0279162</v>
      </c>
      <c r="D900" s="19" t="n">
        <v>0.0077609101</v>
      </c>
      <c r="E900" s="19" t="n">
        <v>0.0502074570139306</v>
      </c>
      <c r="F900" s="19" t="n">
        <v>0.1232257056279213</v>
      </c>
      <c r="G900" s="19" t="n">
        <v>0.9744406220189383</v>
      </c>
      <c r="H900" s="19" t="n">
        <v>0.175328</v>
      </c>
    </row>
    <row r="901" s="17">
      <c r="A901" s="19" t="n">
        <v>7830</v>
      </c>
      <c r="B901" s="19" t="n">
        <v>37516.369075</v>
      </c>
      <c r="C901" s="19" t="n">
        <v>1.8588618</v>
      </c>
      <c r="D901" s="19" t="n">
        <v>0.004163238</v>
      </c>
      <c r="E901" s="19" t="n">
        <v>0.1013248244222933</v>
      </c>
      <c r="F901" s="19" t="n">
        <v>0.1873456361162718</v>
      </c>
      <c r="G901" s="19" t="n">
        <v>0.9223506973032426</v>
      </c>
      <c r="H901" s="19" t="n">
        <v>0.767275</v>
      </c>
    </row>
    <row r="902" s="17">
      <c r="A902" s="19" t="n">
        <v>7835</v>
      </c>
      <c r="B902" s="19" t="n">
        <v>70353.855282</v>
      </c>
      <c r="C902" s="19" t="n">
        <v>2.2383466</v>
      </c>
      <c r="D902" s="19" t="n">
        <v>0.0046962337</v>
      </c>
      <c r="E902" s="19" t="n">
        <v>0.1113258386060851</v>
      </c>
      <c r="F902" s="19" t="n">
        <v>0.289272798933418</v>
      </c>
      <c r="G902" s="19" t="n">
        <v>0.8970921267134381</v>
      </c>
      <c r="H902" s="19" t="n">
        <v>1.158714</v>
      </c>
    </row>
    <row r="903" s="17">
      <c r="A903" s="19" t="n">
        <v>7840</v>
      </c>
      <c r="B903" s="19" t="n">
        <v>52233.607948</v>
      </c>
      <c r="C903" s="19" t="n">
        <v>1.809791</v>
      </c>
      <c r="D903" s="19" t="n">
        <v>0.008081048299999999</v>
      </c>
      <c r="E903" s="19" t="n">
        <v>0.05478998399189894</v>
      </c>
      <c r="F903" s="19" t="n">
        <v>0.1169499570205834</v>
      </c>
      <c r="G903" s="19" t="n">
        <v>0.9843111933255366</v>
      </c>
      <c r="H903" s="19" t="n">
        <v>0.076861</v>
      </c>
    </row>
    <row r="904" s="17">
      <c r="A904" s="19" t="n">
        <v>7845</v>
      </c>
      <c r="B904" s="19" t="n">
        <v>47077.222274</v>
      </c>
      <c r="C904" s="19" t="n">
        <v>1.8609051</v>
      </c>
      <c r="D904" s="19" t="n">
        <v>0.0065164234</v>
      </c>
      <c r="E904" s="19" t="n">
        <v>0.1134779272565576</v>
      </c>
      <c r="F904" s="19" t="n">
        <v>0.1283932621707462</v>
      </c>
      <c r="G904" s="19" t="n">
        <v>0.9001946741817193</v>
      </c>
      <c r="H904" s="19" t="n">
        <v>1.167666</v>
      </c>
    </row>
    <row r="905" s="17">
      <c r="A905" s="19" t="n">
        <v>7850</v>
      </c>
      <c r="B905" s="19" t="n">
        <v>73409.879693</v>
      </c>
      <c r="C905" s="19" t="n">
        <v>1.8151314</v>
      </c>
      <c r="D905" s="19" t="n">
        <v>0.0035206124</v>
      </c>
      <c r="E905" s="19" t="n">
        <v>0.06034881420386772</v>
      </c>
      <c r="F905" s="19" t="n">
        <v>0.3676071765382951</v>
      </c>
      <c r="G905" s="19" t="n">
        <v>0.866543541419505</v>
      </c>
      <c r="H905" s="19" t="n">
        <v>0.793759</v>
      </c>
    </row>
    <row r="906" s="17">
      <c r="A906" s="19" t="n">
        <v>7855</v>
      </c>
      <c r="B906" s="19" t="n">
        <v>51251.22968</v>
      </c>
      <c r="C906" s="19" t="n">
        <v>1.9784404</v>
      </c>
      <c r="D906" s="19" t="n">
        <v>0.0067578971</v>
      </c>
      <c r="E906" s="19" t="n">
        <v>0.05082470264357175</v>
      </c>
      <c r="F906" s="19" t="n">
        <v>0.233453695831187</v>
      </c>
      <c r="G906" s="19" t="n">
        <v>0.9195259039701615</v>
      </c>
      <c r="H906" s="19" t="n">
        <v>0.438342</v>
      </c>
    </row>
    <row r="907" s="17">
      <c r="A907" s="19" t="n">
        <v>7860</v>
      </c>
      <c r="B907" s="19" t="n">
        <v>58311.071406</v>
      </c>
      <c r="C907" s="19" t="n">
        <v>1.9840125</v>
      </c>
      <c r="D907" s="19" t="n">
        <v>0.0044711441</v>
      </c>
      <c r="E907" s="19" t="n">
        <v>0.1154816458214247</v>
      </c>
      <c r="F907" s="19" t="n">
        <v>0.1739662440276158</v>
      </c>
      <c r="G907" s="19" t="n">
        <v>0.9002732899227045</v>
      </c>
      <c r="H907" s="19" t="n">
        <v>1.135748</v>
      </c>
    </row>
    <row r="908" s="17">
      <c r="A908" s="19" t="n">
        <v>7865</v>
      </c>
      <c r="B908" s="19" t="n">
        <v>70705.54532799999</v>
      </c>
      <c r="C908" s="19" t="n">
        <v>2.1695762</v>
      </c>
      <c r="D908" s="19" t="n">
        <v>0.0039643833</v>
      </c>
      <c r="E908" s="19" t="n">
        <v>0.06220594311514045</v>
      </c>
      <c r="F908" s="19" t="n">
        <v>0.2352483479893623</v>
      </c>
      <c r="G908" s="19" t="n">
        <v>0.8845840237433474</v>
      </c>
      <c r="H908" s="19" t="n">
        <v>0.749326</v>
      </c>
    </row>
    <row r="909" s="17">
      <c r="A909" s="19" t="n">
        <v>7870</v>
      </c>
      <c r="B909" s="19" t="n">
        <v>38504.789783</v>
      </c>
      <c r="C909" s="19" t="n">
        <v>1.8697502</v>
      </c>
      <c r="D909" s="19" t="n">
        <v>0.007836548800000001</v>
      </c>
      <c r="E909" s="19" t="n">
        <v>0.0409555768225762</v>
      </c>
      <c r="F909" s="19" t="n">
        <v>0.1148760813136544</v>
      </c>
      <c r="G909" s="19" t="n">
        <v>0.9558326849061192</v>
      </c>
      <c r="H909" s="19" t="n">
        <v>0.218996</v>
      </c>
    </row>
    <row r="910" s="17">
      <c r="A910" s="19" t="n">
        <v>7875</v>
      </c>
      <c r="B910" s="19" t="n">
        <v>46917.60592</v>
      </c>
      <c r="C910" s="19" t="n">
        <v>1.9359851</v>
      </c>
      <c r="D910" s="19" t="n">
        <v>0.0064460851</v>
      </c>
      <c r="E910" s="19" t="n">
        <v>0.03934312621605241</v>
      </c>
      <c r="F910" s="19" t="n">
        <v>0.02093619267857813</v>
      </c>
      <c r="G910" s="19" t="n">
        <v>0.9544475866207555</v>
      </c>
      <c r="H910" s="19" t="n">
        <v>0.206235</v>
      </c>
    </row>
    <row r="911" s="17">
      <c r="A911" s="19" t="n">
        <v>7880</v>
      </c>
      <c r="B911" s="19" t="n">
        <v>56697.582073</v>
      </c>
      <c r="C911" s="19" t="n">
        <v>2.2511425</v>
      </c>
      <c r="D911" s="19" t="n">
        <v>0.0032208653</v>
      </c>
      <c r="E911" s="19" t="n">
        <v>0.06735953697689391</v>
      </c>
      <c r="F911" s="19" t="n">
        <v>0.3752914518327573</v>
      </c>
      <c r="G911" s="19" t="n">
        <v>0.9223733615205123</v>
      </c>
      <c r="H911" s="19" t="n">
        <v>0.51301</v>
      </c>
    </row>
    <row r="912" s="17">
      <c r="A912" s="19" t="n">
        <v>7885</v>
      </c>
      <c r="B912" s="19" t="n">
        <v>36056.205806</v>
      </c>
      <c r="C912" s="19" t="n">
        <v>1.8312891</v>
      </c>
      <c r="D912" s="19" t="n">
        <v>0.0086777813</v>
      </c>
      <c r="E912" s="19" t="n">
        <v>0.04181458208142134</v>
      </c>
      <c r="F912" s="19" t="n">
        <v>0.2090597467841718</v>
      </c>
      <c r="G912" s="19" t="n">
        <v>0.9323833841702035</v>
      </c>
      <c r="H912" s="19" t="n">
        <v>0.319542</v>
      </c>
    </row>
    <row r="913" s="17">
      <c r="A913" s="19" t="n">
        <v>7890</v>
      </c>
      <c r="B913" s="19" t="n">
        <v>45374.447995</v>
      </c>
      <c r="C913" s="19" t="n">
        <v>2.3092516</v>
      </c>
      <c r="D913" s="19" t="n">
        <v>0.0063098322</v>
      </c>
      <c r="E913" s="19" t="n">
        <v>0.1203629977060313</v>
      </c>
      <c r="F913" s="19" t="n">
        <v>0.2275086007067738</v>
      </c>
      <c r="G913" s="19" t="n">
        <v>0.9056826840051362</v>
      </c>
      <c r="H913" s="19" t="n">
        <v>1.135769</v>
      </c>
    </row>
    <row r="914" s="17">
      <c r="A914" s="19" t="n">
        <v>7895</v>
      </c>
      <c r="B914" s="19" t="n">
        <v>64868.74829</v>
      </c>
      <c r="C914" s="19" t="n">
        <v>1.4626436</v>
      </c>
      <c r="D914" s="19" t="n">
        <v>0.0060969562</v>
      </c>
      <c r="E914" s="19" t="n">
        <v>0.05319548181697058</v>
      </c>
      <c r="F914" s="19" t="n">
        <v>0.2581630488594263</v>
      </c>
      <c r="G914" s="19" t="n">
        <v>0.9307582039623383</v>
      </c>
      <c r="H914" s="19" t="n">
        <v>0.379819</v>
      </c>
    </row>
    <row r="915" s="17">
      <c r="A915" s="19" t="n">
        <v>7900</v>
      </c>
      <c r="B915" s="19" t="n">
        <v>56267.405191</v>
      </c>
      <c r="C915" s="19" t="n">
        <v>2.1956897</v>
      </c>
      <c r="D915" s="19" t="n">
        <v>0.0059612773</v>
      </c>
      <c r="E915" s="19" t="n">
        <v>0.04215070838633989</v>
      </c>
      <c r="F915" s="19" t="n">
        <v>0.2778515645148685</v>
      </c>
      <c r="G915" s="19" t="n">
        <v>0.9072022866700405</v>
      </c>
      <c r="H915" s="19" t="n">
        <v>0.423484</v>
      </c>
    </row>
    <row r="916" s="17">
      <c r="A916" s="19" t="n">
        <v>7905</v>
      </c>
      <c r="B916" s="19" t="n">
        <v>40018.159847</v>
      </c>
      <c r="C916" s="19" t="n">
        <v>2.2329413</v>
      </c>
      <c r="D916" s="19" t="n">
        <v>0.0046010446</v>
      </c>
      <c r="E916" s="19" t="n">
        <v>0.09233256648952093</v>
      </c>
      <c r="F916" s="19" t="n">
        <v>0.2646824779856867</v>
      </c>
      <c r="G916" s="19" t="n">
        <v>0.8785605045057305</v>
      </c>
      <c r="H916" s="19" t="n">
        <v>1.16931</v>
      </c>
    </row>
    <row r="917" s="17">
      <c r="A917" s="19" t="n">
        <v>7910</v>
      </c>
      <c r="B917" s="19" t="n">
        <v>66411.498503</v>
      </c>
      <c r="C917" s="19" t="n">
        <v>2.4795018</v>
      </c>
      <c r="D917" s="19" t="n">
        <v>0.0032150871</v>
      </c>
      <c r="E917" s="19" t="n">
        <v>0.07164081380532193</v>
      </c>
      <c r="F917" s="19" t="n">
        <v>0.19025700159192</v>
      </c>
      <c r="G917" s="19" t="n">
        <v>0.9115301845596813</v>
      </c>
      <c r="H917" s="19" t="n">
        <v>0.675836</v>
      </c>
    </row>
    <row r="918" s="17">
      <c r="A918" s="19" t="n">
        <v>7915</v>
      </c>
      <c r="B918" s="19" t="n">
        <v>41428.712403</v>
      </c>
      <c r="C918" s="19" t="n">
        <v>1.896987</v>
      </c>
      <c r="D918" s="19" t="n">
        <v>0.0056393872</v>
      </c>
      <c r="E918" s="19" t="n">
        <v>0.05160288871623997</v>
      </c>
      <c r="F918" s="19" t="n">
        <v>0.03437925664329804</v>
      </c>
      <c r="G918" s="19" t="n">
        <v>0.9931164169275382</v>
      </c>
      <c r="H918" s="19" t="n">
        <v>0.071746</v>
      </c>
    </row>
    <row r="919" s="17">
      <c r="A919" s="19" t="n">
        <v>7920</v>
      </c>
      <c r="B919" s="19" t="n">
        <v>51133.784949</v>
      </c>
      <c r="C919" s="19" t="n">
        <v>1.7806221</v>
      </c>
      <c r="D919" s="19" t="n">
        <v>0.0048860396</v>
      </c>
      <c r="E919" s="19" t="n">
        <v>0.09656900353954297</v>
      </c>
      <c r="F919" s="19" t="n">
        <v>0.2057844582173982</v>
      </c>
      <c r="G919" s="19" t="n">
        <v>0.8810326542406085</v>
      </c>
      <c r="H919" s="19" t="n">
        <v>1.167199</v>
      </c>
    </row>
    <row r="920" s="17">
      <c r="A920" s="19" t="n">
        <v>7925</v>
      </c>
      <c r="B920" s="19" t="n">
        <v>71279.323311</v>
      </c>
      <c r="C920" s="19" t="n">
        <v>2.1454707</v>
      </c>
      <c r="D920" s="19" t="n">
        <v>0.0027823151</v>
      </c>
      <c r="E920" s="19" t="n">
        <v>0.06033006493862998</v>
      </c>
      <c r="F920" s="19" t="n">
        <v>0.3590728826732675</v>
      </c>
      <c r="G920" s="19" t="n">
        <v>0.8677313669942145</v>
      </c>
      <c r="H920" s="19" t="n">
        <v>0.820558</v>
      </c>
    </row>
    <row r="921" s="17">
      <c r="A921" s="19" t="n">
        <v>7930</v>
      </c>
      <c r="B921" s="19" t="n">
        <v>32241.040896</v>
      </c>
      <c r="C921" s="19" t="n">
        <v>1.7460012</v>
      </c>
      <c r="D921" s="19" t="n">
        <v>0.006588685</v>
      </c>
      <c r="E921" s="19" t="n">
        <v>0.03871435690339377</v>
      </c>
      <c r="F921" s="19" t="n">
        <v>0.1762682521243423</v>
      </c>
      <c r="G921" s="19" t="n">
        <v>0.9300076032179528</v>
      </c>
      <c r="H921" s="19" t="n">
        <v>0.264706</v>
      </c>
    </row>
    <row r="922" s="17">
      <c r="A922" s="19" t="n">
        <v>7935</v>
      </c>
      <c r="B922" s="19" t="n">
        <v>61102.141962</v>
      </c>
      <c r="C922" s="19" t="n">
        <v>1.7534046</v>
      </c>
      <c r="D922" s="19" t="n">
        <v>0.004252493</v>
      </c>
      <c r="E922" s="19" t="n">
        <v>0.1140411998466361</v>
      </c>
      <c r="F922" s="19" t="n">
        <v>0.1988152283780344</v>
      </c>
      <c r="G922" s="19" t="n">
        <v>0.9103817340364682</v>
      </c>
      <c r="H922" s="19" t="n">
        <v>1.006241</v>
      </c>
    </row>
    <row r="923" s="17">
      <c r="A923" s="19" t="n">
        <v>7940</v>
      </c>
      <c r="B923" s="19" t="n">
        <v>49148.6661</v>
      </c>
      <c r="C923" s="19" t="n">
        <v>1.8796675</v>
      </c>
      <c r="D923" s="19" t="n">
        <v>0.008269997499999999</v>
      </c>
      <c r="E923" s="19" t="n">
        <v>0.0330853962531562</v>
      </c>
      <c r="F923" s="19" t="n">
        <v>0.1031591575148525</v>
      </c>
      <c r="G923" s="19" t="n">
        <v>0.9336425202354699</v>
      </c>
      <c r="H923" s="19" t="n">
        <v>0.24599</v>
      </c>
    </row>
    <row r="924" s="17">
      <c r="A924" s="19" t="n">
        <v>7945</v>
      </c>
      <c r="B924" s="19" t="n">
        <v>48605.878792</v>
      </c>
      <c r="C924" s="19" t="n">
        <v>1.8871318</v>
      </c>
      <c r="D924" s="19" t="n">
        <v>0.009426406199999999</v>
      </c>
      <c r="E924" s="19" t="n">
        <v>0.07164018118676413</v>
      </c>
      <c r="F924" s="19" t="n">
        <v>0.2572778065854115</v>
      </c>
      <c r="G924" s="19" t="n">
        <v>0.9449867350934926</v>
      </c>
      <c r="H924" s="19" t="n">
        <v>0.400438</v>
      </c>
    </row>
    <row r="925" s="17">
      <c r="A925" s="19" t="n">
        <v>7950</v>
      </c>
      <c r="B925" s="19" t="n">
        <v>56481.959711</v>
      </c>
      <c r="C925" s="19" t="n">
        <v>1.7201299</v>
      </c>
      <c r="D925" s="19" t="n">
        <v>0.0050841862</v>
      </c>
      <c r="E925" s="19" t="n">
        <v>0.1145110862442466</v>
      </c>
      <c r="F925" s="19" t="n">
        <v>0.1450024005493262</v>
      </c>
      <c r="G925" s="19" t="n">
        <v>0.9193731612079499</v>
      </c>
      <c r="H925" s="19" t="n">
        <v>0.957228</v>
      </c>
    </row>
    <row r="926" s="17">
      <c r="A926" s="19" t="n">
        <v>7955</v>
      </c>
      <c r="B926" s="19" t="n">
        <v>68728.219927</v>
      </c>
      <c r="C926" s="19" t="n">
        <v>1.6714325</v>
      </c>
      <c r="D926" s="19" t="n">
        <v>0.0058729374</v>
      </c>
      <c r="E926" s="19" t="n">
        <v>0.09009535917643638</v>
      </c>
      <c r="F926" s="19" t="n">
        <v>0.2991325651325141</v>
      </c>
      <c r="G926" s="19" t="n">
        <v>0.9303141035453376</v>
      </c>
      <c r="H926" s="19" t="n">
        <v>0.626231</v>
      </c>
    </row>
    <row r="927" s="17">
      <c r="A927" s="19" t="n">
        <v>7960</v>
      </c>
      <c r="B927" s="19" t="n">
        <v>39828.183567</v>
      </c>
      <c r="C927" s="19" t="n">
        <v>1.9710008</v>
      </c>
      <c r="D927" s="19" t="n">
        <v>0.0072696394</v>
      </c>
      <c r="E927" s="19" t="n">
        <v>0.0667995940022329</v>
      </c>
      <c r="F927" s="19" t="n">
        <v>0.1065928911992854</v>
      </c>
      <c r="G927" s="19" t="n">
        <v>0.9114771336157426</v>
      </c>
      <c r="H927" s="19" t="n">
        <v>0.6161180000000001</v>
      </c>
    </row>
    <row r="928" s="17">
      <c r="A928" s="19" t="n">
        <v>7965</v>
      </c>
      <c r="B928" s="19" t="n">
        <v>43386.229301</v>
      </c>
      <c r="C928" s="19" t="n">
        <v>1.7325236</v>
      </c>
      <c r="D928" s="19" t="n">
        <v>0.007332785</v>
      </c>
      <c r="E928" s="19" t="n">
        <v>0.1572422269069384</v>
      </c>
      <c r="F928" s="19" t="n">
        <v>0.1482768015411088</v>
      </c>
      <c r="G928" s="19" t="n">
        <v>0.9157150051146482</v>
      </c>
      <c r="H928" s="19" t="n">
        <v>1.312369</v>
      </c>
    </row>
    <row r="929" s="17">
      <c r="A929" s="19" t="n">
        <v>7970</v>
      </c>
      <c r="B929" s="19" t="n">
        <v>58023.28742</v>
      </c>
      <c r="C929" s="19" t="n">
        <v>2.394639</v>
      </c>
      <c r="D929" s="19" t="n">
        <v>0.0042656526</v>
      </c>
      <c r="E929" s="19" t="n">
        <v>0.09819095468606959</v>
      </c>
      <c r="F929" s="19" t="n">
        <v>0.3102856856310963</v>
      </c>
      <c r="G929" s="19" t="n">
        <v>0.8806361370161161</v>
      </c>
      <c r="H929" s="19" t="n">
        <v>1.162712</v>
      </c>
    </row>
    <row r="930" s="17">
      <c r="A930" s="19" t="n">
        <v>7975</v>
      </c>
      <c r="B930" s="19" t="n">
        <v>34222.298867</v>
      </c>
      <c r="C930" s="19" t="n">
        <v>2.1731445</v>
      </c>
      <c r="D930" s="19" t="n">
        <v>0.0062954292</v>
      </c>
      <c r="E930" s="19" t="n">
        <v>0.03154928007987411</v>
      </c>
      <c r="F930" s="19" t="n">
        <v>0.2563303795926544</v>
      </c>
      <c r="G930" s="19" t="n">
        <v>0.9498487613561124</v>
      </c>
      <c r="H930" s="19" t="n">
        <v>0.163762</v>
      </c>
    </row>
    <row r="931" s="17">
      <c r="A931" s="19" t="n">
        <v>7980</v>
      </c>
      <c r="B931" s="19" t="n">
        <v>58639.577751</v>
      </c>
      <c r="C931" s="19" t="n">
        <v>2.0771835</v>
      </c>
      <c r="D931" s="19" t="n">
        <v>0.003888687</v>
      </c>
      <c r="E931" s="19" t="n">
        <v>0.114936273587581</v>
      </c>
      <c r="F931" s="19" t="n">
        <v>0.2108915712038816</v>
      </c>
      <c r="G931" s="19" t="n">
        <v>0.9330814889694239</v>
      </c>
      <c r="H931" s="19" t="n">
        <v>0.777574</v>
      </c>
    </row>
    <row r="932" s="17">
      <c r="A932" s="19" t="n">
        <v>7985</v>
      </c>
      <c r="B932" s="19" t="n">
        <v>73298.996468</v>
      </c>
      <c r="C932" s="19" t="n">
        <v>1.7450449</v>
      </c>
      <c r="D932" s="19" t="n">
        <v>0.0061478472</v>
      </c>
      <c r="E932" s="19" t="n">
        <v>0.07836617102923384</v>
      </c>
      <c r="F932" s="19" t="n">
        <v>0.3436993796381448</v>
      </c>
      <c r="G932" s="19" t="n">
        <v>0.8446073065306223</v>
      </c>
      <c r="H932" s="19" t="n">
        <v>1.265056</v>
      </c>
    </row>
    <row r="933" s="17">
      <c r="A933" s="19" t="n">
        <v>7990</v>
      </c>
      <c r="B933" s="19" t="n">
        <v>45383.93682</v>
      </c>
      <c r="C933" s="19" t="n">
        <v>2.1860565</v>
      </c>
      <c r="D933" s="19" t="n">
        <v>0.008425118000000001</v>
      </c>
      <c r="E933" s="19" t="n">
        <v>0.04249643027529892</v>
      </c>
      <c r="F933" s="19" t="n">
        <v>0.2995542457453794</v>
      </c>
      <c r="G933" s="19" t="n">
        <v>0.954150214200693</v>
      </c>
      <c r="H933" s="19" t="n">
        <v>0.230293</v>
      </c>
    </row>
    <row r="934" s="17">
      <c r="A934" s="19" t="n">
        <v>7995</v>
      </c>
      <c r="B934" s="19" t="n">
        <v>59930.052863</v>
      </c>
      <c r="C934" s="19" t="n">
        <v>1.6491523</v>
      </c>
      <c r="D934" s="19" t="n">
        <v>0.0057654176</v>
      </c>
      <c r="E934" s="19" t="n">
        <v>0.1445609303385334</v>
      </c>
      <c r="F934" s="19" t="n">
        <v>0.2244670338316019</v>
      </c>
      <c r="G934" s="19" t="n">
        <v>0.9439408900822621</v>
      </c>
      <c r="H934" s="19" t="n">
        <v>0.824908</v>
      </c>
    </row>
    <row r="935" s="17">
      <c r="A935" s="19" t="n">
        <v>8000</v>
      </c>
      <c r="B935" s="19" t="n">
        <v>74416.59020999999</v>
      </c>
      <c r="C935" s="19" t="n">
        <v>2.3698118</v>
      </c>
      <c r="D935" s="19" t="n">
        <v>0.0056946544</v>
      </c>
      <c r="E935" s="19" t="n">
        <v>0.09949934559230356</v>
      </c>
      <c r="F935" s="19" t="n">
        <v>0.2313894339579392</v>
      </c>
      <c r="G935" s="19" t="n">
        <v>0.8888994519601059</v>
      </c>
      <c r="H935" s="19" t="n">
        <v>1.087426</v>
      </c>
    </row>
    <row r="936" s="17">
      <c r="A936" s="19" t="n">
        <v>8005</v>
      </c>
      <c r="B936" s="19" t="n">
        <v>40862.960993</v>
      </c>
      <c r="C936" s="19" t="n">
        <v>2.0438354</v>
      </c>
      <c r="D936" s="19" t="n">
        <v>0.0068518329</v>
      </c>
      <c r="E936" s="19" t="n">
        <v>0.05980779469100643</v>
      </c>
      <c r="F936" s="19" t="n">
        <v>0.1547325233981588</v>
      </c>
      <c r="G936" s="19" t="n">
        <v>0.960577290952914</v>
      </c>
      <c r="H936" s="19" t="n">
        <v>0.231737</v>
      </c>
    </row>
    <row r="937" s="17">
      <c r="A937" s="19" t="n">
        <v>8010</v>
      </c>
      <c r="B937" s="19" t="n">
        <v>50483.91125</v>
      </c>
      <c r="C937" s="19" t="n">
        <v>1.8103521</v>
      </c>
      <c r="D937" s="19" t="n">
        <v>0.0053955935</v>
      </c>
      <c r="E937" s="19" t="n">
        <v>0.1072957021314</v>
      </c>
      <c r="F937" s="19" t="n">
        <v>0.2158913990552938</v>
      </c>
      <c r="G937" s="19" t="n">
        <v>0.8920960353453742</v>
      </c>
      <c r="H937" s="19" t="n">
        <v>1.159153</v>
      </c>
    </row>
    <row r="938" s="17">
      <c r="A938" s="19" t="n">
        <v>8015</v>
      </c>
      <c r="B938" s="19" t="n">
        <v>70841.56381599999</v>
      </c>
      <c r="C938" s="19" t="n">
        <v>2.1723249</v>
      </c>
      <c r="D938" s="19" t="n">
        <v>0.0051538646</v>
      </c>
      <c r="E938" s="19" t="n">
        <v>0.07843883253051875</v>
      </c>
      <c r="F938" s="19" t="n">
        <v>0.2948428800422609</v>
      </c>
      <c r="G938" s="19" t="n">
        <v>0.9037654825064851</v>
      </c>
      <c r="H938" s="19" t="n">
        <v>0.742754</v>
      </c>
    </row>
    <row r="939" s="17">
      <c r="A939" s="19" t="n">
        <v>8020</v>
      </c>
      <c r="B939" s="19" t="n">
        <v>38395.951569</v>
      </c>
      <c r="C939" s="19" t="n">
        <v>2.1139977</v>
      </c>
      <c r="D939" s="19" t="n">
        <v>0.0084722068</v>
      </c>
      <c r="E939" s="19" t="n">
        <v>0.03938321059206032</v>
      </c>
      <c r="F939" s="19" t="n">
        <v>0.1368677399008095</v>
      </c>
      <c r="G939" s="19" t="n">
        <v>0.9387808112725909</v>
      </c>
      <c r="H939" s="19" t="n">
        <v>0.27234</v>
      </c>
    </row>
    <row r="940" s="17">
      <c r="A940" s="19" t="n">
        <v>8025</v>
      </c>
      <c r="B940" s="19" t="n">
        <v>63720.725022</v>
      </c>
      <c r="C940" s="19" t="n">
        <v>1.7594286</v>
      </c>
      <c r="D940" s="19" t="n">
        <v>0.0068124519</v>
      </c>
      <c r="E940" s="19" t="n">
        <v>0.0935683416998335</v>
      </c>
      <c r="F940" s="19" t="n">
        <v>0.2429897388418252</v>
      </c>
      <c r="G940" s="19" t="n">
        <v>0.9203865799668164</v>
      </c>
      <c r="H940" s="19" t="n">
        <v>0.749355</v>
      </c>
    </row>
    <row r="941" s="17">
      <c r="A941" s="19" t="n">
        <v>8030</v>
      </c>
      <c r="B941" s="19" t="n">
        <v>62860.059685</v>
      </c>
      <c r="C941" s="19" t="n">
        <v>2.3744673</v>
      </c>
      <c r="D941" s="19" t="n">
        <v>0.0052069633</v>
      </c>
      <c r="E941" s="19" t="n">
        <v>0.1071221388351041</v>
      </c>
      <c r="F941" s="19" t="n">
        <v>0.36140417351343</v>
      </c>
      <c r="G941" s="19" t="n">
        <v>0.9333665033806816</v>
      </c>
      <c r="H941" s="19" t="n">
        <v>0.761477</v>
      </c>
    </row>
    <row r="942" s="17">
      <c r="A942" s="19" t="n">
        <v>8035</v>
      </c>
      <c r="B942" s="19" t="n">
        <v>37854.200008</v>
      </c>
      <c r="C942" s="19" t="n">
        <v>2.0320317</v>
      </c>
      <c r="D942" s="19" t="n">
        <v>0.0083202907</v>
      </c>
      <c r="E942" s="19" t="n">
        <v>0.04582815197371527</v>
      </c>
      <c r="F942" s="19" t="n">
        <v>0.1444101550648425</v>
      </c>
      <c r="G942" s="19" t="n">
        <v>0.975903745402657</v>
      </c>
      <c r="H942" s="19" t="n">
        <v>0.135853</v>
      </c>
    </row>
    <row r="943" s="17">
      <c r="A943" s="19" t="n">
        <v>8040</v>
      </c>
      <c r="B943" s="19" t="n">
        <v>56538.942674</v>
      </c>
      <c r="C943" s="19" t="n">
        <v>1.761984</v>
      </c>
      <c r="D943" s="19" t="n">
        <v>0.0045173743</v>
      </c>
      <c r="E943" s="19" t="n">
        <v>0.0897040684166218</v>
      </c>
      <c r="F943" s="19" t="n">
        <v>0.2697222668040105</v>
      </c>
      <c r="G943" s="19" t="n">
        <v>0.9255251457116279</v>
      </c>
      <c r="H943" s="19" t="n">
        <v>0.688666</v>
      </c>
    </row>
    <row r="944" s="17">
      <c r="A944" s="19" t="n">
        <v>8045</v>
      </c>
      <c r="B944" s="19" t="n">
        <v>71159.83452</v>
      </c>
      <c r="C944" s="19" t="n">
        <v>2.1565476</v>
      </c>
      <c r="D944" s="19" t="n">
        <v>0.005820758</v>
      </c>
      <c r="E944" s="19" t="n">
        <v>0.05684045406270206</v>
      </c>
      <c r="F944" s="19" t="n">
        <v>0.2369181663549655</v>
      </c>
      <c r="G944" s="19" t="n">
        <v>0.9137796622770338</v>
      </c>
      <c r="H944" s="19" t="n">
        <v>0.532734</v>
      </c>
    </row>
    <row r="945" s="17">
      <c r="A945" s="19" t="n">
        <v>8050</v>
      </c>
      <c r="B945" s="19" t="n">
        <v>51337.44054</v>
      </c>
      <c r="C945" s="19" t="n">
        <v>2.0615236</v>
      </c>
      <c r="D945" s="19" t="n">
        <v>0.0055013654</v>
      </c>
      <c r="E945" s="19" t="n">
        <v>0.06162258748059075</v>
      </c>
      <c r="F945" s="19" t="n">
        <v>0.1455473920208852</v>
      </c>
      <c r="G945" s="19" t="n">
        <v>0.8880152530529155</v>
      </c>
      <c r="H945" s="19" t="n">
        <v>0.719553</v>
      </c>
    </row>
    <row r="946" s="17">
      <c r="A946" s="19" t="n">
        <v>8055</v>
      </c>
      <c r="B946" s="19" t="n">
        <v>44249.595989</v>
      </c>
      <c r="C946" s="19" t="n">
        <v>2.0023224</v>
      </c>
      <c r="D946" s="19" t="n">
        <v>0.0044585958</v>
      </c>
      <c r="E946" s="19" t="n">
        <v>0.1094375875052492</v>
      </c>
      <c r="F946" s="19" t="n">
        <v>0.2216423008613901</v>
      </c>
      <c r="G946" s="19" t="n">
        <v>0.9071590036562877</v>
      </c>
      <c r="H946" s="19" t="n">
        <v>1.030265</v>
      </c>
    </row>
    <row r="947" s="17">
      <c r="A947" s="19" t="n">
        <v>8060</v>
      </c>
      <c r="B947" s="19" t="n">
        <v>56525.596718</v>
      </c>
      <c r="C947" s="19" t="n">
        <v>2.4793606</v>
      </c>
      <c r="D947" s="19" t="n">
        <v>0.0053290595</v>
      </c>
      <c r="E947" s="19" t="n">
        <v>0.1094363541193238</v>
      </c>
      <c r="F947" s="19" t="n">
        <v>0.3500652051188912</v>
      </c>
      <c r="G947" s="19" t="n">
        <v>0.8812179885257061</v>
      </c>
      <c r="H947" s="19" t="n">
        <v>1.31194</v>
      </c>
    </row>
    <row r="948" s="17">
      <c r="A948" s="19" t="n">
        <v>8065</v>
      </c>
      <c r="B948" s="19" t="n">
        <v>54097.846746</v>
      </c>
      <c r="C948" s="19" t="n">
        <v>2.1934389</v>
      </c>
      <c r="D948" s="19" t="n">
        <v>0.0096129309</v>
      </c>
      <c r="E948" s="19" t="n">
        <v>0.0458425003199331</v>
      </c>
      <c r="F948" s="19" t="n">
        <v>0.1426131147160457</v>
      </c>
      <c r="G948" s="19" t="n">
        <v>0.9397690981030522</v>
      </c>
      <c r="H948" s="19" t="n">
        <v>0.321801</v>
      </c>
    </row>
    <row r="949" s="17">
      <c r="A949" s="19" t="n">
        <v>8070</v>
      </c>
      <c r="B949" s="19" t="n">
        <v>39892.689052</v>
      </c>
      <c r="C949" s="19" t="n">
        <v>2.0568354</v>
      </c>
      <c r="D949" s="19" t="n">
        <v>0.007937261500000001</v>
      </c>
      <c r="E949" s="19" t="n">
        <v>0.07175912460682111</v>
      </c>
      <c r="F949" s="19" t="n">
        <v>0.1289282772986282</v>
      </c>
      <c r="G949" s="19" t="n">
        <v>1</v>
      </c>
      <c r="H949" s="19" t="n">
        <v>0.030812</v>
      </c>
    </row>
    <row r="950" s="17">
      <c r="A950" s="19" t="n">
        <v>8075</v>
      </c>
      <c r="B950" s="19" t="n">
        <v>57209.050603</v>
      </c>
      <c r="C950" s="19" t="n">
        <v>1.7370365</v>
      </c>
      <c r="D950" s="19" t="n">
        <v>0.0059371343</v>
      </c>
      <c r="E950" s="19" t="n">
        <v>0.1014752949273543</v>
      </c>
      <c r="F950" s="19" t="n">
        <v>0.3645830718824584</v>
      </c>
      <c r="G950" s="19" t="n">
        <v>0.8856273018632201</v>
      </c>
      <c r="H950" s="19" t="n">
        <v>1.195696</v>
      </c>
    </row>
    <row r="951" s="17">
      <c r="A951" s="19" t="n">
        <v>8080</v>
      </c>
      <c r="B951" s="19" t="n">
        <v>43109.305879</v>
      </c>
      <c r="C951" s="19" t="n">
        <v>1.9920767</v>
      </c>
      <c r="D951" s="19" t="n">
        <v>0.0067234036</v>
      </c>
      <c r="E951" s="19" t="n">
        <v>0.03013144345843433</v>
      </c>
      <c r="F951" s="19" t="n">
        <v>0.07162656162361426</v>
      </c>
      <c r="G951" s="19" t="n">
        <v>0.927134831473564</v>
      </c>
      <c r="H951" s="19" t="n">
        <v>0.267304</v>
      </c>
    </row>
    <row r="952" s="17">
      <c r="A952" s="19" t="n">
        <v>8085</v>
      </c>
      <c r="B952" s="19" t="n">
        <v>64282.682613</v>
      </c>
      <c r="C952" s="19" t="n">
        <v>1.9477673</v>
      </c>
      <c r="D952" s="19" t="n">
        <v>0.0062977425</v>
      </c>
      <c r="E952" s="19" t="n">
        <v>0.1314361845518331</v>
      </c>
      <c r="F952" s="19" t="n">
        <v>0.2245920356743377</v>
      </c>
      <c r="G952" s="19" t="n">
        <v>0.8717282047627002</v>
      </c>
      <c r="H952" s="19" t="n">
        <v>1.707</v>
      </c>
    </row>
    <row r="953" s="17">
      <c r="A953" s="19" t="n">
        <v>8090</v>
      </c>
      <c r="B953" s="19" t="n">
        <v>56284.528805</v>
      </c>
      <c r="C953" s="19" t="n">
        <v>2.4418181</v>
      </c>
      <c r="D953" s="19" t="n">
        <v>0.0035429602</v>
      </c>
      <c r="E953" s="19" t="n">
        <v>0.05644746454163224</v>
      </c>
      <c r="F953" s="19" t="n">
        <v>0.3770332212901811</v>
      </c>
      <c r="G953" s="19" t="n">
        <v>0.8779128213859654</v>
      </c>
      <c r="H953" s="19" t="n">
        <v>0.72115</v>
      </c>
    </row>
    <row r="954" s="17">
      <c r="A954" s="19" t="n">
        <v>8095</v>
      </c>
      <c r="B954" s="19" t="n">
        <v>35968.018274</v>
      </c>
      <c r="C954" s="19" t="n">
        <v>2.0697265</v>
      </c>
      <c r="D954" s="19" t="n">
        <v>0.0064504822</v>
      </c>
      <c r="E954" s="19" t="n">
        <v>0.05074352881480182</v>
      </c>
      <c r="F954" s="19" t="n">
        <v>0.03583585942324349</v>
      </c>
      <c r="G954" s="19" t="n">
        <v>0.9413995011255609</v>
      </c>
      <c r="H954" s="19" t="n">
        <v>0.301907</v>
      </c>
    </row>
    <row r="955" s="17">
      <c r="A955" s="19" t="n">
        <v>8100</v>
      </c>
      <c r="B955" s="19" t="n">
        <v>56298.309625</v>
      </c>
      <c r="C955" s="19" t="n">
        <v>1.9339435</v>
      </c>
      <c r="D955" s="19" t="n">
        <v>0.0072013797</v>
      </c>
      <c r="E955" s="19" t="n">
        <v>0.08504370347852848</v>
      </c>
      <c r="F955" s="19" t="n">
        <v>0.1110387505304916</v>
      </c>
      <c r="G955" s="19" t="n">
        <v>0.9057944648643782</v>
      </c>
      <c r="H955" s="19" t="n">
        <v>0.795898</v>
      </c>
    </row>
    <row r="956" s="17">
      <c r="A956" s="19" t="n">
        <v>8105</v>
      </c>
      <c r="B956" s="19" t="n">
        <v>72148.64045599999</v>
      </c>
      <c r="C956" s="19" t="n">
        <v>1.8003468</v>
      </c>
      <c r="D956" s="19" t="n">
        <v>0.0041241857</v>
      </c>
      <c r="E956" s="19" t="n">
        <v>0.09945042674956134</v>
      </c>
      <c r="F956" s="19" t="n">
        <v>0.240629814116883</v>
      </c>
      <c r="G956" s="19" t="n">
        <v>0.9229789640456969</v>
      </c>
      <c r="H956" s="19" t="n">
        <v>0.776015</v>
      </c>
    </row>
    <row r="957" s="17">
      <c r="A957" s="19" t="n">
        <v>8110</v>
      </c>
      <c r="B957" s="19" t="n">
        <v>52108.952405</v>
      </c>
      <c r="C957" s="19" t="n">
        <v>2.0696081</v>
      </c>
      <c r="D957" s="19" t="n">
        <v>0.0090786837</v>
      </c>
      <c r="E957" s="19" t="n">
        <v>0.0427509852458189</v>
      </c>
      <c r="F957" s="19" t="n">
        <v>0.0595184706096477</v>
      </c>
      <c r="G957" s="19" t="n">
        <v>0.9398768371735622</v>
      </c>
      <c r="H957" s="19" t="n">
        <v>0.274422</v>
      </c>
    </row>
    <row r="958" s="17">
      <c r="A958" s="19" t="n">
        <v>8115</v>
      </c>
      <c r="B958" s="19" t="n">
        <v>62241.312501</v>
      </c>
      <c r="C958" s="19" t="n">
        <v>2.0400506</v>
      </c>
      <c r="D958" s="19" t="n">
        <v>0.0041587794</v>
      </c>
      <c r="E958" s="19" t="n">
        <v>0.1258176504638748</v>
      </c>
      <c r="F958" s="19" t="n">
        <v>0.1775976691911283</v>
      </c>
      <c r="G958" s="19" t="n">
        <v>0.9533008420986504</v>
      </c>
      <c r="H958" s="19" t="n">
        <v>0.597703</v>
      </c>
    </row>
    <row r="959" s="17">
      <c r="A959" s="19" t="n">
        <v>8120</v>
      </c>
      <c r="B959" s="19" t="n">
        <v>56869.806669</v>
      </c>
      <c r="C959" s="19" t="n">
        <v>1.7864192</v>
      </c>
      <c r="D959" s="19" t="n">
        <v>0.0057329373</v>
      </c>
      <c r="E959" s="19" t="n">
        <v>0.06023321105564774</v>
      </c>
      <c r="F959" s="19" t="n">
        <v>0.367498585226844</v>
      </c>
      <c r="G959" s="19" t="n">
        <v>0.9150297131077245</v>
      </c>
      <c r="H959" s="19" t="n">
        <v>0.519473</v>
      </c>
    </row>
    <row r="960" s="17">
      <c r="A960" s="19" t="n">
        <v>8125</v>
      </c>
      <c r="B960" s="19" t="n">
        <v>46342.199185</v>
      </c>
      <c r="C960" s="19" t="n">
        <v>1.8545608</v>
      </c>
      <c r="D960" s="19" t="n">
        <v>0.0063057097</v>
      </c>
      <c r="E960" s="19" t="n">
        <v>0.06287817218517418</v>
      </c>
      <c r="F960" s="19" t="n">
        <v>0.1137355612260494</v>
      </c>
      <c r="G960" s="19" t="n">
        <v>0.9677722751184714</v>
      </c>
      <c r="H960" s="19" t="n">
        <v>0.240857</v>
      </c>
    </row>
    <row r="961" s="17">
      <c r="A961" s="19" t="n">
        <v>8130</v>
      </c>
      <c r="B961" s="19" t="n">
        <v>47391.656457</v>
      </c>
      <c r="C961" s="19" t="n">
        <v>2.0850834</v>
      </c>
      <c r="D961" s="19" t="n">
        <v>0.0057359621</v>
      </c>
      <c r="E961" s="19" t="n">
        <v>0.1333829283602936</v>
      </c>
      <c r="F961" s="19" t="n">
        <v>0.2438501631047031</v>
      </c>
      <c r="G961" s="19" t="n">
        <v>0.9155569361363194</v>
      </c>
      <c r="H961" s="19" t="n">
        <v>1.119337</v>
      </c>
    </row>
    <row r="962" s="17">
      <c r="A962" s="19" t="n">
        <v>8135</v>
      </c>
      <c r="B962" s="19" t="n">
        <v>51913.194173</v>
      </c>
      <c r="C962" s="19" t="n">
        <v>2.0707717</v>
      </c>
      <c r="D962" s="19" t="n">
        <v>0.0082337686</v>
      </c>
      <c r="E962" s="19" t="n">
        <v>0.05311531967034441</v>
      </c>
      <c r="F962" s="19" t="n">
        <v>0.07587271346368293</v>
      </c>
      <c r="G962" s="19" t="n">
        <v>0.9124522672872863</v>
      </c>
      <c r="H962" s="19" t="n">
        <v>0.464758</v>
      </c>
    </row>
    <row r="963" s="17">
      <c r="A963" s="19" t="n">
        <v>8140</v>
      </c>
      <c r="B963" s="19" t="n">
        <v>45131.983174</v>
      </c>
      <c r="C963" s="19" t="n">
        <v>2.0916987</v>
      </c>
      <c r="D963" s="19" t="n">
        <v>0.0059357288</v>
      </c>
      <c r="E963" s="19" t="n">
        <v>0.03225516399173579</v>
      </c>
      <c r="F963" s="19" t="n">
        <v>0.07856774859020475</v>
      </c>
      <c r="G963" s="19" t="n">
        <v>0.9722465915824315</v>
      </c>
      <c r="H963" s="19" t="n">
        <v>0.136856</v>
      </c>
    </row>
    <row r="964" s="17">
      <c r="A964" s="19" t="n">
        <v>8145</v>
      </c>
      <c r="B964" s="19" t="n">
        <v>52989.009412</v>
      </c>
      <c r="C964" s="19" t="n">
        <v>2.2471783</v>
      </c>
      <c r="D964" s="19" t="n">
        <v>0.0049942165</v>
      </c>
      <c r="E964" s="19" t="n">
        <v>0.1135945475871356</v>
      </c>
      <c r="F964" s="19" t="n">
        <v>0.2431774873787123</v>
      </c>
      <c r="G964" s="19" t="n">
        <v>0.8989050508935738</v>
      </c>
      <c r="H964" s="19" t="n">
        <v>1.188946</v>
      </c>
    </row>
    <row r="965" s="17">
      <c r="A965" s="19" t="n">
        <v>8150</v>
      </c>
      <c r="B965" s="19" t="n">
        <v>66808.562219</v>
      </c>
      <c r="C965" s="19" t="n">
        <v>1.7292401</v>
      </c>
      <c r="D965" s="19" t="n">
        <v>0.0059029723</v>
      </c>
      <c r="E965" s="19" t="n">
        <v>0.1000301487140985</v>
      </c>
      <c r="F965" s="19" t="n">
        <v>0.3416468154136357</v>
      </c>
      <c r="G965" s="19" t="n">
        <v>0.8858729703392277</v>
      </c>
      <c r="H965" s="19" t="n">
        <v>1.158289</v>
      </c>
    </row>
    <row r="966" s="17">
      <c r="A966" s="19" t="n">
        <v>8155</v>
      </c>
      <c r="B966" s="19" t="n">
        <v>44630.344444</v>
      </c>
      <c r="C966" s="19" t="n">
        <v>1.9748464</v>
      </c>
      <c r="D966" s="19" t="n">
        <v>0.0072263185</v>
      </c>
      <c r="E966" s="19" t="n">
        <v>0.03709304849763098</v>
      </c>
      <c r="F966" s="19" t="n">
        <v>0.05645088140426914</v>
      </c>
      <c r="G966" s="19" t="n">
        <v>1</v>
      </c>
      <c r="H966" s="19" t="n">
        <v>0.006726</v>
      </c>
    </row>
    <row r="967" s="17">
      <c r="A967" s="19" t="n">
        <v>8160</v>
      </c>
      <c r="B967" s="19" t="n">
        <v>44154.677464</v>
      </c>
      <c r="C967" s="19" t="n">
        <v>1.9497845</v>
      </c>
      <c r="D967" s="19" t="n">
        <v>0.0061226588</v>
      </c>
      <c r="E967" s="19" t="n">
        <v>0.1269275468862069</v>
      </c>
      <c r="F967" s="19" t="n">
        <v>0.3402090280963494</v>
      </c>
      <c r="G967" s="19" t="n">
        <v>0.9011713615052723</v>
      </c>
      <c r="H967" s="19" t="n">
        <v>1.235483</v>
      </c>
    </row>
    <row r="968" s="17">
      <c r="A968" s="19" t="n">
        <v>8165</v>
      </c>
      <c r="B968" s="19" t="n">
        <v>59081.097061</v>
      </c>
      <c r="C968" s="19" t="n">
        <v>2.2004195</v>
      </c>
      <c r="D968" s="19" t="n">
        <v>0.0046271696</v>
      </c>
      <c r="E968" s="19" t="n">
        <v>0.05748715675155773</v>
      </c>
      <c r="F968" s="19" t="n">
        <v>0.3402973717789677</v>
      </c>
      <c r="G968" s="19" t="n">
        <v>0.8915601213769763</v>
      </c>
      <c r="H968" s="19" t="n">
        <v>0.654069</v>
      </c>
    </row>
    <row r="969" s="17">
      <c r="A969" s="19" t="n">
        <v>8170</v>
      </c>
      <c r="B969" s="19" t="n">
        <v>35462.998093</v>
      </c>
      <c r="C969" s="19" t="n">
        <v>1.9838695</v>
      </c>
      <c r="D969" s="19" t="n">
        <v>0.009371487100000001</v>
      </c>
      <c r="E969" s="19" t="n">
        <v>0.04946077417254895</v>
      </c>
      <c r="F969" s="19" t="n">
        <v>0.184861789119974</v>
      </c>
      <c r="G969" s="19" t="n">
        <v>0.9303972098889953</v>
      </c>
      <c r="H969" s="19" t="n">
        <v>0.377105</v>
      </c>
    </row>
    <row r="970" s="17">
      <c r="A970" s="19" t="n">
        <v>8175</v>
      </c>
      <c r="B970" s="19" t="n">
        <v>64437.013378</v>
      </c>
      <c r="C970" s="19" t="n">
        <v>1.9048083</v>
      </c>
      <c r="D970" s="19" t="n">
        <v>0.0040483564</v>
      </c>
      <c r="E970" s="19" t="n">
        <v>0.1107846118555884</v>
      </c>
      <c r="F970" s="19" t="n">
        <v>0.2857047727777023</v>
      </c>
      <c r="G970" s="19" t="n">
        <v>0.9289828351983364</v>
      </c>
      <c r="H970" s="19" t="n">
        <v>0.801574</v>
      </c>
    </row>
    <row r="971" s="17">
      <c r="A971" s="19" t="n">
        <v>8180</v>
      </c>
      <c r="B971" s="19" t="n">
        <v>71770.67243200001</v>
      </c>
      <c r="C971" s="19" t="n">
        <v>2.1858387</v>
      </c>
      <c r="D971" s="19" t="n">
        <v>0.0043841033</v>
      </c>
      <c r="E971" s="19" t="n">
        <v>0.09519392135253901</v>
      </c>
      <c r="F971" s="19" t="n">
        <v>0.3154444840043624</v>
      </c>
      <c r="G971" s="19" t="n">
        <v>0.9706824848935593</v>
      </c>
      <c r="H971" s="19" t="n">
        <v>0.283933</v>
      </c>
    </row>
    <row r="972" s="17">
      <c r="A972" s="19" t="n">
        <v>8185</v>
      </c>
      <c r="B972" s="19" t="n">
        <v>46018.073762</v>
      </c>
      <c r="C972" s="19" t="n">
        <v>1.9340673</v>
      </c>
      <c r="D972" s="19" t="n">
        <v>0.008038684500000001</v>
      </c>
      <c r="E972" s="19" t="n">
        <v>0.05336292695196181</v>
      </c>
      <c r="F972" s="19" t="n">
        <v>0.05363054580997588</v>
      </c>
      <c r="G972" s="19" t="n">
        <v>0.9402225876599068</v>
      </c>
      <c r="H972" s="19" t="n">
        <v>0.335242</v>
      </c>
    </row>
    <row r="973" s="17">
      <c r="A973" s="19" t="n">
        <v>8190</v>
      </c>
      <c r="B973" s="19" t="n">
        <v>68896.477397</v>
      </c>
      <c r="C973" s="19" t="n">
        <v>2.0660469</v>
      </c>
      <c r="D973" s="19" t="n">
        <v>0.0049704178</v>
      </c>
      <c r="E973" s="19" t="n">
        <v>0.09001348348340243</v>
      </c>
      <c r="F973" s="19" t="n">
        <v>0.1185340698716142</v>
      </c>
      <c r="G973" s="19" t="n">
        <v>0.9314198663331336</v>
      </c>
      <c r="H973" s="19" t="n">
        <v>0.6485</v>
      </c>
    </row>
    <row r="974" s="17">
      <c r="A974" s="19" t="n">
        <v>8195</v>
      </c>
      <c r="B974" s="19" t="n">
        <v>62856.775024</v>
      </c>
      <c r="C974" s="19" t="n">
        <v>1.5649113</v>
      </c>
      <c r="D974" s="19" t="n">
        <v>0.0039502124</v>
      </c>
      <c r="E974" s="19" t="n">
        <v>0.06220631573762253</v>
      </c>
      <c r="F974" s="19" t="n">
        <v>0.1873445788529016</v>
      </c>
      <c r="G974" s="19" t="n">
        <v>0.9560982272918528</v>
      </c>
      <c r="H974" s="19" t="n">
        <v>0.270259</v>
      </c>
    </row>
    <row r="975" s="17">
      <c r="A975" s="19" t="n">
        <v>8200</v>
      </c>
      <c r="B975" s="19" t="n">
        <v>40914.010787</v>
      </c>
      <c r="C975" s="19" t="n">
        <v>2.0549894</v>
      </c>
      <c r="D975" s="19" t="n">
        <v>0.0061710635</v>
      </c>
      <c r="E975" s="19" t="n">
        <v>0.05745990287350701</v>
      </c>
      <c r="F975" s="19" t="n">
        <v>0.153515704599124</v>
      </c>
      <c r="G975" s="19" t="n">
        <v>0.961502614569971</v>
      </c>
      <c r="H975" s="19" t="n">
        <v>0.247276</v>
      </c>
    </row>
    <row r="976" s="17">
      <c r="A976" s="19" t="n">
        <v>8205</v>
      </c>
      <c r="B976" s="19" t="n">
        <v>44800.16617</v>
      </c>
      <c r="C976" s="19" t="n">
        <v>2.116298</v>
      </c>
      <c r="D976" s="19" t="n">
        <v>0.0052953527</v>
      </c>
      <c r="E976" s="19" t="n">
        <v>0.08791431381808215</v>
      </c>
      <c r="F976" s="19" t="n">
        <v>0.2317692073784401</v>
      </c>
      <c r="G976" s="19" t="n">
        <v>0.9023644835978328</v>
      </c>
      <c r="H976" s="19" t="n">
        <v>0.859208</v>
      </c>
    </row>
    <row r="977" s="17">
      <c r="A977" s="19" t="n">
        <v>8210</v>
      </c>
      <c r="B977" s="19" t="n">
        <v>73804.84447700001</v>
      </c>
      <c r="C977" s="19" t="n">
        <v>2.4292292</v>
      </c>
      <c r="D977" s="19" t="n">
        <v>0.0047714326</v>
      </c>
      <c r="E977" s="19" t="n">
        <v>0.1016031166276875</v>
      </c>
      <c r="F977" s="19" t="n">
        <v>0.3773115171285104</v>
      </c>
      <c r="G977" s="19" t="n">
        <v>0.8864759886209066</v>
      </c>
      <c r="H977" s="19" t="n">
        <v>1.18149</v>
      </c>
    </row>
    <row r="978" s="17">
      <c r="A978" s="19" t="n">
        <v>8215</v>
      </c>
      <c r="B978" s="19" t="n">
        <v>35400.500325</v>
      </c>
      <c r="C978" s="19" t="n">
        <v>1.8301949</v>
      </c>
      <c r="D978" s="19" t="n">
        <v>0.0070383189</v>
      </c>
      <c r="E978" s="19" t="n">
        <v>0.04583168951127464</v>
      </c>
      <c r="F978" s="19" t="n">
        <v>0.2065882024348022</v>
      </c>
      <c r="G978" s="19" t="n">
        <v>0.9327296351374862</v>
      </c>
      <c r="H978" s="19" t="n">
        <v>0.318933</v>
      </c>
    </row>
    <row r="979" s="17">
      <c r="A979" s="19" t="n">
        <v>8220</v>
      </c>
      <c r="B979" s="19" t="n">
        <v>57017.226114</v>
      </c>
      <c r="C979" s="19" t="n">
        <v>1.8530604</v>
      </c>
      <c r="D979" s="19" t="n">
        <v>0.0035474575</v>
      </c>
      <c r="E979" s="19" t="n">
        <v>0.1066819093176943</v>
      </c>
      <c r="F979" s="19" t="n">
        <v>0.2949450182488946</v>
      </c>
      <c r="G979" s="19" t="n">
        <v>0.9107654179042891</v>
      </c>
      <c r="H979" s="19" t="n">
        <v>0.9863229999999999</v>
      </c>
    </row>
    <row r="980" s="17">
      <c r="A980" s="19" t="n">
        <v>8225</v>
      </c>
      <c r="B980" s="19" t="n">
        <v>71006.415679</v>
      </c>
      <c r="C980" s="19" t="n">
        <v>2.443492</v>
      </c>
      <c r="D980" s="19" t="n">
        <v>0.0041726114</v>
      </c>
      <c r="E980" s="19" t="n">
        <v>0.1083231059690922</v>
      </c>
      <c r="F980" s="19" t="n">
        <v>0.2888060807343578</v>
      </c>
      <c r="G980" s="19" t="n">
        <v>0.871361765584562</v>
      </c>
      <c r="H980" s="19" t="n">
        <v>1.436534</v>
      </c>
    </row>
    <row r="981" s="17">
      <c r="A981" s="19" t="n">
        <v>8230</v>
      </c>
      <c r="B981" s="19" t="n">
        <v>39334.059313</v>
      </c>
      <c r="C981" s="19" t="n">
        <v>1.9683938</v>
      </c>
      <c r="D981" s="19" t="n">
        <v>0.0068995002</v>
      </c>
      <c r="E981" s="19" t="n">
        <v>0.05657526279597594</v>
      </c>
      <c r="F981" s="19" t="n">
        <v>0.1287830845735148</v>
      </c>
      <c r="G981" s="19" t="n">
        <v>0.9512043202180397</v>
      </c>
      <c r="H981" s="19" t="n">
        <v>0.325087</v>
      </c>
    </row>
    <row r="982" s="17">
      <c r="A982" s="19" t="n">
        <v>8235</v>
      </c>
      <c r="B982" s="19" t="n">
        <v>56217.446758</v>
      </c>
      <c r="C982" s="19" t="n">
        <v>2.2325836</v>
      </c>
      <c r="D982" s="19" t="n">
        <v>0.0075751472</v>
      </c>
      <c r="E982" s="19" t="n">
        <v>0.108684975303149</v>
      </c>
      <c r="F982" s="19" t="n">
        <v>0.1004219512306632</v>
      </c>
      <c r="G982" s="19" t="n">
        <v>0.9058623136926317</v>
      </c>
      <c r="H982" s="19" t="n">
        <v>1.051587</v>
      </c>
    </row>
    <row r="983" s="17">
      <c r="A983" s="19" t="n">
        <v>8240</v>
      </c>
      <c r="B983" s="19" t="n">
        <v>74684.934074</v>
      </c>
      <c r="C983" s="19" t="n">
        <v>2.2476314</v>
      </c>
      <c r="D983" s="19" t="n">
        <v>0.0058697897</v>
      </c>
      <c r="E983" s="19" t="n">
        <v>0.08961438095988045</v>
      </c>
      <c r="F983" s="19" t="n">
        <v>0.2098715034462431</v>
      </c>
      <c r="G983" s="19" t="n">
        <v>0.8728114547427526</v>
      </c>
      <c r="H983" s="19" t="n">
        <v>1.134544</v>
      </c>
    </row>
    <row r="984" s="17">
      <c r="A984" s="19" t="n">
        <v>8245</v>
      </c>
      <c r="B984" s="19" t="n">
        <v>50816.543079</v>
      </c>
      <c r="C984" s="19" t="n">
        <v>1.9542209</v>
      </c>
      <c r="D984" s="19" t="n">
        <v>0.008000045799999999</v>
      </c>
      <c r="E984" s="19" t="n">
        <v>0.04112083375693455</v>
      </c>
      <c r="F984" s="19" t="n">
        <v>0.202335818267005</v>
      </c>
      <c r="G984" s="19" t="n">
        <v>0.9929885679972623</v>
      </c>
      <c r="H984" s="19" t="n">
        <v>0.06841</v>
      </c>
    </row>
    <row r="985" s="17">
      <c r="A985" s="19" t="n">
        <v>8250</v>
      </c>
      <c r="B985" s="19" t="n">
        <v>35742.296475</v>
      </c>
      <c r="C985" s="19" t="n">
        <v>1.7102563</v>
      </c>
      <c r="D985" s="19" t="n">
        <v>0.0035157732</v>
      </c>
      <c r="E985" s="19" t="n">
        <v>0.1350529490651406</v>
      </c>
      <c r="F985" s="19" t="n">
        <v>0.1727087095289191</v>
      </c>
      <c r="G985" s="19" t="n">
        <v>0.8747700525031386</v>
      </c>
      <c r="H985" s="19" t="n">
        <v>1.739826</v>
      </c>
    </row>
    <row r="986" s="17">
      <c r="A986" s="19" t="n">
        <v>8255</v>
      </c>
      <c r="B986" s="19" t="n">
        <v>57019.885368</v>
      </c>
      <c r="C986" s="19" t="n">
        <v>1.7651109</v>
      </c>
      <c r="D986" s="19" t="n">
        <v>0.0059850362</v>
      </c>
      <c r="E986" s="19" t="n">
        <v>0.08593183874184733</v>
      </c>
      <c r="F986" s="19" t="n">
        <v>0.3394086871640037</v>
      </c>
      <c r="G986" s="19" t="n">
        <v>0.8927310261613444</v>
      </c>
      <c r="H986" s="19" t="n">
        <v>0.906619</v>
      </c>
    </row>
    <row r="987" s="17">
      <c r="A987" s="19" t="n">
        <v>8260</v>
      </c>
      <c r="B987" s="19" t="n">
        <v>32684.199187</v>
      </c>
      <c r="C987" s="19" t="n">
        <v>2.1218059</v>
      </c>
      <c r="D987" s="19" t="n">
        <v>0.0092719888</v>
      </c>
      <c r="E987" s="19" t="n">
        <v>0.03630861077723286</v>
      </c>
      <c r="F987" s="19" t="n">
        <v>0.2378880899662218</v>
      </c>
      <c r="G987" s="19" t="n">
        <v>0.8840379344886748</v>
      </c>
      <c r="H987" s="19" t="n">
        <v>0.459331</v>
      </c>
    </row>
    <row r="988" s="17">
      <c r="A988" s="19" t="n">
        <v>8265</v>
      </c>
      <c r="B988" s="19" t="n">
        <v>38582.214731</v>
      </c>
      <c r="C988" s="19" t="n">
        <v>1.9235652</v>
      </c>
      <c r="D988" s="19" t="n">
        <v>0.0061856299</v>
      </c>
      <c r="E988" s="19" t="n">
        <v>0.03439300126529819</v>
      </c>
      <c r="F988" s="19" t="n">
        <v>0.05795230914970992</v>
      </c>
      <c r="G988" s="19" t="n">
        <v>0.9804910606550762</v>
      </c>
      <c r="H988" s="19" t="n">
        <v>0.063501</v>
      </c>
    </row>
    <row r="989" s="17">
      <c r="A989" s="19" t="n">
        <v>8270</v>
      </c>
      <c r="B989" s="19" t="n">
        <v>74597.52881800001</v>
      </c>
      <c r="C989" s="19" t="n">
        <v>1.505805</v>
      </c>
      <c r="D989" s="19" t="n">
        <v>0.0030106797</v>
      </c>
      <c r="E989" s="19" t="n">
        <v>0.04075580764087807</v>
      </c>
      <c r="F989" s="19" t="n">
        <v>0.209956461390014</v>
      </c>
      <c r="G989" s="19" t="n">
        <v>0.947160234450346</v>
      </c>
      <c r="H989" s="19" t="n">
        <v>0.229188</v>
      </c>
    </row>
    <row r="990" s="17">
      <c r="A990" s="19" t="n">
        <v>8275</v>
      </c>
      <c r="B990" s="19" t="n">
        <v>47962.447928</v>
      </c>
      <c r="C990" s="19" t="n">
        <v>1.8960569</v>
      </c>
      <c r="D990" s="19" t="n">
        <v>0.0074151755</v>
      </c>
      <c r="E990" s="19" t="n">
        <v>0.05678594665253388</v>
      </c>
      <c r="F990" s="19" t="n">
        <v>0.1742907372059728</v>
      </c>
      <c r="G990" s="19" t="n">
        <v>0.95268631701546</v>
      </c>
      <c r="H990" s="19" t="n">
        <v>0.305401</v>
      </c>
    </row>
    <row r="991" s="17">
      <c r="A991" s="19" t="n">
        <v>8280</v>
      </c>
      <c r="B991" s="19" t="n">
        <v>59399.495621</v>
      </c>
      <c r="C991" s="19" t="n">
        <v>1.9817704</v>
      </c>
      <c r="D991" s="19" t="n">
        <v>0.0078798796</v>
      </c>
      <c r="E991" s="19" t="n">
        <v>0.1464743262888049</v>
      </c>
      <c r="F991" s="19" t="n">
        <v>0.1644011150145371</v>
      </c>
      <c r="G991" s="19" t="n">
        <v>0.9195762208171926</v>
      </c>
      <c r="H991" s="19" t="n">
        <v>1.221643</v>
      </c>
    </row>
    <row r="992" s="17">
      <c r="A992" s="19" t="n">
        <v>8285</v>
      </c>
      <c r="B992" s="19" t="n">
        <v>71460.19854700001</v>
      </c>
      <c r="C992" s="19" t="n">
        <v>1.7473317</v>
      </c>
      <c r="D992" s="19" t="n">
        <v>0.0040359153</v>
      </c>
      <c r="E992" s="19" t="n">
        <v>0.07429630098654985</v>
      </c>
      <c r="F992" s="19" t="n">
        <v>0.2659384351157331</v>
      </c>
      <c r="G992" s="19" t="n">
        <v>0.9765320098327512</v>
      </c>
      <c r="H992" s="19" t="n">
        <v>0.205673</v>
      </c>
    </row>
    <row r="993" s="17">
      <c r="A993" s="19" t="n">
        <v>8290</v>
      </c>
      <c r="B993" s="19" t="n">
        <v>34396.843903</v>
      </c>
      <c r="C993" s="19" t="n">
        <v>1.7708252</v>
      </c>
      <c r="D993" s="19" t="n">
        <v>0.008587296100000001</v>
      </c>
      <c r="E993" s="19" t="n">
        <v>0.06690539656707623</v>
      </c>
      <c r="F993" s="19" t="n">
        <v>0.1564610700196218</v>
      </c>
      <c r="G993" s="19" t="n">
        <v>0.9349668846419081</v>
      </c>
      <c r="H993" s="19" t="n">
        <v>0.445755</v>
      </c>
    </row>
    <row r="994" s="17">
      <c r="A994" s="19" t="n">
        <v>8295</v>
      </c>
      <c r="B994" s="19" t="n">
        <v>54451.221925</v>
      </c>
      <c r="C994" s="19" t="n">
        <v>2.1654644</v>
      </c>
      <c r="D994" s="19" t="n">
        <v>0.0041630156</v>
      </c>
      <c r="E994" s="19" t="n">
        <v>0.1411506776767703</v>
      </c>
      <c r="F994" s="19" t="n">
        <v>0.2584328561458995</v>
      </c>
      <c r="G994" s="19" t="n">
        <v>0.8987219101155279</v>
      </c>
      <c r="H994" s="19" t="n">
        <v>1.461784</v>
      </c>
    </row>
    <row r="995" s="17">
      <c r="A995" s="19" t="n">
        <v>8300</v>
      </c>
      <c r="B995" s="19" t="n">
        <v>67095.04938700001</v>
      </c>
      <c r="C995" s="19" t="n">
        <v>1.6758922</v>
      </c>
      <c r="D995" s="19" t="n">
        <v>0.0061993324</v>
      </c>
      <c r="E995" s="19" t="n">
        <v>0.07498793187307443</v>
      </c>
      <c r="F995" s="19" t="n">
        <v>0.3739987284340834</v>
      </c>
      <c r="G995" s="19" t="n">
        <v>0.8904154542847157</v>
      </c>
      <c r="H995" s="19" t="n">
        <v>0.814774</v>
      </c>
    </row>
    <row r="996" s="17">
      <c r="A996" s="19" t="n">
        <v>8305</v>
      </c>
      <c r="B996" s="19" t="n">
        <v>36422.005986</v>
      </c>
      <c r="C996" s="19" t="n">
        <v>1.7959824</v>
      </c>
      <c r="D996" s="19" t="n">
        <v>0.0087036943</v>
      </c>
      <c r="E996" s="19" t="n">
        <v>0.04717472022620864</v>
      </c>
      <c r="F996" s="19" t="n">
        <v>0.1024900607911321</v>
      </c>
      <c r="G996" s="19" t="n">
        <v>0.9435228016389231</v>
      </c>
      <c r="H996" s="19" t="n">
        <v>0.292963</v>
      </c>
    </row>
    <row r="997" s="17">
      <c r="A997" s="19" t="n">
        <v>8310</v>
      </c>
      <c r="B997" s="19" t="n">
        <v>37391.50999</v>
      </c>
      <c r="C997" s="19" t="n">
        <v>2.1699609</v>
      </c>
      <c r="D997" s="19" t="n">
        <v>0.0077855212</v>
      </c>
      <c r="E997" s="19" t="n">
        <v>0.1285747942711575</v>
      </c>
      <c r="F997" s="19" t="n">
        <v>0.2984186246491526</v>
      </c>
      <c r="G997" s="19" t="n">
        <v>0.9064821440951281</v>
      </c>
      <c r="H997" s="19" t="n">
        <v>1.234872</v>
      </c>
    </row>
    <row r="998" s="17">
      <c r="A998" s="19" t="n">
        <v>8315</v>
      </c>
      <c r="B998" s="19" t="n">
        <v>65999.871935</v>
      </c>
      <c r="C998" s="19" t="n">
        <v>1.766964</v>
      </c>
      <c r="D998" s="19" t="n">
        <v>0.0054939987</v>
      </c>
      <c r="E998" s="19" t="n">
        <v>0.09682923564304401</v>
      </c>
      <c r="F998" s="19" t="n">
        <v>0.2794475534456721</v>
      </c>
      <c r="G998" s="19" t="n">
        <v>0.9044347986066901</v>
      </c>
      <c r="H998" s="19" t="n">
        <v>0.941103</v>
      </c>
    </row>
    <row r="999" s="17">
      <c r="A999" s="19" t="n">
        <v>8320</v>
      </c>
      <c r="B999" s="19" t="n">
        <v>37509.35299</v>
      </c>
      <c r="C999" s="19" t="n">
        <v>2.0620879</v>
      </c>
      <c r="D999" s="19" t="n">
        <v>0.0056306004</v>
      </c>
      <c r="E999" s="19" t="n">
        <v>0.06257275044750488</v>
      </c>
      <c r="F999" s="19" t="n">
        <v>0.05722233602082813</v>
      </c>
      <c r="G999" s="19" t="n">
        <v>0.9544255653672959</v>
      </c>
      <c r="H999" s="19" t="n">
        <v>0.333176</v>
      </c>
    </row>
    <row r="1000" s="17">
      <c r="A1000" s="19" t="n">
        <v>8325</v>
      </c>
      <c r="B1000" s="19" t="n">
        <v>41005.149207</v>
      </c>
      <c r="C1000" s="19" t="n">
        <v>2.2394124</v>
      </c>
      <c r="D1000" s="19" t="n">
        <v>0.0058997768</v>
      </c>
      <c r="E1000" s="19" t="n">
        <v>0.08897727688044144</v>
      </c>
      <c r="F1000" s="19" t="n">
        <v>0.2423909076224194</v>
      </c>
      <c r="G1000" s="19" t="n">
        <v>0.9543830008825271</v>
      </c>
      <c r="H1000" s="19" t="n">
        <v>0.41005</v>
      </c>
    </row>
    <row r="1001" s="17">
      <c r="A1001" s="19" t="n">
        <v>8330</v>
      </c>
      <c r="B1001" s="19" t="n">
        <v>47134.377044</v>
      </c>
      <c r="C1001" s="19" t="n">
        <v>2.0218407</v>
      </c>
      <c r="D1001" s="19" t="n">
        <v>0.0054999162</v>
      </c>
      <c r="E1001" s="19" t="n">
        <v>0.03835298685473706</v>
      </c>
      <c r="F1001" s="19" t="n">
        <v>0.08794027407853475</v>
      </c>
      <c r="G1001" s="19" t="n">
        <v>0.9442899646143804</v>
      </c>
      <c r="H1001" s="19" t="n">
        <v>0.210266</v>
      </c>
    </row>
    <row r="1002" s="17">
      <c r="A1002" s="19" t="n">
        <v>8335</v>
      </c>
      <c r="B1002" s="19" t="n">
        <v>34715.089698</v>
      </c>
      <c r="C1002" s="19" t="n">
        <v>1.9280682</v>
      </c>
      <c r="D1002" s="19" t="n">
        <v>0.0075531715</v>
      </c>
      <c r="E1002" s="19" t="n">
        <v>0.06758827693974652</v>
      </c>
      <c r="F1002" s="19" t="n">
        <v>0.2209018265504599</v>
      </c>
      <c r="G1002" s="19" t="n">
        <v>0.9234486815334673</v>
      </c>
      <c r="H1002" s="19" t="n">
        <v>0.538636</v>
      </c>
    </row>
    <row r="1003" s="17">
      <c r="A1003" s="19" t="n">
        <v>8340</v>
      </c>
      <c r="B1003" s="19" t="n">
        <v>39682.39986</v>
      </c>
      <c r="C1003" s="19" t="n">
        <v>2.1354426</v>
      </c>
      <c r="D1003" s="19" t="n">
        <v>0.0063800246</v>
      </c>
      <c r="E1003" s="19" t="n">
        <v>0.1562390379969485</v>
      </c>
      <c r="F1003" s="19" t="n">
        <v>0.1584915864928622</v>
      </c>
      <c r="G1003" s="19" t="n">
        <v>0.9414914639036882</v>
      </c>
      <c r="H1003" s="19" t="n">
        <v>0.928557</v>
      </c>
    </row>
    <row r="1004" s="17">
      <c r="A1004" s="19" t="n">
        <v>8345</v>
      </c>
      <c r="B1004" s="19" t="n">
        <v>57311.423737</v>
      </c>
      <c r="C1004" s="19" t="n">
        <v>1.7814871</v>
      </c>
      <c r="D1004" s="19" t="n">
        <v>0.0031903265</v>
      </c>
      <c r="E1004" s="19" t="n">
        <v>0.1150930099738742</v>
      </c>
      <c r="F1004" s="19" t="n">
        <v>0.3442026924143794</v>
      </c>
      <c r="G1004" s="19" t="n">
        <v>0.876925522912081</v>
      </c>
      <c r="H1004" s="19" t="n">
        <v>1.453372</v>
      </c>
    </row>
    <row r="1005" s="17">
      <c r="A1005" s="19" t="n">
        <v>8350</v>
      </c>
      <c r="B1005" s="19" t="n">
        <v>55687.481091</v>
      </c>
      <c r="C1005" s="19" t="n">
        <v>1.88016</v>
      </c>
      <c r="D1005" s="19" t="n">
        <v>0.0060565669</v>
      </c>
      <c r="E1005" s="19" t="n">
        <v>0.05207690483079997</v>
      </c>
      <c r="F1005" s="19" t="n">
        <v>0.08760496730661542</v>
      </c>
      <c r="G1005" s="19" t="n">
        <v>0.9917552116408638</v>
      </c>
      <c r="H1005" s="19" t="n">
        <v>0.075909</v>
      </c>
    </row>
    <row r="1006" s="17">
      <c r="A1006" s="19" t="n">
        <v>8355</v>
      </c>
      <c r="B1006" s="19" t="n">
        <v>58787.662951</v>
      </c>
      <c r="C1006" s="19" t="n">
        <v>1.6667009</v>
      </c>
      <c r="D1006" s="19" t="n">
        <v>0.006269317</v>
      </c>
      <c r="E1006" s="19" t="n">
        <v>0.08632440164899616</v>
      </c>
      <c r="F1006" s="19" t="n">
        <v>0.1804003089583631</v>
      </c>
      <c r="G1006" s="19" t="n">
        <v>0.9679395722620324</v>
      </c>
      <c r="H1006" s="19" t="n">
        <v>0.271379</v>
      </c>
    </row>
    <row r="1007" s="17">
      <c r="A1007" s="19" t="n">
        <v>8360</v>
      </c>
      <c r="B1007" s="19" t="n">
        <v>72597.619035</v>
      </c>
      <c r="C1007" s="19" t="n">
        <v>1.7350552</v>
      </c>
      <c r="D1007" s="19" t="n">
        <v>0.0034024802</v>
      </c>
      <c r="E1007" s="19" t="n">
        <v>0.05462798203744686</v>
      </c>
      <c r="F1007" s="19" t="n">
        <v>0.3234966335981965</v>
      </c>
      <c r="G1007" s="19" t="n">
        <v>0.9886572715874199</v>
      </c>
      <c r="H1007" s="19" t="n">
        <v>0.096431</v>
      </c>
    </row>
    <row r="1008" s="17">
      <c r="A1008" s="19" t="n">
        <v>8365</v>
      </c>
      <c r="B1008" s="19" t="n">
        <v>47260.35495</v>
      </c>
      <c r="C1008" s="19" t="n">
        <v>1.9091801</v>
      </c>
      <c r="D1008" s="19" t="n">
        <v>0.0086782157</v>
      </c>
      <c r="E1008" s="19" t="n">
        <v>0.06369153208608178</v>
      </c>
      <c r="F1008" s="19" t="n">
        <v>0.121389193354816</v>
      </c>
      <c r="G1008" s="19" t="n">
        <v>0.945207280301553</v>
      </c>
      <c r="H1008" s="19" t="n">
        <v>0.385564</v>
      </c>
    </row>
    <row r="1009" s="17">
      <c r="A1009" s="19" t="n">
        <v>8370</v>
      </c>
      <c r="B1009" s="19" t="n">
        <v>49255.115332</v>
      </c>
      <c r="C1009" s="19" t="n">
        <v>2.200394</v>
      </c>
      <c r="D1009" s="19" t="n">
        <v>0.0045739996</v>
      </c>
      <c r="E1009" s="19" t="n">
        <v>0.1452639671075917</v>
      </c>
      <c r="F1009" s="19" t="n">
        <v>0.2181727345049633</v>
      </c>
      <c r="G1009" s="19" t="n">
        <v>0.9428410806405862</v>
      </c>
      <c r="H1009" s="19" t="n">
        <v>0.870552</v>
      </c>
    </row>
    <row r="1010" s="17">
      <c r="A1010" s="19" t="n">
        <v>8375</v>
      </c>
      <c r="B1010" s="19" t="n">
        <v>57646.91473</v>
      </c>
      <c r="C1010" s="19" t="n">
        <v>1.5205431</v>
      </c>
      <c r="D1010" s="19" t="n">
        <v>0.0059292484</v>
      </c>
      <c r="E1010" s="19" t="n">
        <v>0.09536595926115393</v>
      </c>
      <c r="F1010" s="19" t="n">
        <v>0.3091942577637891</v>
      </c>
      <c r="G1010" s="19" t="n">
        <v>0.9140937862989964</v>
      </c>
      <c r="H1010" s="19" t="n">
        <v>0.845066</v>
      </c>
    </row>
    <row r="1011" s="17">
      <c r="A1011" s="19" t="n">
        <v>8380</v>
      </c>
      <c r="B1011" s="19" t="n">
        <v>44772.327679</v>
      </c>
      <c r="C1011" s="19" t="n">
        <v>1.7946815</v>
      </c>
      <c r="D1011" s="19" t="n">
        <v>0.0063518584</v>
      </c>
      <c r="E1011" s="19" t="n">
        <v>0.03437226787074828</v>
      </c>
      <c r="F1011" s="19" t="n">
        <v>0.169642287600743</v>
      </c>
      <c r="G1011" s="19" t="n">
        <v>0.9741394855813117</v>
      </c>
      <c r="H1011" s="19" t="n">
        <v>0.113021</v>
      </c>
    </row>
    <row r="1012" s="17">
      <c r="A1012" s="19" t="n">
        <v>8385</v>
      </c>
      <c r="B1012" s="19" t="n">
        <v>47371.923388</v>
      </c>
      <c r="C1012" s="19" t="n">
        <v>1.786829</v>
      </c>
      <c r="D1012" s="19" t="n">
        <v>0.0037017503</v>
      </c>
      <c r="E1012" s="19" t="n">
        <v>0.09895846753241394</v>
      </c>
      <c r="F1012" s="19" t="n">
        <v>0.2770609111372595</v>
      </c>
      <c r="G1012" s="19" t="n">
        <v>0.9332907775340779</v>
      </c>
      <c r="H1012" s="19" t="n">
        <v>0.687666</v>
      </c>
    </row>
    <row r="1013" s="17">
      <c r="A1013" s="19" t="n">
        <v>8390</v>
      </c>
      <c r="B1013" s="19" t="n">
        <v>55399.450616</v>
      </c>
      <c r="C1013" s="19" t="n">
        <v>2.3179495</v>
      </c>
      <c r="D1013" s="19" t="n">
        <v>0.0030412132</v>
      </c>
      <c r="E1013" s="19" t="n">
        <v>0.0651610291009834</v>
      </c>
      <c r="F1013" s="19" t="n">
        <v>0.2957669524642389</v>
      </c>
      <c r="G1013" s="19" t="n">
        <v>0.8965362853368354</v>
      </c>
      <c r="H1013" s="19" t="n">
        <v>0.701883</v>
      </c>
    </row>
    <row r="1014" s="17">
      <c r="A1014" s="19" t="n">
        <v>8395</v>
      </c>
      <c r="B1014" s="19" t="n">
        <v>41848.665411</v>
      </c>
      <c r="C1014" s="19" t="n">
        <v>2.0138182</v>
      </c>
      <c r="D1014" s="19" t="n">
        <v>0.0067640199</v>
      </c>
      <c r="E1014" s="19" t="n">
        <v>0.04305646717197593</v>
      </c>
      <c r="F1014" s="19" t="n">
        <v>0.1399137625701639</v>
      </c>
      <c r="G1014" s="19" t="n">
        <v>0.9146070072491235</v>
      </c>
      <c r="H1014" s="19" t="n">
        <v>0.351471</v>
      </c>
    </row>
    <row r="1015" s="17">
      <c r="A1015" s="19" t="n">
        <v>8400</v>
      </c>
      <c r="B1015" s="19" t="n">
        <v>50608.056852</v>
      </c>
      <c r="C1015" s="19" t="n">
        <v>2.0197082</v>
      </c>
      <c r="D1015" s="19" t="n">
        <v>0.0048859913</v>
      </c>
      <c r="E1015" s="19" t="n">
        <v>0.1073878723430067</v>
      </c>
      <c r="F1015" s="19" t="n">
        <v>0.2189034652878047</v>
      </c>
      <c r="G1015" s="19" t="n">
        <v>0.9428944286379256</v>
      </c>
      <c r="H1015" s="19" t="n">
        <v>0.620009</v>
      </c>
    </row>
    <row r="1016" s="17">
      <c r="A1016" s="19" t="n">
        <v>8405</v>
      </c>
      <c r="B1016" s="19" t="n">
        <v>65490.290108</v>
      </c>
      <c r="C1016" s="19" t="n">
        <v>2.2732489</v>
      </c>
      <c r="D1016" s="19" t="n">
        <v>0.003880054</v>
      </c>
      <c r="E1016" s="19" t="n">
        <v>0.1196123223234763</v>
      </c>
      <c r="F1016" s="19" t="n">
        <v>0.2803784268119796</v>
      </c>
      <c r="G1016" s="19" t="n">
        <v>0.8989431958480736</v>
      </c>
      <c r="H1016" s="19" t="n">
        <v>1.21575</v>
      </c>
    </row>
    <row r="1017" s="17">
      <c r="A1017" s="19" t="n">
        <v>8410</v>
      </c>
      <c r="B1017" s="19" t="n">
        <v>49707.442211</v>
      </c>
      <c r="C1017" s="19" t="n">
        <v>1.8621884</v>
      </c>
      <c r="D1017" s="19" t="n">
        <v>0.0078306747</v>
      </c>
      <c r="E1017" s="19" t="n">
        <v>0.06913916568126291</v>
      </c>
      <c r="F1017" s="19" t="n">
        <v>0.04053519087387253</v>
      </c>
      <c r="G1017" s="19" t="n">
        <v>1</v>
      </c>
      <c r="H1017" s="19" t="n">
        <v>0.012243</v>
      </c>
    </row>
    <row r="1018" s="17">
      <c r="A1018" s="19" t="n">
        <v>8415</v>
      </c>
      <c r="B1018" s="19" t="n">
        <v>56217.215658</v>
      </c>
      <c r="C1018" s="19" t="n">
        <v>2.0874338</v>
      </c>
      <c r="D1018" s="19" t="n">
        <v>0.0057268835</v>
      </c>
      <c r="E1018" s="19" t="n">
        <v>0.1421681094305049</v>
      </c>
      <c r="F1018" s="19" t="n">
        <v>0.2233847018848345</v>
      </c>
      <c r="G1018" s="19" t="n">
        <v>0.8977468986465348</v>
      </c>
      <c r="H1018" s="19" t="n">
        <v>1.465008</v>
      </c>
    </row>
    <row r="1019" s="17">
      <c r="A1019" s="19" t="n">
        <v>8420</v>
      </c>
      <c r="B1019" s="19" t="n">
        <v>63754.977042</v>
      </c>
      <c r="C1019" s="19" t="n">
        <v>2.299291</v>
      </c>
      <c r="D1019" s="19" t="n">
        <v>0.0049505215</v>
      </c>
      <c r="E1019" s="19" t="n">
        <v>0.1133837381718444</v>
      </c>
      <c r="F1019" s="19" t="n">
        <v>0.2612214274918404</v>
      </c>
      <c r="G1019" s="19" t="n">
        <v>0.9585577958565745</v>
      </c>
      <c r="H1019" s="19" t="n">
        <v>0.462268</v>
      </c>
    </row>
    <row r="1020" s="17">
      <c r="A1020" s="19" t="n">
        <v>8425</v>
      </c>
      <c r="B1020" s="19" t="n">
        <v>39657.072325</v>
      </c>
      <c r="C1020" s="19" t="n">
        <v>2.1198033</v>
      </c>
      <c r="D1020" s="19" t="n">
        <v>0.008174211000000001</v>
      </c>
      <c r="E1020" s="19" t="n">
        <v>0.07303637849725436</v>
      </c>
      <c r="F1020" s="19" t="n">
        <v>0.1854681577241296</v>
      </c>
      <c r="G1020" s="19" t="n">
        <v>0.9516698078790892</v>
      </c>
      <c r="H1020" s="19" t="n">
        <v>0.371132</v>
      </c>
    </row>
    <row r="1021" s="17">
      <c r="A1021" s="19" t="n">
        <v>8430</v>
      </c>
      <c r="B1021" s="19" t="n">
        <v>67364.01489400001</v>
      </c>
      <c r="C1021" s="19" t="n">
        <v>1.6656827</v>
      </c>
      <c r="D1021" s="19" t="n">
        <v>0.0044394389</v>
      </c>
      <c r="E1021" s="19" t="n">
        <v>0.1182549124108934</v>
      </c>
      <c r="F1021" s="19" t="n">
        <v>0.1694190680100562</v>
      </c>
      <c r="G1021" s="19" t="n">
        <v>0.9023131620670138</v>
      </c>
      <c r="H1021" s="19" t="n">
        <v>1.138043</v>
      </c>
    </row>
    <row r="1022" s="17">
      <c r="A1022" s="19" t="n">
        <v>8435</v>
      </c>
      <c r="B1022" s="19" t="n">
        <v>60580.794561</v>
      </c>
      <c r="C1022" s="19" t="n">
        <v>2.2469131</v>
      </c>
      <c r="D1022" s="19" t="n">
        <v>0.006512203</v>
      </c>
      <c r="E1022" s="19" t="n">
        <v>0.04928025165131941</v>
      </c>
      <c r="F1022" s="19" t="n">
        <v>0.3600679678089976</v>
      </c>
      <c r="G1022" s="19" t="n">
        <v>0.9278579802517771</v>
      </c>
      <c r="H1022" s="19" t="n">
        <v>0.403814</v>
      </c>
    </row>
    <row r="1023" s="17">
      <c r="A1023" s="19" t="n">
        <v>8440</v>
      </c>
      <c r="B1023" s="19" t="n">
        <v>35672.366026</v>
      </c>
      <c r="C1023" s="19" t="n">
        <v>2.0839064</v>
      </c>
      <c r="D1023" s="19" t="n">
        <v>0.0051325177</v>
      </c>
      <c r="E1023" s="19" t="n">
        <v>0.04206141183257893</v>
      </c>
      <c r="F1023" s="19" t="n">
        <v>0.088855037938408</v>
      </c>
      <c r="G1023" s="19" t="n">
        <v>0.963623627143348</v>
      </c>
      <c r="H1023" s="19" t="n">
        <v>0.201756</v>
      </c>
    </row>
    <row r="1024" s="17">
      <c r="A1024" s="19" t="n">
        <v>8445</v>
      </c>
      <c r="B1024" s="19" t="n">
        <v>56582.908532</v>
      </c>
      <c r="C1024" s="19" t="n">
        <v>2.0257704</v>
      </c>
      <c r="D1024" s="19" t="n">
        <v>0.0055056357</v>
      </c>
      <c r="E1024" s="19" t="n">
        <v>0.1387889752003236</v>
      </c>
      <c r="F1024" s="19" t="n">
        <v>0.2256924091912129</v>
      </c>
      <c r="G1024" s="19" t="n">
        <v>0.9125699307675218</v>
      </c>
      <c r="H1024" s="19" t="n">
        <v>1.223044</v>
      </c>
    </row>
    <row r="1025" s="17">
      <c r="A1025" s="19" t="n">
        <v>8450</v>
      </c>
      <c r="B1025" s="19" t="n">
        <v>56489.701068</v>
      </c>
      <c r="C1025" s="19" t="n">
        <v>2.3344165</v>
      </c>
      <c r="D1025" s="19" t="n">
        <v>0.0042244268</v>
      </c>
      <c r="E1025" s="19" t="n">
        <v>0.1018090235980547</v>
      </c>
      <c r="F1025" s="19" t="n">
        <v>0.3121279071471292</v>
      </c>
      <c r="G1025" s="19" t="n">
        <v>0.9199451535370123</v>
      </c>
      <c r="H1025" s="19" t="n">
        <v>0.817513</v>
      </c>
    </row>
    <row r="1026" s="17">
      <c r="A1026" s="19" t="n">
        <v>8455</v>
      </c>
      <c r="B1026" s="19" t="n">
        <v>45008.573486</v>
      </c>
      <c r="C1026" s="19" t="n">
        <v>1.8484627</v>
      </c>
      <c r="D1026" s="19" t="n">
        <v>0.005760762</v>
      </c>
      <c r="E1026" s="19" t="n">
        <v>0.06393023009533977</v>
      </c>
      <c r="F1026" s="19" t="n">
        <v>0.05514840743813323</v>
      </c>
      <c r="G1026" s="19" t="n">
        <v>0.9265385851245244</v>
      </c>
      <c r="H1026" s="19" t="n">
        <v>0.45489</v>
      </c>
    </row>
    <row r="1027" s="17">
      <c r="A1027" s="19" t="n">
        <v>8460</v>
      </c>
      <c r="B1027" s="19" t="n">
        <v>35849.190009</v>
      </c>
      <c r="C1027" s="19" t="n">
        <v>1.8805462</v>
      </c>
      <c r="D1027" s="19" t="n">
        <v>0.0075867808</v>
      </c>
      <c r="E1027" s="19" t="n">
        <v>0.07434268811332755</v>
      </c>
      <c r="F1027" s="19" t="n">
        <v>0.1188961569042127</v>
      </c>
      <c r="G1027" s="19" t="n">
        <v>0.9296814983653996</v>
      </c>
      <c r="H1027" s="19" t="n">
        <v>0.51013</v>
      </c>
    </row>
    <row r="1028" s="17">
      <c r="A1028" s="19" t="n">
        <v>8465</v>
      </c>
      <c r="B1028" s="19" t="n">
        <v>57133.340942</v>
      </c>
      <c r="C1028" s="19" t="n">
        <v>2.4359911</v>
      </c>
      <c r="D1028" s="19" t="n">
        <v>0.0046526491</v>
      </c>
      <c r="E1028" s="19" t="n">
        <v>0.1169102197235304</v>
      </c>
      <c r="F1028" s="19" t="n">
        <v>0.2684803270805454</v>
      </c>
      <c r="G1028" s="19" t="n">
        <v>0.9018675463543859</v>
      </c>
      <c r="H1028" s="19" t="n">
        <v>1.162069</v>
      </c>
    </row>
    <row r="1029" s="17">
      <c r="A1029" s="19" t="n">
        <v>8470</v>
      </c>
      <c r="B1029" s="19" t="n">
        <v>44373.953113</v>
      </c>
      <c r="C1029" s="19" t="n">
        <v>2.0614848</v>
      </c>
      <c r="D1029" s="19" t="n">
        <v>0.005266085</v>
      </c>
      <c r="E1029" s="19" t="n">
        <v>0.04510095905358676</v>
      </c>
      <c r="F1029" s="19" t="n">
        <v>0.1806009762845809</v>
      </c>
      <c r="G1029" s="19" t="n">
        <v>0.9396547367626474</v>
      </c>
      <c r="H1029" s="19" t="n">
        <v>0.317993</v>
      </c>
    </row>
    <row r="1030" s="17">
      <c r="A1030" s="19" t="n">
        <v>8475</v>
      </c>
      <c r="B1030" s="19" t="n">
        <v>38736.735034</v>
      </c>
      <c r="C1030" s="19" t="n">
        <v>1.8845167</v>
      </c>
      <c r="D1030" s="19" t="n">
        <v>0.0066562229</v>
      </c>
      <c r="E1030" s="19" t="n">
        <v>0.151562879170641</v>
      </c>
      <c r="F1030" s="19" t="n">
        <v>0.2586242871451984</v>
      </c>
      <c r="G1030" s="19" t="n">
        <v>0.8822871838998947</v>
      </c>
      <c r="H1030" s="19" t="n">
        <v>1.777637</v>
      </c>
    </row>
    <row r="1031" s="17">
      <c r="A1031" s="19" t="n">
        <v>8480</v>
      </c>
      <c r="B1031" s="19" t="n">
        <v>71658.29470100001</v>
      </c>
      <c r="C1031" s="19" t="n">
        <v>1.5265129</v>
      </c>
      <c r="D1031" s="19" t="n">
        <v>0.0049072946</v>
      </c>
      <c r="E1031" s="19" t="n">
        <v>0.05692436502233333</v>
      </c>
      <c r="F1031" s="19" t="n">
        <v>0.2670761758938496</v>
      </c>
      <c r="G1031" s="19" t="n">
        <v>0.9970417948331893</v>
      </c>
      <c r="H1031" s="19" t="n">
        <v>0.025846</v>
      </c>
    </row>
    <row r="1032" s="17">
      <c r="A1032" s="19" t="n">
        <v>8485</v>
      </c>
      <c r="B1032" s="19" t="n">
        <v>38105.258316</v>
      </c>
      <c r="C1032" s="19" t="n">
        <v>2.0092166</v>
      </c>
      <c r="D1032" s="19" t="n">
        <v>0.008209988999999999</v>
      </c>
      <c r="E1032" s="19" t="n">
        <v>0.03600045608466892</v>
      </c>
      <c r="F1032" s="19" t="n">
        <v>0.273038894968364</v>
      </c>
      <c r="G1032" s="19" t="n">
        <v>0.8663402441966996</v>
      </c>
      <c r="H1032" s="19" t="n">
        <v>0.470655</v>
      </c>
    </row>
    <row r="1033" s="17">
      <c r="A1033" s="19" t="n">
        <v>8490</v>
      </c>
      <c r="B1033" s="19" t="n">
        <v>43388.003581</v>
      </c>
      <c r="C1033" s="19" t="n">
        <v>1.7368034</v>
      </c>
      <c r="D1033" s="19" t="n">
        <v>0.0037467246</v>
      </c>
      <c r="E1033" s="19" t="n">
        <v>0.1207544347236827</v>
      </c>
      <c r="F1033" s="19" t="n">
        <v>0.233377667785108</v>
      </c>
      <c r="G1033" s="19" t="n">
        <v>0.8801925681787253</v>
      </c>
      <c r="H1033" s="19" t="n">
        <v>1.481318</v>
      </c>
    </row>
    <row r="1034" s="17">
      <c r="A1034" s="19" t="n">
        <v>8495</v>
      </c>
      <c r="B1034" s="19" t="n">
        <v>56895.235358</v>
      </c>
      <c r="C1034" s="19" t="n">
        <v>1.6147701</v>
      </c>
      <c r="D1034" s="19" t="n">
        <v>0.0051900686</v>
      </c>
      <c r="E1034" s="19" t="n">
        <v>0.08079997187590715</v>
      </c>
      <c r="F1034" s="19" t="n">
        <v>0.3551328793975345</v>
      </c>
      <c r="G1034" s="19" t="n">
        <v>0.8852652431474658</v>
      </c>
      <c r="H1034" s="19" t="n">
        <v>0.959501</v>
      </c>
    </row>
    <row r="1035" s="17">
      <c r="A1035" s="19" t="n">
        <v>8500</v>
      </c>
      <c r="B1035" s="19" t="n">
        <v>41828.942666</v>
      </c>
      <c r="C1035" s="19" t="n">
        <v>1.9673458</v>
      </c>
      <c r="D1035" s="19" t="n">
        <v>0.0063168813</v>
      </c>
      <c r="E1035" s="19" t="n">
        <v>0.06301170874498273</v>
      </c>
      <c r="F1035" s="19" t="n">
        <v>0.1784148974541278</v>
      </c>
      <c r="G1035" s="19" t="n">
        <v>0.9445284156846647</v>
      </c>
      <c r="H1035" s="19" t="n">
        <v>0.377127</v>
      </c>
    </row>
    <row r="1036" s="17">
      <c r="A1036" s="19" t="n">
        <v>8505</v>
      </c>
      <c r="B1036" s="19" t="n">
        <v>59888.170001</v>
      </c>
      <c r="C1036" s="19" t="n">
        <v>2.224135</v>
      </c>
      <c r="D1036" s="19" t="n">
        <v>0.0036339877</v>
      </c>
      <c r="E1036" s="19" t="n">
        <v>0.159348077983217</v>
      </c>
      <c r="F1036" s="19" t="n">
        <v>0.2556526353753299</v>
      </c>
      <c r="G1036" s="19" t="n">
        <v>0.8581971702833147</v>
      </c>
      <c r="H1036" s="19" t="n">
        <v>2.253216</v>
      </c>
    </row>
    <row r="1037" s="17">
      <c r="A1037" s="19" t="n">
        <v>8510</v>
      </c>
      <c r="B1037" s="19" t="n">
        <v>73922.70017700001</v>
      </c>
      <c r="C1037" s="19" t="n">
        <v>2.442399</v>
      </c>
      <c r="D1037" s="19" t="n">
        <v>0.0039814865</v>
      </c>
      <c r="E1037" s="19" t="n">
        <v>0.0424528453812084</v>
      </c>
      <c r="F1037" s="19" t="n">
        <v>0.2645909283778806</v>
      </c>
      <c r="G1037" s="19" t="n">
        <v>0.8882326297827419</v>
      </c>
      <c r="H1037" s="19" t="n">
        <v>0.508948</v>
      </c>
    </row>
    <row r="1038" s="17">
      <c r="A1038" s="19" t="n">
        <v>8515</v>
      </c>
      <c r="B1038" s="19" t="n">
        <v>40611.216032</v>
      </c>
      <c r="C1038" s="19" t="n">
        <v>2.0803763</v>
      </c>
      <c r="D1038" s="19" t="n">
        <v>0.009534979900000001</v>
      </c>
      <c r="E1038" s="19" t="n">
        <v>0.06197598617748124</v>
      </c>
      <c r="F1038" s="19" t="n">
        <v>0.1146034393372378</v>
      </c>
      <c r="G1038" s="19" t="n">
        <v>0.9623006175471179</v>
      </c>
      <c r="H1038" s="19" t="n">
        <v>0.253102</v>
      </c>
    </row>
    <row r="1039" s="17">
      <c r="A1039" s="19" t="n">
        <v>8520</v>
      </c>
      <c r="B1039" s="19" t="n">
        <v>69804.417332</v>
      </c>
      <c r="C1039" s="19" t="n">
        <v>1.9231928</v>
      </c>
      <c r="D1039" s="19" t="n">
        <v>0.0076697413</v>
      </c>
      <c r="E1039" s="19" t="n">
        <v>0.1422512707894104</v>
      </c>
      <c r="F1039" s="19" t="n">
        <v>0.2297973805843924</v>
      </c>
      <c r="G1039" s="19" t="n">
        <v>0.9172774768596824</v>
      </c>
      <c r="H1039" s="19" t="n">
        <v>1.164772</v>
      </c>
    </row>
    <row r="1040" s="17">
      <c r="A1040" s="19" t="n">
        <v>8525</v>
      </c>
      <c r="B1040" s="19" t="n">
        <v>54135.447535</v>
      </c>
      <c r="C1040" s="19" t="n">
        <v>2.0269761</v>
      </c>
      <c r="D1040" s="19" t="n">
        <v>0.0069862914</v>
      </c>
      <c r="E1040" s="19" t="n">
        <v>0.05400766567264012</v>
      </c>
      <c r="F1040" s="19" t="n">
        <v>0.04843826591349322</v>
      </c>
      <c r="G1040" s="19" t="n">
        <v>0.9907554028931832</v>
      </c>
      <c r="H1040" s="19" t="n">
        <v>0.093107</v>
      </c>
    </row>
    <row r="1041" s="17">
      <c r="A1041" s="19" t="n">
        <v>8530</v>
      </c>
      <c r="B1041" s="19" t="n">
        <v>57012.416649</v>
      </c>
      <c r="C1041" s="19" t="n">
        <v>1.8936997</v>
      </c>
      <c r="D1041" s="19" t="n">
        <v>0.0082123786</v>
      </c>
      <c r="E1041" s="19" t="n">
        <v>0.03615578137327199</v>
      </c>
      <c r="F1041" s="19" t="n">
        <v>0.2858575819299911</v>
      </c>
      <c r="G1041" s="19" t="n">
        <v>0.8749314392075328</v>
      </c>
      <c r="H1041" s="19" t="n">
        <v>0.460875</v>
      </c>
    </row>
    <row r="1042" s="17">
      <c r="A1042" s="19" t="n">
        <v>8535</v>
      </c>
      <c r="B1042" s="19" t="n">
        <v>46376.183733</v>
      </c>
      <c r="C1042" s="19" t="n">
        <v>2.0620437</v>
      </c>
      <c r="D1042" s="19" t="n">
        <v>0.0045632689</v>
      </c>
      <c r="E1042" s="19" t="n">
        <v>0.1042156643669031</v>
      </c>
      <c r="F1042" s="19" t="n">
        <v>0.2907153434203837</v>
      </c>
      <c r="G1042" s="19" t="n">
        <v>0.9693544965746377</v>
      </c>
      <c r="H1042" s="19" t="n">
        <v>0.312997</v>
      </c>
    </row>
    <row r="1043" s="17">
      <c r="A1043" s="19" t="n">
        <v>8540</v>
      </c>
      <c r="B1043" s="19" t="n">
        <v>71256.60376899999</v>
      </c>
      <c r="C1043" s="19" t="n">
        <v>1.5487171</v>
      </c>
      <c r="D1043" s="19" t="n">
        <v>0.005787655</v>
      </c>
      <c r="E1043" s="19" t="n">
        <v>0.1076334779433239</v>
      </c>
      <c r="F1043" s="19" t="n">
        <v>0.1801627940648355</v>
      </c>
      <c r="G1043" s="19" t="n">
        <v>0.9444266987711736</v>
      </c>
      <c r="H1043" s="19" t="n">
        <v>0.6347159999999999</v>
      </c>
    </row>
    <row r="1044" s="17">
      <c r="A1044" s="19" t="n">
        <v>8545</v>
      </c>
      <c r="B1044" s="19" t="n">
        <v>49212.155739</v>
      </c>
      <c r="C1044" s="19" t="n">
        <v>2.0667736</v>
      </c>
      <c r="D1044" s="19" t="n">
        <v>0.005122539</v>
      </c>
      <c r="E1044" s="19" t="n">
        <v>0.03872529104731078</v>
      </c>
      <c r="F1044" s="19" t="n">
        <v>0.0646856458250302</v>
      </c>
      <c r="G1044" s="19" t="n">
        <v>1</v>
      </c>
      <c r="H1044" s="19" t="n">
        <v>0.006493</v>
      </c>
    </row>
    <row r="1045" s="17">
      <c r="A1045" s="19" t="n">
        <v>8550</v>
      </c>
      <c r="B1045" s="19" t="n">
        <v>52010.166597</v>
      </c>
      <c r="C1045" s="19" t="n">
        <v>1.7623417</v>
      </c>
      <c r="D1045" s="19" t="n">
        <v>0.0056969955</v>
      </c>
      <c r="E1045" s="19" t="n">
        <v>0.1312534442341873</v>
      </c>
      <c r="F1045" s="19" t="n">
        <v>0.222436838978709</v>
      </c>
      <c r="G1045" s="19" t="n">
        <v>0.9547920590318441</v>
      </c>
      <c r="H1045" s="19" t="n">
        <v>0.6259439999999999</v>
      </c>
    </row>
    <row r="1046" s="17">
      <c r="A1046" s="19" t="n">
        <v>8555</v>
      </c>
      <c r="B1046" s="19" t="n">
        <v>67134.975639</v>
      </c>
      <c r="C1046" s="19" t="n">
        <v>1.6424537</v>
      </c>
      <c r="D1046" s="19" t="n">
        <v>0.004250185</v>
      </c>
      <c r="E1046" s="19" t="n">
        <v>0.09818081404928813</v>
      </c>
      <c r="F1046" s="19" t="n">
        <v>0.2422678249081436</v>
      </c>
      <c r="G1046" s="19" t="n">
        <v>0.9400315142544085</v>
      </c>
      <c r="H1046" s="19" t="n">
        <v>0.5865089999999999</v>
      </c>
    </row>
    <row r="1047" s="17">
      <c r="A1047" s="19" t="n">
        <v>8560</v>
      </c>
      <c r="B1047" s="19" t="n">
        <v>52133.775702</v>
      </c>
      <c r="C1047" s="19" t="n">
        <v>2.1347924</v>
      </c>
      <c r="D1047" s="19" t="n">
        <v>0.0062149383</v>
      </c>
      <c r="E1047" s="19" t="n">
        <v>0.05595963082576901</v>
      </c>
      <c r="F1047" s="19" t="n">
        <v>0.2097522606228308</v>
      </c>
      <c r="G1047" s="19" t="n">
        <v>0.9290184648047253</v>
      </c>
      <c r="H1047" s="19" t="n">
        <v>0.442725</v>
      </c>
    </row>
    <row r="1048" s="17">
      <c r="A1048" s="19" t="n">
        <v>8565</v>
      </c>
      <c r="B1048" s="19" t="n">
        <v>51361.037262</v>
      </c>
      <c r="C1048" s="19" t="n">
        <v>2.2680459</v>
      </c>
      <c r="D1048" s="19" t="n">
        <v>0.0051923806</v>
      </c>
      <c r="E1048" s="19" t="n">
        <v>0.141268100103845</v>
      </c>
      <c r="F1048" s="19" t="n">
        <v>0.2489041741662896</v>
      </c>
      <c r="G1048" s="19" t="n">
        <v>0.8797600331816637</v>
      </c>
      <c r="H1048" s="19" t="n">
        <v>1.68266</v>
      </c>
    </row>
    <row r="1049" s="17">
      <c r="A1049" s="19" t="n">
        <v>8570</v>
      </c>
      <c r="B1049" s="19" t="n">
        <v>73867.910863</v>
      </c>
      <c r="C1049" s="19" t="n">
        <v>1.7725365</v>
      </c>
      <c r="D1049" s="19" t="n">
        <v>0.0060530061</v>
      </c>
      <c r="E1049" s="19" t="n">
        <v>0.04928269513684094</v>
      </c>
      <c r="F1049" s="19" t="n">
        <v>0.3548457670258147</v>
      </c>
      <c r="G1049" s="19" t="n">
        <v>0.9010038774249072</v>
      </c>
      <c r="H1049" s="19" t="n">
        <v>0.471019</v>
      </c>
    </row>
    <row r="1050" s="17">
      <c r="A1050" s="19" t="n">
        <v>8575</v>
      </c>
      <c r="B1050" s="19" t="n">
        <v>53313.24209</v>
      </c>
      <c r="C1050" s="19" t="n">
        <v>2.0809121</v>
      </c>
      <c r="D1050" s="19" t="n">
        <v>0.0081039141</v>
      </c>
      <c r="E1050" s="19" t="n">
        <v>0.04050707058160142</v>
      </c>
      <c r="F1050" s="19" t="n">
        <v>0.2073054586626162</v>
      </c>
      <c r="G1050" s="19" t="n">
        <v>0.9224410802819679</v>
      </c>
      <c r="H1050" s="19" t="n">
        <v>0.361138</v>
      </c>
    </row>
    <row r="1051" s="17">
      <c r="A1051" s="19" t="n">
        <v>8580</v>
      </c>
      <c r="B1051" s="19" t="n">
        <v>51718.09303</v>
      </c>
      <c r="C1051" s="19" t="n">
        <v>1.7215039</v>
      </c>
      <c r="D1051" s="19" t="n">
        <v>0.0064959894</v>
      </c>
      <c r="E1051" s="19" t="n">
        <v>0.1463612206566826</v>
      </c>
      <c r="F1051" s="19" t="n">
        <v>0.1963402195355898</v>
      </c>
      <c r="G1051" s="19" t="n">
        <v>0.9718028371709253</v>
      </c>
      <c r="H1051" s="19" t="n">
        <v>0.413723</v>
      </c>
    </row>
    <row r="1052" s="17">
      <c r="A1052" s="19" t="n">
        <v>8585</v>
      </c>
      <c r="B1052" s="19" t="n">
        <v>70955.146224</v>
      </c>
      <c r="C1052" s="19" t="n">
        <v>1.5686951</v>
      </c>
      <c r="D1052" s="19" t="n">
        <v>0.0055632471</v>
      </c>
      <c r="E1052" s="19" t="n">
        <v>0.1146027201469157</v>
      </c>
      <c r="F1052" s="19" t="n">
        <v>0.2160487441630982</v>
      </c>
      <c r="G1052" s="19" t="n">
        <v>0.9418119434729045</v>
      </c>
      <c r="H1052" s="19" t="n">
        <v>0.6624</v>
      </c>
    </row>
    <row r="1053" s="17">
      <c r="A1053" s="19" t="n">
        <v>8590</v>
      </c>
      <c r="B1053" s="19" t="n">
        <v>51697.896808</v>
      </c>
      <c r="C1053" s="19" t="n">
        <v>1.9087919</v>
      </c>
      <c r="D1053" s="19" t="n">
        <v>0.0077074448</v>
      </c>
      <c r="E1053" s="19" t="n">
        <v>0.05440140153426224</v>
      </c>
      <c r="F1053" s="19" t="n">
        <v>0.1491397527722249</v>
      </c>
      <c r="G1053" s="19" t="n">
        <v>0.9535122415404605</v>
      </c>
      <c r="H1053" s="19" t="n">
        <v>0.247246</v>
      </c>
    </row>
    <row r="1054" s="17">
      <c r="A1054" s="19" t="n">
        <v>8595</v>
      </c>
      <c r="B1054" s="19" t="n">
        <v>59589.051044</v>
      </c>
      <c r="C1054" s="19" t="n">
        <v>1.9097881</v>
      </c>
      <c r="D1054" s="19" t="n">
        <v>0.0074722723</v>
      </c>
      <c r="E1054" s="19" t="n">
        <v>0.1337098664511697</v>
      </c>
      <c r="F1054" s="19" t="n">
        <v>0.2408618781301326</v>
      </c>
      <c r="G1054" s="19" t="n">
        <v>0.9368424539649406</v>
      </c>
      <c r="H1054" s="19" t="n">
        <v>0.8303430000000001</v>
      </c>
    </row>
    <row r="1055" s="17">
      <c r="A1055" s="19" t="n">
        <v>8600</v>
      </c>
      <c r="B1055" s="19" t="n">
        <v>66803.79561299999</v>
      </c>
      <c r="C1055" s="19" t="n">
        <v>1.7709413</v>
      </c>
      <c r="D1055" s="19" t="n">
        <v>0.0044867667</v>
      </c>
      <c r="E1055" s="19" t="n">
        <v>0.07398667067229325</v>
      </c>
      <c r="F1055" s="19" t="n">
        <v>0.340756595477684</v>
      </c>
      <c r="G1055" s="19" t="n">
        <v>0.9065123122907309</v>
      </c>
      <c r="H1055" s="19" t="n">
        <v>0.683891</v>
      </c>
    </row>
    <row r="1056" s="17">
      <c r="A1056" s="19" t="n">
        <v>8605</v>
      </c>
      <c r="B1056" s="19" t="n">
        <v>35241.522922</v>
      </c>
      <c r="C1056" s="19" t="n">
        <v>1.8924093</v>
      </c>
      <c r="D1056" s="19" t="n">
        <v>0.0092177027</v>
      </c>
      <c r="E1056" s="19" t="n">
        <v>0.04026818922629961</v>
      </c>
      <c r="F1056" s="19" t="n">
        <v>0.1906597409643603</v>
      </c>
      <c r="G1056" s="19" t="n">
        <v>0.964598360341401</v>
      </c>
      <c r="H1056" s="19" t="n">
        <v>0.128518</v>
      </c>
    </row>
    <row r="1057" s="17">
      <c r="A1057" s="19" t="n">
        <v>8610</v>
      </c>
      <c r="B1057" s="19" t="n">
        <v>41157.044346</v>
      </c>
      <c r="C1057" s="19" t="n">
        <v>1.9205965</v>
      </c>
      <c r="D1057" s="19" t="n">
        <v>0.0058969725</v>
      </c>
      <c r="E1057" s="19" t="n">
        <v>0.1554458603647244</v>
      </c>
      <c r="F1057" s="19" t="n">
        <v>0.3061791800978227</v>
      </c>
      <c r="G1057" s="19" t="n">
        <v>0.8545320069240362</v>
      </c>
      <c r="H1057" s="19" t="n">
        <v>2.299718</v>
      </c>
    </row>
    <row r="1058" s="17">
      <c r="A1058" s="19" t="n">
        <v>8615</v>
      </c>
      <c r="B1058" s="19" t="n">
        <v>70368.59877300001</v>
      </c>
      <c r="C1058" s="19" t="n">
        <v>2.2476012</v>
      </c>
      <c r="D1058" s="19" t="n">
        <v>0.0038322217</v>
      </c>
      <c r="E1058" s="19" t="n">
        <v>0.06807593226684455</v>
      </c>
      <c r="F1058" s="19" t="n">
        <v>0.2219569884847785</v>
      </c>
      <c r="G1058" s="19" t="n">
        <v>0.9145966972587578</v>
      </c>
      <c r="H1058" s="19" t="n">
        <v>0.595391</v>
      </c>
    </row>
    <row r="1059" s="17">
      <c r="A1059" s="19" t="n">
        <v>8620</v>
      </c>
      <c r="B1059" s="19" t="n">
        <v>33142.594985</v>
      </c>
      <c r="C1059" s="19" t="n">
        <v>1.9227954</v>
      </c>
      <c r="D1059" s="19" t="n">
        <v>0.0080469963</v>
      </c>
      <c r="E1059" s="19" t="n">
        <v>0.06245654052097355</v>
      </c>
      <c r="F1059" s="19" t="n">
        <v>0.1886825778585874</v>
      </c>
      <c r="G1059" s="19" t="n">
        <v>0.8817534725847934</v>
      </c>
      <c r="H1059" s="19" t="n">
        <v>0.7578549999999999</v>
      </c>
    </row>
    <row r="1060" s="17">
      <c r="A1060" s="19" t="n">
        <v>8625</v>
      </c>
      <c r="B1060" s="19" t="n">
        <v>48024.772546</v>
      </c>
      <c r="C1060" s="19" t="n">
        <v>2.2199221</v>
      </c>
      <c r="D1060" s="19" t="n">
        <v>0.0047212446</v>
      </c>
      <c r="E1060" s="19" t="n">
        <v>0.1533683208352173</v>
      </c>
      <c r="F1060" s="19" t="n">
        <v>0.0894376114268572</v>
      </c>
      <c r="G1060" s="19" t="n">
        <v>0.938950645240236</v>
      </c>
      <c r="H1060" s="19" t="n">
        <v>0.9721649999999999</v>
      </c>
    </row>
    <row r="1061" s="17">
      <c r="A1061" s="19" t="n">
        <v>8630</v>
      </c>
      <c r="B1061" s="19" t="n">
        <v>56395.175278</v>
      </c>
      <c r="C1061" s="19" t="n">
        <v>1.8115648</v>
      </c>
      <c r="D1061" s="19" t="n">
        <v>0.0043826334</v>
      </c>
      <c r="E1061" s="19" t="n">
        <v>0.1118316364193684</v>
      </c>
      <c r="F1061" s="19" t="n">
        <v>0.3463160547283037</v>
      </c>
      <c r="G1061" s="19" t="n">
        <v>0.8732198798078288</v>
      </c>
      <c r="H1061" s="19" t="n">
        <v>1.430394</v>
      </c>
    </row>
    <row r="1062" s="17">
      <c r="A1062" s="19" t="n">
        <v>8635</v>
      </c>
      <c r="B1062" s="19" t="n">
        <v>39809.953474</v>
      </c>
      <c r="C1062" s="19" t="n">
        <v>1.8840031</v>
      </c>
      <c r="D1062" s="19" t="n">
        <v>0.0060367995</v>
      </c>
      <c r="E1062" s="19" t="n">
        <v>0.03488297753535643</v>
      </c>
      <c r="F1062" s="19" t="n">
        <v>0.04099017473070062</v>
      </c>
      <c r="G1062" s="19" t="n">
        <v>0.9609872146249177</v>
      </c>
      <c r="H1062" s="19" t="n">
        <v>0.175152</v>
      </c>
    </row>
    <row r="1063" s="17">
      <c r="A1063" s="19" t="n">
        <v>8640</v>
      </c>
      <c r="B1063" s="19" t="n">
        <v>66344.111938</v>
      </c>
      <c r="C1063" s="19" t="n">
        <v>2.0745624</v>
      </c>
      <c r="D1063" s="19" t="n">
        <v>0.0064955676</v>
      </c>
      <c r="E1063" s="19" t="n">
        <v>0.1073405347988323</v>
      </c>
      <c r="F1063" s="19" t="n">
        <v>0.2683765267295855</v>
      </c>
      <c r="G1063" s="19" t="n">
        <v>0.9022764295564999</v>
      </c>
      <c r="H1063" s="19" t="n">
        <v>1.070131</v>
      </c>
    </row>
    <row r="1064" s="17">
      <c r="A1064" s="19" t="n">
        <v>8645</v>
      </c>
      <c r="B1064" s="19" t="n">
        <v>60803.989866</v>
      </c>
      <c r="C1064" s="19" t="n">
        <v>1.8125621</v>
      </c>
      <c r="D1064" s="19" t="n">
        <v>0.0027378838</v>
      </c>
      <c r="E1064" s="19" t="n">
        <v>0.07868289377129206</v>
      </c>
      <c r="F1064" s="19" t="n">
        <v>0.378076218358274</v>
      </c>
      <c r="G1064" s="19" t="n">
        <v>0.8642475880928677</v>
      </c>
      <c r="H1064" s="19" t="n">
        <v>1.093225</v>
      </c>
    </row>
    <row r="1065" s="17">
      <c r="A1065" s="19" t="n">
        <v>8650</v>
      </c>
      <c r="B1065" s="19" t="n">
        <v>39027.767565</v>
      </c>
      <c r="C1065" s="19" t="n">
        <v>2.1092364</v>
      </c>
      <c r="D1065" s="19" t="n">
        <v>0.0052555768</v>
      </c>
      <c r="E1065" s="19" t="n">
        <v>0.06063365949212363</v>
      </c>
      <c r="F1065" s="19" t="n">
        <v>0.1200507544178184</v>
      </c>
      <c r="G1065" s="19" t="n">
        <v>0.9486209776356898</v>
      </c>
      <c r="H1065" s="19" t="n">
        <v>0.351618</v>
      </c>
    </row>
    <row r="1066" s="17">
      <c r="A1066" s="19" t="n">
        <v>8655</v>
      </c>
      <c r="B1066" s="19" t="n">
        <v>49690.407018</v>
      </c>
      <c r="C1066" s="19" t="n">
        <v>2.0660783</v>
      </c>
      <c r="D1066" s="19" t="n">
        <v>0.0060147256</v>
      </c>
      <c r="E1066" s="19" t="n">
        <v>0.03977290887141362</v>
      </c>
      <c r="F1066" s="19" t="n">
        <v>0.04923855027020169</v>
      </c>
      <c r="G1066" s="19" t="n">
        <v>0.9200015427477864</v>
      </c>
      <c r="H1066" s="19" t="n">
        <v>0.337999</v>
      </c>
    </row>
    <row r="1067" s="17">
      <c r="A1067" s="19" t="n">
        <v>8660</v>
      </c>
      <c r="B1067" s="19" t="n">
        <v>65949.42584</v>
      </c>
      <c r="C1067" s="19" t="n">
        <v>1.6056035</v>
      </c>
      <c r="D1067" s="19" t="n">
        <v>0.0037161948</v>
      </c>
      <c r="E1067" s="19" t="n">
        <v>0.09614758189816014</v>
      </c>
      <c r="F1067" s="19" t="n">
        <v>0.243913075079765</v>
      </c>
      <c r="G1067" s="19" t="n">
        <v>0.9617259291290898</v>
      </c>
      <c r="H1067" s="19" t="n">
        <v>0.401321</v>
      </c>
    </row>
    <row r="1068" s="17">
      <c r="A1068" s="19" t="n">
        <v>8665</v>
      </c>
      <c r="B1068" s="19" t="n">
        <v>41859.321256</v>
      </c>
      <c r="C1068" s="19" t="n">
        <v>1.9636291</v>
      </c>
      <c r="D1068" s="19" t="n">
        <v>0.0076591789</v>
      </c>
      <c r="E1068" s="19" t="n">
        <v>0.04919715643340244</v>
      </c>
      <c r="F1068" s="19" t="n">
        <v>0.2553844403187276</v>
      </c>
      <c r="G1068" s="19" t="n">
        <v>0.911913907490992</v>
      </c>
      <c r="H1068" s="19" t="n">
        <v>0.456835</v>
      </c>
    </row>
    <row r="1069" s="17">
      <c r="A1069" s="19" t="n">
        <v>8670</v>
      </c>
      <c r="B1069" s="19" t="n">
        <v>43463.279927</v>
      </c>
      <c r="C1069" s="19" t="n">
        <v>1.9626667</v>
      </c>
      <c r="D1069" s="19" t="n">
        <v>0.0064380616</v>
      </c>
      <c r="E1069" s="19" t="n">
        <v>0.09229167081138955</v>
      </c>
      <c r="F1069" s="19" t="n">
        <v>0.1106024969400071</v>
      </c>
      <c r="G1069" s="19" t="n">
        <v>0.8784766665640258</v>
      </c>
      <c r="H1069" s="19" t="n">
        <v>1.127385</v>
      </c>
    </row>
    <row r="1070" s="17">
      <c r="A1070" s="19" t="n">
        <v>8675</v>
      </c>
      <c r="B1070" s="19" t="n">
        <v>70514.016212</v>
      </c>
      <c r="C1070" s="19" t="n">
        <v>2.364332</v>
      </c>
      <c r="D1070" s="19" t="n">
        <v>0.0033496017</v>
      </c>
      <c r="E1070" s="19" t="n">
        <v>0.06280929452490144</v>
      </c>
      <c r="F1070" s="19" t="n">
        <v>0.2906318979096859</v>
      </c>
      <c r="G1070" s="19" t="n">
        <v>0.9642599942907556</v>
      </c>
      <c r="H1070" s="19" t="n">
        <v>0.215508</v>
      </c>
    </row>
    <row r="1071" s="17">
      <c r="A1071" s="19" t="n">
        <v>8680</v>
      </c>
      <c r="B1071" s="19" t="n">
        <v>48490.330988</v>
      </c>
      <c r="C1071" s="19" t="n">
        <v>1.9669785</v>
      </c>
      <c r="D1071" s="19" t="n">
        <v>0.0074702745</v>
      </c>
      <c r="E1071" s="19" t="n">
        <v>0.04903261488581383</v>
      </c>
      <c r="F1071" s="19" t="n">
        <v>0.03239030020264078</v>
      </c>
      <c r="G1071" s="19" t="n">
        <v>0.9799967789173523</v>
      </c>
      <c r="H1071" s="19" t="n">
        <v>0.093213</v>
      </c>
    </row>
    <row r="1072" s="17">
      <c r="A1072" s="19" t="n">
        <v>8685</v>
      </c>
      <c r="B1072" s="19" t="n">
        <v>65986.79423699999</v>
      </c>
      <c r="C1072" s="19" t="n">
        <v>2.2733572</v>
      </c>
      <c r="D1072" s="19" t="n">
        <v>0.0046831073</v>
      </c>
      <c r="E1072" s="19" t="n">
        <v>0.09399915468530345</v>
      </c>
      <c r="F1072" s="19" t="n">
        <v>0.1074489675914508</v>
      </c>
      <c r="G1072" s="19" t="n">
        <v>0.9159568394999783</v>
      </c>
      <c r="H1072" s="19" t="n">
        <v>0.805754</v>
      </c>
    </row>
    <row r="1073" s="17">
      <c r="A1073" s="19" t="n">
        <v>8690</v>
      </c>
      <c r="B1073" s="19" t="n">
        <v>65958.302084</v>
      </c>
      <c r="C1073" s="19" t="n">
        <v>1.7728623</v>
      </c>
      <c r="D1073" s="19" t="n">
        <v>0.0050326116</v>
      </c>
      <c r="E1073" s="19" t="n">
        <v>0.08526949930676445</v>
      </c>
      <c r="F1073" s="19" t="n">
        <v>0.2639565394872707</v>
      </c>
      <c r="G1073" s="19" t="n">
        <v>0.8778008685219939</v>
      </c>
      <c r="H1073" s="19" t="n">
        <v>1.077724</v>
      </c>
    </row>
    <row r="1074" s="17">
      <c r="A1074" s="19" t="n">
        <v>8695</v>
      </c>
      <c r="B1074" s="19" t="n">
        <v>34395.055442</v>
      </c>
      <c r="C1074" s="19" t="n">
        <v>1.7492336</v>
      </c>
      <c r="D1074" s="19" t="n">
        <v>0.0069559021</v>
      </c>
      <c r="E1074" s="19" t="n">
        <v>0.0578105182220553</v>
      </c>
      <c r="F1074" s="19" t="n">
        <v>0.08211663100514759</v>
      </c>
      <c r="G1074" s="19" t="n">
        <v>0.9252989251923579</v>
      </c>
      <c r="H1074" s="19" t="n">
        <v>0.461178</v>
      </c>
    </row>
    <row r="1075" s="17">
      <c r="A1075" s="19" t="n">
        <v>8700</v>
      </c>
      <c r="B1075" s="19" t="n">
        <v>36447.979384</v>
      </c>
      <c r="C1075" s="19" t="n">
        <v>2.0213467</v>
      </c>
      <c r="D1075" s="19" t="n">
        <v>0.0039238198</v>
      </c>
      <c r="E1075" s="19" t="n">
        <v>0.1494190789746447</v>
      </c>
      <c r="F1075" s="19" t="n">
        <v>0.1816664184010437</v>
      </c>
      <c r="G1075" s="19" t="n">
        <v>0.963551118103568</v>
      </c>
      <c r="H1075" s="19" t="n">
        <v>0.577813</v>
      </c>
    </row>
    <row r="1076" s="17">
      <c r="A1076" s="19" t="n">
        <v>8705</v>
      </c>
      <c r="B1076" s="19" t="n">
        <v>73161.975802</v>
      </c>
      <c r="C1076" s="19" t="n">
        <v>1.8061517</v>
      </c>
      <c r="D1076" s="19" t="n">
        <v>0.0031505901</v>
      </c>
      <c r="E1076" s="19" t="n">
        <v>0.0483873658681666</v>
      </c>
      <c r="F1076" s="19" t="n">
        <v>0.2514215418323735</v>
      </c>
      <c r="G1076" s="19" t="n">
        <v>0.9568501613885648</v>
      </c>
      <c r="H1076" s="19" t="n">
        <v>0.189754</v>
      </c>
    </row>
    <row r="1077" s="17">
      <c r="A1077" s="19" t="n">
        <v>8710</v>
      </c>
      <c r="B1077" s="19" t="n">
        <v>53005.492682</v>
      </c>
      <c r="C1077" s="19" t="n">
        <v>2.0113357</v>
      </c>
      <c r="D1077" s="19" t="n">
        <v>0.0094737005</v>
      </c>
      <c r="E1077" s="19" t="n">
        <v>0.05019495071202269</v>
      </c>
      <c r="F1077" s="19" t="n">
        <v>0.277864828299337</v>
      </c>
      <c r="G1077" s="19" t="n">
        <v>0.9224245595601162</v>
      </c>
      <c r="H1077" s="19" t="n">
        <v>0.437293</v>
      </c>
    </row>
    <row r="1078" s="17">
      <c r="A1078" s="19" t="n">
        <v>8715</v>
      </c>
      <c r="B1078" s="19" t="n">
        <v>39591.290698</v>
      </c>
      <c r="C1078" s="19" t="n">
        <v>1.7897578</v>
      </c>
      <c r="D1078" s="19" t="n">
        <v>0.0052688072</v>
      </c>
      <c r="E1078" s="19" t="n">
        <v>0.1056357122537674</v>
      </c>
      <c r="F1078" s="19" t="n">
        <v>0.1163847253557867</v>
      </c>
      <c r="G1078" s="19" t="n">
        <v>0.9560163941011213</v>
      </c>
      <c r="H1078" s="19" t="n">
        <v>0.465096</v>
      </c>
    </row>
    <row r="1079" s="17">
      <c r="A1079" s="19" t="n">
        <v>8720</v>
      </c>
      <c r="B1079" s="19" t="n">
        <v>51619.527626</v>
      </c>
      <c r="C1079" s="19" t="n">
        <v>1.8950175</v>
      </c>
      <c r="D1079" s="19" t="n">
        <v>0.0060860205</v>
      </c>
      <c r="E1079" s="19" t="n">
        <v>0.05611352526123867</v>
      </c>
      <c r="F1079" s="19" t="n">
        <v>0.0513591661518186</v>
      </c>
      <c r="G1079" s="19" t="n">
        <v>0.9477200175856775</v>
      </c>
      <c r="H1079" s="19" t="n">
        <v>0.29905</v>
      </c>
    </row>
    <row r="1080" s="17">
      <c r="A1080" s="19" t="n">
        <v>8725</v>
      </c>
      <c r="B1080" s="19" t="n">
        <v>50620.100075</v>
      </c>
      <c r="C1080" s="19" t="n">
        <v>1.9739563</v>
      </c>
      <c r="D1080" s="19" t="n">
        <v>0.0057276188</v>
      </c>
      <c r="E1080" s="19" t="n">
        <v>0.03450795347033347</v>
      </c>
      <c r="F1080" s="19" t="n">
        <v>0.1224695930052211</v>
      </c>
      <c r="G1080" s="19" t="n">
        <v>0.9622089458554079</v>
      </c>
      <c r="H1080" s="19" t="n">
        <v>0.155416</v>
      </c>
    </row>
    <row r="1081" s="17">
      <c r="A1081" s="19" t="n">
        <v>8730</v>
      </c>
      <c r="B1081" s="19" t="n">
        <v>50429.111944</v>
      </c>
      <c r="C1081" s="19" t="n">
        <v>2.1579617</v>
      </c>
      <c r="D1081" s="19" t="n">
        <v>0.0067474555</v>
      </c>
      <c r="E1081" s="19" t="n">
        <v>0.1231031574065511</v>
      </c>
      <c r="F1081" s="19" t="n">
        <v>0.1094237387872061</v>
      </c>
      <c r="G1081" s="19" t="n">
        <v>0.9292437638616543</v>
      </c>
      <c r="H1081" s="19" t="n">
        <v>0.8653380000000001</v>
      </c>
    </row>
    <row r="1082" s="17">
      <c r="A1082" s="19" t="n">
        <v>8735</v>
      </c>
      <c r="B1082" s="19" t="n">
        <v>74787.01717000001</v>
      </c>
      <c r="C1082" s="19" t="n">
        <v>1.5318699</v>
      </c>
      <c r="D1082" s="19" t="n">
        <v>0.0037141376</v>
      </c>
      <c r="E1082" s="19" t="n">
        <v>0.04453028926192976</v>
      </c>
      <c r="F1082" s="19" t="n">
        <v>0.3737541539453181</v>
      </c>
      <c r="G1082" s="19" t="n">
        <v>0.8691384808541294</v>
      </c>
      <c r="H1082" s="19" t="n">
        <v>0.564392</v>
      </c>
    </row>
    <row r="1083" s="17">
      <c r="A1083" s="19" t="n">
        <v>8740</v>
      </c>
      <c r="B1083" s="19" t="n">
        <v>53199.018214</v>
      </c>
      <c r="C1083" s="19" t="n">
        <v>2.1170691</v>
      </c>
      <c r="D1083" s="19" t="n">
        <v>0.008193212199999999</v>
      </c>
      <c r="E1083" s="19" t="n">
        <v>0.04002693717912442</v>
      </c>
      <c r="F1083" s="19" t="n">
        <v>0.08033989651316741</v>
      </c>
      <c r="G1083" s="19" t="n">
        <v>0.9845172497722162</v>
      </c>
      <c r="H1083" s="19" t="n">
        <v>0.105566</v>
      </c>
    </row>
    <row r="1084" s="17">
      <c r="A1084" s="19" t="n">
        <v>8745</v>
      </c>
      <c r="B1084" s="19" t="n">
        <v>45561.587609</v>
      </c>
      <c r="C1084" s="19" t="n">
        <v>1.8847897</v>
      </c>
      <c r="D1084" s="19" t="n">
        <v>0.0063991101</v>
      </c>
      <c r="E1084" s="19" t="n">
        <v>0.1504427973151899</v>
      </c>
      <c r="F1084" s="19" t="n">
        <v>0.1010215387949019</v>
      </c>
      <c r="G1084" s="19" t="n">
        <v>0.9019715887963071</v>
      </c>
      <c r="H1084" s="19" t="n">
        <v>1.493305</v>
      </c>
    </row>
    <row r="1085" s="17">
      <c r="A1085" s="19" t="n">
        <v>8750</v>
      </c>
      <c r="B1085" s="19" t="n">
        <v>71495.979735</v>
      </c>
      <c r="C1085" s="19" t="n">
        <v>2.2618914</v>
      </c>
      <c r="D1085" s="19" t="n">
        <v>0.0045552407</v>
      </c>
      <c r="E1085" s="19" t="n">
        <v>0.06185269558427867</v>
      </c>
      <c r="F1085" s="19" t="n">
        <v>0.3107183074134105</v>
      </c>
      <c r="G1085" s="19" t="n">
        <v>0.9368492969486406</v>
      </c>
      <c r="H1085" s="19" t="n">
        <v>0.429992</v>
      </c>
    </row>
    <row r="1086" s="17">
      <c r="A1086" s="19" t="n">
        <v>8755</v>
      </c>
      <c r="B1086" s="19" t="n">
        <v>35009.336405</v>
      </c>
      <c r="C1086" s="19" t="n">
        <v>2.0946445</v>
      </c>
      <c r="D1086" s="19" t="n">
        <v>0.0074215967</v>
      </c>
      <c r="E1086" s="19" t="n">
        <v>0.06753582969451508</v>
      </c>
      <c r="F1086" s="19" t="n">
        <v>0.07297539621284595</v>
      </c>
      <c r="G1086" s="19" t="n">
        <v>0.9815973175612541</v>
      </c>
      <c r="H1086" s="19" t="n">
        <v>0.157461</v>
      </c>
    </row>
    <row r="1087" s="17">
      <c r="A1087" s="19" t="n">
        <v>8760</v>
      </c>
      <c r="B1087" s="19" t="n">
        <v>42826.211984</v>
      </c>
      <c r="C1087" s="19" t="n">
        <v>1.9974911</v>
      </c>
      <c r="D1087" s="19" t="n">
        <v>0.0062306761</v>
      </c>
      <c r="E1087" s="19" t="n">
        <v>0.1270788035181602</v>
      </c>
      <c r="F1087" s="19" t="n">
        <v>0.2257357969826729</v>
      </c>
      <c r="G1087" s="19" t="n">
        <v>0.9490190268111001</v>
      </c>
      <c r="H1087" s="19" t="n">
        <v>0.683714</v>
      </c>
    </row>
    <row r="1088" s="17">
      <c r="A1088" s="19" t="n">
        <v>8765</v>
      </c>
      <c r="B1088" s="19" t="n">
        <v>73550.0209</v>
      </c>
      <c r="C1088" s="19" t="n">
        <v>2.1333503</v>
      </c>
      <c r="D1088" s="19" t="n">
        <v>0.0047235021</v>
      </c>
      <c r="E1088" s="19" t="n">
        <v>0.1132536487102773</v>
      </c>
      <c r="F1088" s="19" t="n">
        <v>0.3045405904702543</v>
      </c>
      <c r="G1088" s="19" t="n">
        <v>0.9333734651013111</v>
      </c>
      <c r="H1088" s="19" t="n">
        <v>0.7521640000000001</v>
      </c>
    </row>
    <row r="1089" s="17">
      <c r="A1089" s="19" t="n">
        <v>8770</v>
      </c>
      <c r="B1089" s="19" t="n">
        <v>53096.554398</v>
      </c>
      <c r="C1089" s="19" t="n">
        <v>2.0509427</v>
      </c>
      <c r="D1089" s="19" t="n">
        <v>0.0068331131</v>
      </c>
      <c r="E1089" s="19" t="n">
        <v>0.06086168391822435</v>
      </c>
      <c r="F1089" s="19" t="n">
        <v>0.1578278001883076</v>
      </c>
      <c r="G1089" s="19" t="n">
        <v>0.9587175606344381</v>
      </c>
      <c r="H1089" s="19" t="n">
        <v>0.262666</v>
      </c>
    </row>
    <row r="1090" s="17">
      <c r="A1090" s="19" t="n">
        <v>8775</v>
      </c>
      <c r="B1090" s="19" t="n">
        <v>69646.278163</v>
      </c>
      <c r="C1090" s="19" t="n">
        <v>2.0411175</v>
      </c>
      <c r="D1090" s="19" t="n">
        <v>0.0065913709</v>
      </c>
      <c r="E1090" s="19" t="n">
        <v>0.1251372571286775</v>
      </c>
      <c r="F1090" s="19" t="n">
        <v>0.08961631634663456</v>
      </c>
      <c r="G1090" s="19" t="n">
        <v>0.9362097621131458</v>
      </c>
      <c r="H1090" s="19" t="n">
        <v>0.838373</v>
      </c>
    </row>
    <row r="1091" s="17">
      <c r="A1091" s="19" t="n">
        <v>8780</v>
      </c>
      <c r="B1091" s="19" t="n">
        <v>64904.816889</v>
      </c>
      <c r="C1091" s="19" t="n">
        <v>1.7414508</v>
      </c>
      <c r="D1091" s="19" t="n">
        <v>0.003689969</v>
      </c>
      <c r="E1091" s="19" t="n">
        <v>0.07915291554057526</v>
      </c>
      <c r="F1091" s="19" t="n">
        <v>0.245318121798735</v>
      </c>
      <c r="G1091" s="19" t="n">
        <v>0.9185976019647276</v>
      </c>
      <c r="H1091" s="19" t="n">
        <v>0.663402</v>
      </c>
    </row>
    <row r="1092" s="17">
      <c r="A1092" s="19" t="n">
        <v>8785</v>
      </c>
      <c r="B1092" s="19" t="n">
        <v>42807.609751</v>
      </c>
      <c r="C1092" s="19" t="n">
        <v>1.9427862</v>
      </c>
      <c r="D1092" s="19" t="n">
        <v>0.0083088487</v>
      </c>
      <c r="E1092" s="19" t="n">
        <v>0.0575958657536542</v>
      </c>
      <c r="F1092" s="19" t="n">
        <v>0.152661229614934</v>
      </c>
      <c r="G1092" s="19" t="n">
        <v>0.960032420487247</v>
      </c>
      <c r="H1092" s="19" t="n">
        <v>0.241482</v>
      </c>
    </row>
    <row r="1093" s="17">
      <c r="A1093" s="19" t="n">
        <v>8790</v>
      </c>
      <c r="B1093" s="19" t="n">
        <v>37869.905277</v>
      </c>
      <c r="C1093" s="19" t="n">
        <v>1.8718098</v>
      </c>
      <c r="D1093" s="19" t="n">
        <v>0.0040028108</v>
      </c>
      <c r="E1093" s="19" t="n">
        <v>0.09596405270372066</v>
      </c>
      <c r="F1093" s="19" t="n">
        <v>0.1215296727904466</v>
      </c>
      <c r="G1093" s="19" t="n">
        <v>0.9225272080629703</v>
      </c>
      <c r="H1093" s="19" t="n">
        <v>0.750583</v>
      </c>
    </row>
    <row r="1094" s="17">
      <c r="A1094" s="19" t="n">
        <v>8795</v>
      </c>
      <c r="B1094" s="19" t="n">
        <v>73613.259955</v>
      </c>
      <c r="C1094" s="19" t="n">
        <v>2.2245543</v>
      </c>
      <c r="D1094" s="19" t="n">
        <v>0.0056119325</v>
      </c>
      <c r="E1094" s="19" t="n">
        <v>0.08748780106019607</v>
      </c>
      <c r="F1094" s="19" t="n">
        <v>0.3429008109547914</v>
      </c>
      <c r="G1094" s="19" t="n">
        <v>0.8960266720427583</v>
      </c>
      <c r="H1094" s="19" t="n">
        <v>0.906282</v>
      </c>
    </row>
    <row r="1095" s="17">
      <c r="A1095" s="19" t="n">
        <v>8800</v>
      </c>
      <c r="B1095" s="19" t="n">
        <v>39738.284121</v>
      </c>
      <c r="C1095" s="19" t="n">
        <v>2.1819241</v>
      </c>
      <c r="D1095" s="19" t="n">
        <v>0.0050290387</v>
      </c>
      <c r="E1095" s="19" t="n">
        <v>0.03239976970301062</v>
      </c>
      <c r="F1095" s="19" t="n">
        <v>0.1117276511356271</v>
      </c>
      <c r="G1095" s="19" t="n">
        <v>0.9217526713335251</v>
      </c>
      <c r="H1095" s="19" t="n">
        <v>0.240305</v>
      </c>
    </row>
    <row r="1096" s="17">
      <c r="A1096" s="19" t="n">
        <v>8805</v>
      </c>
      <c r="B1096" s="19" t="n">
        <v>45956.049674</v>
      </c>
      <c r="C1096" s="19" t="n">
        <v>2.0697687</v>
      </c>
      <c r="D1096" s="19" t="n">
        <v>0.003863697</v>
      </c>
      <c r="E1096" s="19" t="n">
        <v>0.1054766922575582</v>
      </c>
      <c r="F1096" s="19" t="n">
        <v>0.3213927376223092</v>
      </c>
      <c r="G1096" s="19" t="n">
        <v>0.8827487683635001</v>
      </c>
      <c r="H1096" s="19" t="n">
        <v>1.234369</v>
      </c>
    </row>
    <row r="1097" s="17">
      <c r="A1097" s="19" t="n">
        <v>8810</v>
      </c>
      <c r="B1097" s="19" t="n">
        <v>70666.55659199999</v>
      </c>
      <c r="C1097" s="19" t="n">
        <v>1.5822879</v>
      </c>
      <c r="D1097" s="19" t="n">
        <v>0.005613289</v>
      </c>
      <c r="E1097" s="19" t="n">
        <v>0.1132195128153691</v>
      </c>
      <c r="F1097" s="19" t="n">
        <v>0.222006848012133</v>
      </c>
      <c r="G1097" s="19" t="n">
        <v>0.9019626997613516</v>
      </c>
      <c r="H1097" s="19" t="n">
        <v>1.158421</v>
      </c>
    </row>
    <row r="1098" s="17">
      <c r="A1098" s="19" t="n">
        <v>8815</v>
      </c>
      <c r="B1098" s="19" t="n">
        <v>45211.744642</v>
      </c>
      <c r="C1098" s="19" t="n">
        <v>1.9751453</v>
      </c>
      <c r="D1098" s="19" t="n">
        <v>0.007090565</v>
      </c>
      <c r="E1098" s="19" t="n">
        <v>0.06039969364421564</v>
      </c>
      <c r="F1098" s="19" t="n">
        <v>0.03902470904355159</v>
      </c>
      <c r="G1098" s="19" t="n">
        <v>0.9690675045503856</v>
      </c>
      <c r="H1098" s="19" t="n">
        <v>0.20177</v>
      </c>
    </row>
    <row r="1099" s="17">
      <c r="A1099" s="19" t="n">
        <v>8820</v>
      </c>
      <c r="B1099" s="19" t="n">
        <v>51125.261865</v>
      </c>
      <c r="C1099" s="19" t="n">
        <v>1.6435239</v>
      </c>
      <c r="D1099" s="19" t="n">
        <v>0.0064417026</v>
      </c>
      <c r="E1099" s="19" t="n">
        <v>0.1126942885487037</v>
      </c>
      <c r="F1099" s="19" t="n">
        <v>0.2304332644511141</v>
      </c>
      <c r="G1099" s="19" t="n">
        <v>0.9123217241037375</v>
      </c>
      <c r="H1099" s="19" t="n">
        <v>0.998687</v>
      </c>
    </row>
    <row r="1100" s="17">
      <c r="A1100" s="19" t="n">
        <v>8825</v>
      </c>
      <c r="B1100" s="19" t="n">
        <v>70908.51770500001</v>
      </c>
      <c r="C1100" s="19" t="n">
        <v>2.4468246</v>
      </c>
      <c r="D1100" s="19" t="n">
        <v>0.0060814904</v>
      </c>
      <c r="E1100" s="19" t="n">
        <v>0.05962010286553977</v>
      </c>
      <c r="F1100" s="19" t="n">
        <v>0.2377842462362265</v>
      </c>
      <c r="G1100" s="19" t="n">
        <v>0.8780485241458416</v>
      </c>
      <c r="H1100" s="19" t="n">
        <v>0.7506429999999999</v>
      </c>
    </row>
    <row r="1101" s="17">
      <c r="A1101" s="19" t="n">
        <v>8830</v>
      </c>
      <c r="B1101" s="19" t="n">
        <v>32564.095368</v>
      </c>
      <c r="C1101" s="19" t="n">
        <v>1.9194757</v>
      </c>
      <c r="D1101" s="19" t="n">
        <v>0.0071992803</v>
      </c>
      <c r="E1101" s="19" t="n">
        <v>0.04454825754513943</v>
      </c>
      <c r="F1101" s="19" t="n">
        <v>0.2305630298976108</v>
      </c>
      <c r="G1101" s="19" t="n">
        <v>0.9135142429063912</v>
      </c>
      <c r="H1101" s="19" t="n">
        <v>0.405098</v>
      </c>
    </row>
    <row r="1102" s="17">
      <c r="A1102" s="19" t="n">
        <v>8835</v>
      </c>
      <c r="B1102" s="19" t="n">
        <v>52001.504168</v>
      </c>
      <c r="C1102" s="19" t="n">
        <v>2.1389791</v>
      </c>
      <c r="D1102" s="19" t="n">
        <v>0.0072769873</v>
      </c>
      <c r="E1102" s="19" t="n">
        <v>0.1093582907332</v>
      </c>
      <c r="F1102" s="19" t="n">
        <v>0.1705790903939008</v>
      </c>
      <c r="G1102" s="19" t="n">
        <v>0.879856205758182</v>
      </c>
      <c r="H1102" s="19" t="n">
        <v>1.330077</v>
      </c>
    </row>
    <row r="1103" s="17">
      <c r="A1103" s="19" t="n">
        <v>8840</v>
      </c>
      <c r="B1103" s="19" t="n">
        <v>70955.947107</v>
      </c>
      <c r="C1103" s="19" t="n">
        <v>1.7758977</v>
      </c>
      <c r="D1103" s="19" t="n">
        <v>0.0065033622</v>
      </c>
      <c r="E1103" s="19" t="n">
        <v>0.07535331813510295</v>
      </c>
      <c r="F1103" s="19" t="n">
        <v>0.3088630504692393</v>
      </c>
      <c r="G1103" s="19" t="n">
        <v>0.9056058252264808</v>
      </c>
      <c r="H1103" s="19" t="n">
        <v>0.713788</v>
      </c>
    </row>
    <row r="1104" s="17">
      <c r="A1104" s="19" t="n">
        <v>8845</v>
      </c>
      <c r="B1104" s="19" t="n">
        <v>43313.673868</v>
      </c>
      <c r="C1104" s="19" t="n">
        <v>1.7736628</v>
      </c>
      <c r="D1104" s="19" t="n">
        <v>0.0081904586</v>
      </c>
      <c r="E1104" s="19" t="n">
        <v>0.06831815378212859</v>
      </c>
      <c r="F1104" s="19" t="n">
        <v>0.1862172218683381</v>
      </c>
      <c r="G1104" s="19" t="n">
        <v>0.8917587512403065</v>
      </c>
      <c r="H1104" s="19" t="n">
        <v>0.743065</v>
      </c>
    </row>
    <row r="1105" s="17">
      <c r="A1105" s="19" t="n">
        <v>8850</v>
      </c>
      <c r="B1105" s="19" t="n">
        <v>53762.844198</v>
      </c>
      <c r="C1105" s="19" t="n">
        <v>1.9454735</v>
      </c>
      <c r="D1105" s="19" t="n">
        <v>0.0066817817</v>
      </c>
      <c r="E1105" s="19" t="n">
        <v>0.03445425271249208</v>
      </c>
      <c r="F1105" s="19" t="n">
        <v>0.1485968250207517</v>
      </c>
      <c r="G1105" s="19" t="n">
        <v>0.9715525970188778</v>
      </c>
      <c r="H1105" s="19" t="n">
        <v>0.115746</v>
      </c>
    </row>
    <row r="1106" s="17">
      <c r="A1106" s="19" t="n">
        <v>8855</v>
      </c>
      <c r="B1106" s="19" t="n">
        <v>58360.569901</v>
      </c>
      <c r="C1106" s="19" t="n">
        <v>2.1824182</v>
      </c>
      <c r="D1106" s="19" t="n">
        <v>0.0052533576</v>
      </c>
      <c r="E1106" s="19" t="n">
        <v>0.04507822235682309</v>
      </c>
      <c r="F1106" s="19" t="n">
        <v>0.376423408370719</v>
      </c>
      <c r="G1106" s="19" t="n">
        <v>0.8757668114387231</v>
      </c>
      <c r="H1106" s="19" t="n">
        <v>0.609698</v>
      </c>
    </row>
    <row r="1107" s="17">
      <c r="A1107" s="19" t="n">
        <v>8860</v>
      </c>
      <c r="B1107" s="19" t="n">
        <v>54288.681008</v>
      </c>
      <c r="C1107" s="19" t="n">
        <v>2.1076195</v>
      </c>
      <c r="D1107" s="19" t="n">
        <v>0.0064594713</v>
      </c>
      <c r="E1107" s="19" t="n">
        <v>0.07379212357423953</v>
      </c>
      <c r="F1107" s="19" t="n">
        <v>0.1391085350757409</v>
      </c>
      <c r="G1107" s="19" t="n">
        <v>0.9448858523595099</v>
      </c>
      <c r="H1107" s="19" t="n">
        <v>0.419717</v>
      </c>
    </row>
    <row r="1108" s="17">
      <c r="A1108" s="19" t="n">
        <v>8865</v>
      </c>
      <c r="B1108" s="19" t="n">
        <v>54339.892166</v>
      </c>
      <c r="C1108" s="19" t="n">
        <v>1.737034</v>
      </c>
      <c r="D1108" s="19" t="n">
        <v>0.0061943885</v>
      </c>
      <c r="E1108" s="19" t="n">
        <v>0.09969811067485776</v>
      </c>
      <c r="F1108" s="19" t="n">
        <v>0.09209143648408849</v>
      </c>
      <c r="G1108" s="19" t="n">
        <v>0.9300901563516883</v>
      </c>
      <c r="H1108" s="19" t="n">
        <v>0.731332</v>
      </c>
    </row>
    <row r="1109" s="17">
      <c r="A1109" s="19" t="n">
        <v>8870</v>
      </c>
      <c r="B1109" s="19" t="n">
        <v>56389.075325</v>
      </c>
      <c r="C1109" s="19" t="n">
        <v>2.1457331</v>
      </c>
      <c r="D1109" s="19" t="n">
        <v>0.0044457405</v>
      </c>
      <c r="E1109" s="19" t="n">
        <v>0.04658427452292435</v>
      </c>
      <c r="F1109" s="19" t="n">
        <v>0.3693962801440913</v>
      </c>
      <c r="G1109" s="19" t="n">
        <v>0.9118610967597269</v>
      </c>
      <c r="H1109" s="19" t="n">
        <v>0.396769</v>
      </c>
    </row>
    <row r="1110" s="17">
      <c r="A1110" s="19" t="n">
        <v>8875</v>
      </c>
      <c r="B1110" s="19" t="n">
        <v>52224.052062</v>
      </c>
      <c r="C1110" s="19" t="n">
        <v>2.1498283</v>
      </c>
      <c r="D1110" s="19" t="n">
        <v>0.008554945099999999</v>
      </c>
      <c r="E1110" s="19" t="n">
        <v>0.06678707370890874</v>
      </c>
      <c r="F1110" s="19" t="n">
        <v>0.2309866502142122</v>
      </c>
      <c r="G1110" s="19" t="n">
        <v>0.9446368046666385</v>
      </c>
      <c r="H1110" s="19" t="n">
        <v>0.358051</v>
      </c>
    </row>
    <row r="1111" s="17">
      <c r="A1111" s="19" t="n">
        <v>8880</v>
      </c>
      <c r="B1111" s="19" t="n">
        <v>42398.792424</v>
      </c>
      <c r="C1111" s="19" t="n">
        <v>1.9911586</v>
      </c>
      <c r="D1111" s="19" t="n">
        <v>0.0063800179</v>
      </c>
      <c r="E1111" s="19" t="n">
        <v>0.1294862579685393</v>
      </c>
      <c r="F1111" s="19" t="n">
        <v>0.2179989822220803</v>
      </c>
      <c r="G1111" s="19" t="n">
        <v>0.8791722652721088</v>
      </c>
      <c r="H1111" s="19" t="n">
        <v>1.601433</v>
      </c>
    </row>
    <row r="1112" s="17">
      <c r="A1112" s="19" t="n">
        <v>8885</v>
      </c>
      <c r="B1112" s="19" t="n">
        <v>72622.049357</v>
      </c>
      <c r="C1112" s="19" t="n">
        <v>1.5100195</v>
      </c>
      <c r="D1112" s="19" t="n">
        <v>0.0064501483</v>
      </c>
      <c r="E1112" s="19" t="n">
        <v>0.08760744814752523</v>
      </c>
      <c r="F1112" s="19" t="n">
        <v>0.3041387179269875</v>
      </c>
      <c r="G1112" s="19" t="n">
        <v>0.9039149729988447</v>
      </c>
      <c r="H1112" s="19" t="n">
        <v>0.833735</v>
      </c>
    </row>
    <row r="1113" s="17">
      <c r="A1113" s="19" t="n">
        <v>8890</v>
      </c>
      <c r="B1113" s="19" t="n">
        <v>56905.679982</v>
      </c>
      <c r="C1113" s="19" t="n">
        <v>1.8871749</v>
      </c>
      <c r="D1113" s="19" t="n">
        <v>0.0082597629</v>
      </c>
      <c r="E1113" s="19" t="n">
        <v>0.04446526767740894</v>
      </c>
      <c r="F1113" s="19" t="n">
        <v>0.253263846791865</v>
      </c>
      <c r="G1113" s="19" t="n">
        <v>0.9227501570910364</v>
      </c>
      <c r="H1113" s="19" t="n">
        <v>0.344626</v>
      </c>
    </row>
    <row r="1114" s="17">
      <c r="A1114" s="19" t="n">
        <v>8895</v>
      </c>
      <c r="B1114" s="19" t="n">
        <v>46883.008569</v>
      </c>
      <c r="C1114" s="19" t="n">
        <v>1.9980553</v>
      </c>
      <c r="D1114" s="19" t="n">
        <v>0.0052588666</v>
      </c>
      <c r="E1114" s="19" t="n">
        <v>0.08917966443143453</v>
      </c>
      <c r="F1114" s="19" t="n">
        <v>0.2099223022651991</v>
      </c>
      <c r="G1114" s="19" t="n">
        <v>0.9605732174702851</v>
      </c>
      <c r="H1114" s="19" t="n">
        <v>0.364625</v>
      </c>
    </row>
    <row r="1115" s="17">
      <c r="A1115" s="19" t="n">
        <v>8900</v>
      </c>
      <c r="B1115" s="19" t="n">
        <v>61391.264035</v>
      </c>
      <c r="C1115" s="19" t="n">
        <v>2.341827</v>
      </c>
      <c r="D1115" s="19" t="n">
        <v>0.0057923222</v>
      </c>
      <c r="E1115" s="19" t="n">
        <v>0.0489620383459404</v>
      </c>
      <c r="F1115" s="19" t="n">
        <v>0.335699484887017</v>
      </c>
      <c r="G1115" s="19" t="n">
        <v>0.9434813775733006</v>
      </c>
      <c r="H1115" s="19" t="n">
        <v>0.313477</v>
      </c>
    </row>
    <row r="1116" s="17">
      <c r="A1116" s="19" t="n">
        <v>8905</v>
      </c>
      <c r="B1116" s="19" t="n">
        <v>47910.517328</v>
      </c>
      <c r="C1116" s="19" t="n">
        <v>2.078081</v>
      </c>
      <c r="D1116" s="19" t="n">
        <v>0.0085432245</v>
      </c>
      <c r="E1116" s="19" t="n">
        <v>0.05714105045113213</v>
      </c>
      <c r="F1116" s="19" t="n">
        <v>0.09703409953760583</v>
      </c>
      <c r="G1116" s="19" t="n">
        <v>0.9360490244822851</v>
      </c>
      <c r="H1116" s="19" t="n">
        <v>0.37596</v>
      </c>
    </row>
    <row r="1117" s="17">
      <c r="A1117" s="19" t="n">
        <v>8910</v>
      </c>
      <c r="B1117" s="19" t="n">
        <v>55515.990468</v>
      </c>
      <c r="C1117" s="19" t="n">
        <v>1.9362409</v>
      </c>
      <c r="D1117" s="19" t="n">
        <v>0.0050887772</v>
      </c>
      <c r="E1117" s="19" t="n">
        <v>0.1367640345137435</v>
      </c>
      <c r="F1117" s="19" t="n">
        <v>0.3309663061779246</v>
      </c>
      <c r="G1117" s="19" t="n">
        <v>0.9296049083056371</v>
      </c>
      <c r="H1117" s="19" t="n">
        <v>0.953187</v>
      </c>
    </row>
    <row r="1118" s="17">
      <c r="A1118" s="19" t="n">
        <v>8915</v>
      </c>
      <c r="B1118" s="19" t="n">
        <v>40665.357634</v>
      </c>
      <c r="C1118" s="19" t="n">
        <v>1.9045079</v>
      </c>
      <c r="D1118" s="19" t="n">
        <v>0.0074661628</v>
      </c>
      <c r="E1118" s="19" t="n">
        <v>0.06127494921882336</v>
      </c>
      <c r="F1118" s="19" t="n">
        <v>0.1253214380340626</v>
      </c>
      <c r="G1118" s="19" t="n">
        <v>0.924473368560714</v>
      </c>
      <c r="H1118" s="19" t="n">
        <v>0.445623</v>
      </c>
    </row>
    <row r="1119" s="17">
      <c r="A1119" s="19" t="n">
        <v>8920</v>
      </c>
      <c r="B1119" s="19" t="n">
        <v>43586.624</v>
      </c>
      <c r="C1119" s="19" t="n">
        <v>2.106189</v>
      </c>
      <c r="D1119" s="19" t="n">
        <v>0.0065602143</v>
      </c>
      <c r="E1119" s="19" t="n">
        <v>0.07471347576006571</v>
      </c>
      <c r="F1119" s="19" t="n">
        <v>0.1848092007886835</v>
      </c>
      <c r="G1119" s="19" t="n">
        <v>0.9388484376096176</v>
      </c>
      <c r="H1119" s="19" t="n">
        <v>0.479588</v>
      </c>
    </row>
    <row r="1120" s="17">
      <c r="A1120" s="19" t="n">
        <v>8925</v>
      </c>
      <c r="B1120" s="19" t="n">
        <v>42459.065826</v>
      </c>
      <c r="C1120" s="19" t="n">
        <v>2.2750498</v>
      </c>
      <c r="D1120" s="19" t="n">
        <v>0.0057785068</v>
      </c>
      <c r="E1120" s="19" t="n">
        <v>0.1445212365594133</v>
      </c>
      <c r="F1120" s="19" t="n">
        <v>0.2619549598242673</v>
      </c>
      <c r="G1120" s="19" t="n">
        <v>0.892729844558252</v>
      </c>
      <c r="H1120" s="19" t="n">
        <v>1.565727</v>
      </c>
    </row>
    <row r="1121" s="17">
      <c r="A1121" s="19" t="n">
        <v>8930</v>
      </c>
      <c r="B1121" s="19" t="n">
        <v>72160.03021300001</v>
      </c>
      <c r="C1121" s="19" t="n">
        <v>2.2259065</v>
      </c>
      <c r="D1121" s="19" t="n">
        <v>0.0045460823</v>
      </c>
      <c r="E1121" s="19" t="n">
        <v>0.08189521403949145</v>
      </c>
      <c r="F1121" s="19" t="n">
        <v>0.3050916677273813</v>
      </c>
      <c r="G1121" s="19" t="n">
        <v>0.8853400514213532</v>
      </c>
      <c r="H1121" s="19" t="n">
        <v>0.9816049999999999</v>
      </c>
    </row>
    <row r="1122" s="17">
      <c r="A1122" s="19" t="n">
        <v>8935</v>
      </c>
      <c r="B1122" s="19" t="n">
        <v>54595.766047</v>
      </c>
      <c r="C1122" s="19" t="n">
        <v>1.972329</v>
      </c>
      <c r="D1122" s="19" t="n">
        <v>0.0081835602</v>
      </c>
      <c r="E1122" s="19" t="n">
        <v>0.06436586125666444</v>
      </c>
      <c r="F1122" s="19" t="n">
        <v>0.2025506279312332</v>
      </c>
      <c r="G1122" s="19" t="n">
        <v>0.9458211036954398</v>
      </c>
      <c r="H1122" s="19" t="n">
        <v>0.390669</v>
      </c>
    </row>
    <row r="1123" s="17">
      <c r="A1123" s="19" t="n">
        <v>8940</v>
      </c>
      <c r="B1123" s="19" t="n">
        <v>40504.899572</v>
      </c>
      <c r="C1123" s="19" t="n">
        <v>2.0264652</v>
      </c>
      <c r="D1123" s="19" t="n">
        <v>0.0040981182</v>
      </c>
      <c r="E1123" s="19" t="n">
        <v>0.1283579287862914</v>
      </c>
      <c r="F1123" s="19" t="n">
        <v>0.3350202013976671</v>
      </c>
      <c r="G1123" s="19" t="n">
        <v>0.954121909302857</v>
      </c>
      <c r="H1123" s="19" t="n">
        <v>0.610047</v>
      </c>
    </row>
    <row r="1124" s="17">
      <c r="A1124" s="19" t="n">
        <v>8945</v>
      </c>
      <c r="B1124" s="19" t="n">
        <v>55856.807891</v>
      </c>
      <c r="C1124" s="19" t="n">
        <v>2.3182288</v>
      </c>
      <c r="D1124" s="19" t="n">
        <v>0.0049523662</v>
      </c>
      <c r="E1124" s="19" t="n">
        <v>0.08273031858427897</v>
      </c>
      <c r="F1124" s="19" t="n">
        <v>0.3704807417259737</v>
      </c>
      <c r="G1124" s="19" t="n">
        <v>0.8824022664437794</v>
      </c>
      <c r="H1124" s="19" t="n">
        <v>1.019077</v>
      </c>
    </row>
    <row r="1125" s="17">
      <c r="A1125" s="19" t="n">
        <v>8950</v>
      </c>
      <c r="B1125" s="19" t="n">
        <v>44700.041534</v>
      </c>
      <c r="C1125" s="19" t="n">
        <v>2.0051681</v>
      </c>
      <c r="D1125" s="19" t="n">
        <v>0.007812540999999999</v>
      </c>
      <c r="E1125" s="19" t="n">
        <v>0.0637490685858442</v>
      </c>
      <c r="F1125" s="19" t="n">
        <v>0.1694372183853342</v>
      </c>
      <c r="G1125" s="19" t="n">
        <v>0.9365488091847307</v>
      </c>
      <c r="H1125" s="19" t="n">
        <v>0.42115</v>
      </c>
    </row>
    <row r="1126" s="17">
      <c r="A1126" s="19" t="n">
        <v>8955</v>
      </c>
      <c r="B1126" s="19" t="n">
        <v>53865.417141</v>
      </c>
      <c r="C1126" s="19" t="n">
        <v>2.1420676</v>
      </c>
      <c r="D1126" s="19" t="n">
        <v>0.0064708289</v>
      </c>
      <c r="E1126" s="19" t="n">
        <v>0.09057228646114529</v>
      </c>
      <c r="F1126" s="19" t="n">
        <v>0.1883440381990725</v>
      </c>
      <c r="G1126" s="19" t="n">
        <v>0.9782453130879997</v>
      </c>
      <c r="H1126" s="19" t="n">
        <v>0.224905</v>
      </c>
    </row>
    <row r="1127" s="17">
      <c r="A1127" s="19" t="n">
        <v>8960</v>
      </c>
      <c r="B1127" s="19" t="n">
        <v>73742.246759</v>
      </c>
      <c r="C1127" s="19" t="n">
        <v>2.2400523</v>
      </c>
      <c r="D1127" s="19" t="n">
        <v>0.0056232744</v>
      </c>
      <c r="E1127" s="19" t="n">
        <v>0.1183934290409951</v>
      </c>
      <c r="F1127" s="19" t="n">
        <v>0.2186909247719042</v>
      </c>
      <c r="G1127" s="19" t="n">
        <v>0.9178869991982712</v>
      </c>
      <c r="H1127" s="19" t="n">
        <v>0.976965</v>
      </c>
    </row>
    <row r="1128" s="17">
      <c r="A1128" s="19" t="n">
        <v>8965</v>
      </c>
      <c r="B1128" s="19" t="n">
        <v>35833.468601</v>
      </c>
      <c r="C1128" s="19" t="n">
        <v>2.1237445</v>
      </c>
      <c r="D1128" s="19" t="n">
        <v>0.009415976600000001</v>
      </c>
      <c r="E1128" s="19" t="n">
        <v>0.03391214158833988</v>
      </c>
      <c r="F1128" s="19" t="n">
        <v>0.270518929047116</v>
      </c>
      <c r="G1128" s="19" t="n">
        <v>0.947627679724283</v>
      </c>
      <c r="H1128" s="19" t="n">
        <v>0.191601</v>
      </c>
    </row>
    <row r="1129" s="17">
      <c r="A1129" s="19" t="n">
        <v>8970</v>
      </c>
      <c r="B1129" s="19" t="n">
        <v>62389.588321</v>
      </c>
      <c r="C1129" s="19" t="n">
        <v>1.8672287</v>
      </c>
      <c r="D1129" s="19" t="n">
        <v>0.0066950253</v>
      </c>
      <c r="E1129" s="19" t="n">
        <v>0.1269228251159426</v>
      </c>
      <c r="F1129" s="19" t="n">
        <v>0.1963706368412251</v>
      </c>
      <c r="G1129" s="19" t="n">
        <v>0.913446543832461</v>
      </c>
      <c r="H1129" s="19" t="n">
        <v>1.105566</v>
      </c>
    </row>
    <row r="1130" s="17">
      <c r="A1130" s="19" t="n">
        <v>8975</v>
      </c>
      <c r="B1130" s="19" t="n">
        <v>74334.80382299999</v>
      </c>
      <c r="C1130" s="19" t="n">
        <v>2.3958253</v>
      </c>
      <c r="D1130" s="19" t="n">
        <v>0.00320161</v>
      </c>
      <c r="E1130" s="19" t="n">
        <v>0.06041572419594789</v>
      </c>
      <c r="F1130" s="19" t="n">
        <v>0.3334269660353533</v>
      </c>
      <c r="G1130" s="19" t="n">
        <v>0.9228779748025983</v>
      </c>
      <c r="H1130" s="19" t="n">
        <v>0.495639</v>
      </c>
    </row>
    <row r="1131" s="17">
      <c r="A1131" s="19" t="n">
        <v>8980</v>
      </c>
      <c r="B1131" s="19" t="n">
        <v>54074.263789</v>
      </c>
      <c r="C1131" s="19" t="n">
        <v>1.9334953</v>
      </c>
      <c r="D1131" s="19" t="n">
        <v>0.0065425267</v>
      </c>
      <c r="E1131" s="19" t="n">
        <v>0.04638715799654121</v>
      </c>
      <c r="F1131" s="19" t="n">
        <v>0.07078342261839465</v>
      </c>
      <c r="G1131" s="19" t="n">
        <v>0.9473733888653274</v>
      </c>
      <c r="H1131" s="19" t="n">
        <v>0.266097</v>
      </c>
    </row>
    <row r="1132" s="17">
      <c r="A1132" s="19" t="n">
        <v>8985</v>
      </c>
      <c r="B1132" s="19" t="n">
        <v>54067.074302</v>
      </c>
      <c r="C1132" s="19" t="n">
        <v>2.0274644</v>
      </c>
      <c r="D1132" s="19" t="n">
        <v>0.0041270819</v>
      </c>
      <c r="E1132" s="19" t="n">
        <v>0.1573162570894193</v>
      </c>
      <c r="F1132" s="19" t="n">
        <v>0.280568671671089</v>
      </c>
      <c r="G1132" s="19" t="n">
        <v>0.9070519212839235</v>
      </c>
      <c r="H1132" s="19" t="n">
        <v>1.492216</v>
      </c>
    </row>
    <row r="1133" s="17">
      <c r="A1133" s="19" t="n">
        <v>8990</v>
      </c>
      <c r="B1133" s="19" t="n">
        <v>59182.987951</v>
      </c>
      <c r="C1133" s="19" t="n">
        <v>2.3263164</v>
      </c>
      <c r="D1133" s="19" t="n">
        <v>0.003187834</v>
      </c>
      <c r="E1133" s="19" t="n">
        <v>0.1150835035441813</v>
      </c>
      <c r="F1133" s="19" t="n">
        <v>0.3473304473493025</v>
      </c>
      <c r="G1133" s="19" t="n">
        <v>0.913543808916087</v>
      </c>
      <c r="H1133" s="19" t="n">
        <v>0.985164</v>
      </c>
    </row>
    <row r="1134" s="17">
      <c r="A1134" s="19" t="n">
        <v>8995</v>
      </c>
      <c r="B1134" s="19" t="n">
        <v>49301.05489</v>
      </c>
      <c r="C1134" s="19" t="n">
        <v>1.8981693</v>
      </c>
      <c r="D1134" s="19" t="n">
        <v>0.0085121656</v>
      </c>
      <c r="E1134" s="19" t="n">
        <v>0.06618062994933804</v>
      </c>
      <c r="F1134" s="19" t="n">
        <v>0.09377146704929065</v>
      </c>
      <c r="G1134" s="19" t="n">
        <v>0.9891469820645065</v>
      </c>
      <c r="H1134" s="19" t="n">
        <v>0.093109</v>
      </c>
    </row>
    <row r="1135" s="17">
      <c r="A1135" s="19" t="n">
        <v>9000</v>
      </c>
      <c r="B1135" s="19" t="n">
        <v>65740.688918</v>
      </c>
      <c r="C1135" s="19" t="n">
        <v>1.8480813</v>
      </c>
      <c r="D1135" s="19" t="n">
        <v>0.0063278813</v>
      </c>
      <c r="E1135" s="19" t="n">
        <v>0.08637056307334785</v>
      </c>
      <c r="F1135" s="19" t="n">
        <v>0.1903463161500464</v>
      </c>
      <c r="G1135" s="19" t="n">
        <v>0.9012091128029192</v>
      </c>
      <c r="H1135" s="19" t="n">
        <v>0.901643</v>
      </c>
    </row>
    <row r="1136" s="17">
      <c r="A1136" s="19" t="n">
        <v>9005</v>
      </c>
      <c r="B1136" s="19" t="n">
        <v>57081.849157</v>
      </c>
      <c r="C1136" s="19" t="n">
        <v>1.5797617</v>
      </c>
      <c r="D1136" s="19" t="n">
        <v>0.0044349965</v>
      </c>
      <c r="E1136" s="19" t="n">
        <v>0.1107237678454162</v>
      </c>
      <c r="F1136" s="19" t="n">
        <v>0.2687886924499082</v>
      </c>
      <c r="G1136" s="19" t="n">
        <v>0.9187024499991306</v>
      </c>
      <c r="H1136" s="19" t="n">
        <v>0.881922</v>
      </c>
    </row>
    <row r="1137" s="17">
      <c r="A1137" s="19" t="n">
        <v>9010</v>
      </c>
      <c r="B1137" s="19" t="n">
        <v>33820.008111</v>
      </c>
      <c r="C1137" s="19" t="n">
        <v>1.7788387</v>
      </c>
      <c r="D1137" s="19" t="n">
        <v>0.008825985</v>
      </c>
      <c r="E1137" s="19" t="n">
        <v>0.05102070217982807</v>
      </c>
      <c r="F1137" s="19" t="n">
        <v>0.1380475038352625</v>
      </c>
      <c r="G1137" s="19" t="n">
        <v>0.911637571875959</v>
      </c>
      <c r="H1137" s="19" t="n">
        <v>0.434088</v>
      </c>
    </row>
    <row r="1138" s="17">
      <c r="A1138" s="19" t="n">
        <v>9015</v>
      </c>
      <c r="B1138" s="19" t="n">
        <v>52779.935856</v>
      </c>
      <c r="C1138" s="19" t="n">
        <v>1.7982697</v>
      </c>
      <c r="D1138" s="19" t="n">
        <v>0.0070276509</v>
      </c>
      <c r="E1138" s="19" t="n">
        <v>0.1217364577354732</v>
      </c>
      <c r="F1138" s="19" t="n">
        <v>0.125725994200565</v>
      </c>
      <c r="G1138" s="19" t="n">
        <v>0.9252015971198051</v>
      </c>
      <c r="H1138" s="19" t="n">
        <v>0.916181</v>
      </c>
    </row>
    <row r="1139" s="17">
      <c r="A1139" s="19" t="n">
        <v>9020</v>
      </c>
      <c r="B1139" s="19" t="n">
        <v>60431.881094</v>
      </c>
      <c r="C1139" s="19" t="n">
        <v>1.5186955</v>
      </c>
      <c r="D1139" s="19" t="n">
        <v>0.0048202955</v>
      </c>
      <c r="E1139" s="19" t="n">
        <v>0.06521068094077889</v>
      </c>
      <c r="F1139" s="19" t="n">
        <v>0.3189414392971221</v>
      </c>
      <c r="G1139" s="19" t="n">
        <v>0.8970300695527447</v>
      </c>
      <c r="H1139" s="19" t="n">
        <v>0.680505</v>
      </c>
    </row>
    <row r="1140" s="17">
      <c r="A1140" s="19" t="n">
        <v>9025</v>
      </c>
      <c r="B1140" s="19" t="n">
        <v>34313.117407</v>
      </c>
      <c r="C1140" s="19" t="n">
        <v>1.7563836</v>
      </c>
      <c r="D1140" s="19" t="n">
        <v>0.0078068592</v>
      </c>
      <c r="E1140" s="19" t="n">
        <v>0.06496167099640029</v>
      </c>
      <c r="F1140" s="19" t="n">
        <v>0.1330331380763636</v>
      </c>
      <c r="G1140" s="19" t="n">
        <v>0.9464148188203824</v>
      </c>
      <c r="H1140" s="19" t="n">
        <v>0.350281</v>
      </c>
    </row>
    <row r="1141" s="17">
      <c r="A1141" s="19" t="n">
        <v>9030</v>
      </c>
      <c r="B1141" s="19" t="n">
        <v>41121.466255</v>
      </c>
      <c r="C1141" s="19" t="n">
        <v>1.928968</v>
      </c>
      <c r="D1141" s="19" t="n">
        <v>0.0060592129</v>
      </c>
      <c r="E1141" s="19" t="n">
        <v>0.1042752675648757</v>
      </c>
      <c r="F1141" s="19" t="n">
        <v>0.2265115328485677</v>
      </c>
      <c r="G1141" s="19" t="n">
        <v>0.91909871821511</v>
      </c>
      <c r="H1141" s="19" t="n">
        <v>0.8405550000000001</v>
      </c>
    </row>
    <row r="1142" s="17">
      <c r="A1142" s="19" t="n">
        <v>9035</v>
      </c>
      <c r="B1142" s="19" t="n">
        <v>65303.973824</v>
      </c>
      <c r="C1142" s="19" t="n">
        <v>1.7552719</v>
      </c>
      <c r="D1142" s="19" t="n">
        <v>0.0039498437</v>
      </c>
      <c r="E1142" s="19" t="n">
        <v>0.1093435543414837</v>
      </c>
      <c r="F1142" s="19" t="n">
        <v>0.362945244113821</v>
      </c>
      <c r="G1142" s="19" t="n">
        <v>0.9331856947052997</v>
      </c>
      <c r="H1142" s="19" t="n">
        <v>0.716343</v>
      </c>
    </row>
    <row r="1143" s="17">
      <c r="A1143" s="19" t="n">
        <v>9040</v>
      </c>
      <c r="B1143" s="19" t="n">
        <v>46294.789615</v>
      </c>
      <c r="C1143" s="19" t="n">
        <v>1.9646403</v>
      </c>
      <c r="D1143" s="19" t="n">
        <v>0.0074714073</v>
      </c>
      <c r="E1143" s="19" t="n">
        <v>0.07171379748399645</v>
      </c>
      <c r="F1143" s="19" t="n">
        <v>0.07490754202196172</v>
      </c>
      <c r="G1143" s="19" t="n">
        <v>0.9419551039860542</v>
      </c>
      <c r="H1143" s="19" t="n">
        <v>0.459606</v>
      </c>
    </row>
    <row r="1144" s="17">
      <c r="A1144" s="19" t="n">
        <v>9045</v>
      </c>
      <c r="B1144" s="19" t="n">
        <v>51534.943545</v>
      </c>
      <c r="C1144" s="19" t="n">
        <v>1.8859018</v>
      </c>
      <c r="D1144" s="19" t="n">
        <v>0.008105577799999999</v>
      </c>
      <c r="E1144" s="19" t="n">
        <v>0.06121164727369229</v>
      </c>
      <c r="F1144" s="19" t="n">
        <v>0.05927535718376627</v>
      </c>
      <c r="G1144" s="19" t="n">
        <v>0.9660538874251628</v>
      </c>
      <c r="H1144" s="19" t="n">
        <v>0.197652</v>
      </c>
    </row>
    <row r="1145" s="17">
      <c r="A1145" s="19" t="n">
        <v>9050</v>
      </c>
      <c r="B1145" s="19" t="n">
        <v>56419.550586</v>
      </c>
      <c r="C1145" s="19" t="n">
        <v>1.5742189</v>
      </c>
      <c r="D1145" s="19" t="n">
        <v>0.0052835778</v>
      </c>
      <c r="E1145" s="19" t="n">
        <v>0.1054729507734856</v>
      </c>
      <c r="F1145" s="19" t="n">
        <v>0.309202332198294</v>
      </c>
      <c r="G1145" s="19" t="n">
        <v>0.8788795812739499</v>
      </c>
      <c r="H1145" s="19" t="n">
        <v>1.281412</v>
      </c>
    </row>
    <row r="1146" s="17">
      <c r="A1146" s="19" t="n">
        <v>9055</v>
      </c>
      <c r="B1146" s="19" t="n">
        <v>34842.490486</v>
      </c>
      <c r="C1146" s="19" t="n">
        <v>1.801707</v>
      </c>
      <c r="D1146" s="19" t="n">
        <v>0.0052307159</v>
      </c>
      <c r="E1146" s="19" t="n">
        <v>0.06532229781312629</v>
      </c>
      <c r="F1146" s="19" t="n">
        <v>0.1280140565736235</v>
      </c>
      <c r="G1146" s="19" t="n">
        <v>0.9562442276390329</v>
      </c>
      <c r="H1146" s="19" t="n">
        <v>0.31621</v>
      </c>
    </row>
    <row r="1147" s="17">
      <c r="A1147" s="19" t="n">
        <v>9060</v>
      </c>
      <c r="B1147" s="19" t="n">
        <v>49206.530886</v>
      </c>
      <c r="C1147" s="19" t="n">
        <v>1.8207712</v>
      </c>
      <c r="D1147" s="19" t="n">
        <v>0.0044899201</v>
      </c>
      <c r="E1147" s="19" t="n">
        <v>0.1136615865940981</v>
      </c>
      <c r="F1147" s="19" t="n">
        <v>0.1494995759665749</v>
      </c>
      <c r="G1147" s="19" t="n">
        <v>0.9330388072181913</v>
      </c>
      <c r="H1147" s="19" t="n">
        <v>0.791266</v>
      </c>
    </row>
    <row r="1148" s="17">
      <c r="A1148" s="19" t="n">
        <v>9065</v>
      </c>
      <c r="B1148" s="19" t="n">
        <v>60698.944491</v>
      </c>
      <c r="C1148" s="19" t="n">
        <v>1.6177442</v>
      </c>
      <c r="D1148" s="19" t="n">
        <v>0.0043002044</v>
      </c>
      <c r="E1148" s="19" t="n">
        <v>0.09267165793799606</v>
      </c>
      <c r="F1148" s="19" t="n">
        <v>0.3785278869893255</v>
      </c>
      <c r="G1148" s="19" t="n">
        <v>0.9263645986529407</v>
      </c>
      <c r="H1148" s="19" t="n">
        <v>0.668387</v>
      </c>
    </row>
    <row r="1149" s="17">
      <c r="A1149" s="19" t="n">
        <v>9070</v>
      </c>
      <c r="B1149" s="19" t="n">
        <v>38040.321347</v>
      </c>
      <c r="C1149" s="19" t="n">
        <v>1.81712</v>
      </c>
      <c r="D1149" s="19" t="n">
        <v>0.0069915415</v>
      </c>
      <c r="E1149" s="19" t="n">
        <v>0.03006522768463435</v>
      </c>
      <c r="F1149" s="19" t="n">
        <v>0.2780362007838978</v>
      </c>
      <c r="G1149" s="19" t="n">
        <v>0.9236557570539383</v>
      </c>
      <c r="H1149" s="19" t="n">
        <v>0.254106</v>
      </c>
    </row>
    <row r="1150" s="17">
      <c r="A1150" s="19" t="n">
        <v>9075</v>
      </c>
      <c r="B1150" s="19" t="n">
        <v>63438.405123</v>
      </c>
      <c r="C1150" s="19" t="n">
        <v>1.7303739</v>
      </c>
      <c r="D1150" s="19" t="n">
        <v>0.0034892177</v>
      </c>
      <c r="E1150" s="19" t="n">
        <v>0.1089782653270448</v>
      </c>
      <c r="F1150" s="19" t="n">
        <v>0.161555700041542</v>
      </c>
      <c r="G1150" s="19" t="n">
        <v>0.9064299250330411</v>
      </c>
      <c r="H1150" s="19" t="n">
        <v>1.031498</v>
      </c>
    </row>
    <row r="1151" s="17">
      <c r="A1151" s="19" t="n">
        <v>9080</v>
      </c>
      <c r="B1151" s="19" t="n">
        <v>58144.943675</v>
      </c>
      <c r="C1151" s="19" t="n">
        <v>1.5805361</v>
      </c>
      <c r="D1151" s="19" t="n">
        <v>0.0062928421</v>
      </c>
      <c r="E1151" s="19" t="n">
        <v>0.0470677982756126</v>
      </c>
      <c r="F1151" s="19" t="n">
        <v>0.2728590943379143</v>
      </c>
      <c r="G1151" s="19" t="n">
        <v>0.962194601556626</v>
      </c>
      <c r="H1151" s="19" t="n">
        <v>0.210276</v>
      </c>
    </row>
    <row r="1152" s="17">
      <c r="A1152" s="19" t="n">
        <v>9085</v>
      </c>
      <c r="B1152" s="19" t="n">
        <v>42839.903418</v>
      </c>
      <c r="C1152" s="19" t="n">
        <v>1.9656612</v>
      </c>
      <c r="D1152" s="19" t="n">
        <v>0.0053743087</v>
      </c>
      <c r="E1152" s="19" t="n">
        <v>0.07346164220563356</v>
      </c>
      <c r="F1152" s="19" t="n">
        <v>0.1390289446729142</v>
      </c>
      <c r="G1152" s="19" t="n">
        <v>0.9214457040455648</v>
      </c>
      <c r="H1152" s="19" t="n">
        <v>0.624833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KHALED HISHAM ALJINDAN</dc:creator>
  <dcterms:created xsi:type="dcterms:W3CDTF">2026-03-29T23:18:16Z</dcterms:created>
  <dcterms:modified xsi:type="dcterms:W3CDTF">2026-04-16T00:11:56Z</dcterms:modified>
  <cp:lastModifiedBy>FAISAL BANDAR ALABBAS</cp:lastModifiedBy>
</cp:coreProperties>
</file>