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1"/>
  <workbookPr showInkAnnotation="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89C359B-0931-4E54-85EF-32E43ADAB4D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Controls" sheetId="2" r:id="rId2"/>
    <sheet name="Dashboard_Data" sheetId="3" r:id="rId3"/>
    <sheet name="Summary" sheetId="4" r:id="rId4"/>
    <sheet name="Raw_Data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3" i="2"/>
  <c r="D2" i="3"/>
  <c r="G2" i="3"/>
  <c r="B2" i="3"/>
  <c r="C2" i="3"/>
  <c r="L2" i="3"/>
  <c r="D3" i="3"/>
  <c r="G3" i="3"/>
  <c r="B3" i="3"/>
  <c r="C3" i="3"/>
  <c r="L3" i="3"/>
  <c r="D4" i="3"/>
  <c r="G4" i="3"/>
  <c r="B4" i="3"/>
  <c r="C4" i="3"/>
  <c r="L4" i="3"/>
  <c r="D5" i="3"/>
  <c r="G5" i="3"/>
  <c r="B5" i="3"/>
  <c r="C5" i="3"/>
  <c r="L5" i="3"/>
  <c r="D6" i="3"/>
  <c r="G6" i="3"/>
  <c r="B6" i="3"/>
  <c r="C6" i="3"/>
  <c r="L6" i="3"/>
  <c r="D7" i="3"/>
  <c r="G7" i="3"/>
  <c r="B7" i="3"/>
  <c r="C7" i="3"/>
  <c r="L7" i="3"/>
  <c r="D8" i="3"/>
  <c r="G8" i="3"/>
  <c r="B8" i="3"/>
  <c r="C8" i="3"/>
  <c r="L8" i="3"/>
  <c r="D9" i="3"/>
  <c r="G9" i="3"/>
  <c r="B9" i="3"/>
  <c r="C9" i="3"/>
  <c r="L9" i="3"/>
  <c r="D10" i="3"/>
  <c r="G10" i="3"/>
  <c r="B10" i="3"/>
  <c r="C10" i="3"/>
  <c r="L10" i="3"/>
  <c r="D11" i="3"/>
  <c r="G11" i="3"/>
  <c r="B11" i="3"/>
  <c r="C11" i="3"/>
  <c r="L11" i="3"/>
  <c r="D12" i="3"/>
  <c r="G12" i="3"/>
  <c r="B12" i="3"/>
  <c r="C12" i="3"/>
  <c r="L12" i="3"/>
  <c r="D13" i="3"/>
  <c r="G13" i="3"/>
  <c r="B13" i="3"/>
  <c r="C13" i="3"/>
  <c r="L13" i="3"/>
  <c r="D14" i="3"/>
  <c r="G14" i="3"/>
  <c r="B14" i="3"/>
  <c r="C14" i="3"/>
  <c r="L14" i="3"/>
  <c r="D15" i="3"/>
  <c r="G15" i="3"/>
  <c r="B15" i="3"/>
  <c r="C15" i="3"/>
  <c r="L15" i="3"/>
  <c r="D16" i="3"/>
  <c r="G16" i="3"/>
  <c r="B16" i="3"/>
  <c r="C16" i="3"/>
  <c r="L16" i="3"/>
  <c r="D17" i="3"/>
  <c r="G17" i="3"/>
  <c r="B17" i="3"/>
  <c r="C17" i="3"/>
  <c r="L17" i="3"/>
  <c r="D18" i="3"/>
  <c r="G18" i="3"/>
  <c r="B18" i="3"/>
  <c r="C18" i="3"/>
  <c r="L18" i="3"/>
  <c r="D19" i="3"/>
  <c r="G19" i="3"/>
  <c r="B19" i="3"/>
  <c r="C19" i="3"/>
  <c r="L19" i="3"/>
  <c r="D20" i="3"/>
  <c r="G20" i="3"/>
  <c r="B20" i="3"/>
  <c r="C20" i="3"/>
  <c r="L20" i="3"/>
  <c r="D21" i="3"/>
  <c r="G21" i="3"/>
  <c r="B21" i="3"/>
  <c r="C21" i="3"/>
  <c r="L21" i="3"/>
  <c r="D22" i="3"/>
  <c r="G22" i="3"/>
  <c r="B22" i="3"/>
  <c r="C22" i="3"/>
  <c r="L22" i="3"/>
  <c r="D23" i="3"/>
  <c r="G23" i="3"/>
  <c r="B23" i="3"/>
  <c r="C23" i="3"/>
  <c r="L23" i="3"/>
  <c r="D24" i="3"/>
  <c r="G24" i="3"/>
  <c r="B24" i="3"/>
  <c r="C24" i="3"/>
  <c r="L24" i="3"/>
  <c r="D25" i="3"/>
  <c r="G25" i="3"/>
  <c r="B25" i="3"/>
  <c r="C25" i="3"/>
  <c r="L25" i="3"/>
  <c r="D26" i="3"/>
  <c r="G26" i="3"/>
  <c r="B26" i="3"/>
  <c r="C26" i="3"/>
  <c r="L26" i="3"/>
  <c r="D27" i="3"/>
  <c r="G27" i="3"/>
  <c r="B27" i="3"/>
  <c r="C27" i="3"/>
  <c r="L27" i="3"/>
  <c r="D28" i="3"/>
  <c r="G28" i="3"/>
  <c r="B28" i="3"/>
  <c r="C28" i="3"/>
  <c r="L28" i="3"/>
  <c r="D29" i="3"/>
  <c r="G29" i="3"/>
  <c r="B29" i="3"/>
  <c r="C29" i="3"/>
  <c r="L29" i="3"/>
  <c r="D30" i="3"/>
  <c r="G30" i="3"/>
  <c r="B30" i="3"/>
  <c r="C30" i="3"/>
  <c r="L30" i="3"/>
  <c r="D31" i="3"/>
  <c r="G31" i="3"/>
  <c r="B31" i="3"/>
  <c r="C31" i="3"/>
  <c r="L31" i="3"/>
  <c r="D32" i="3"/>
  <c r="G32" i="3"/>
  <c r="B32" i="3"/>
  <c r="C32" i="3"/>
  <c r="L32" i="3"/>
  <c r="D33" i="3"/>
  <c r="G33" i="3"/>
  <c r="B33" i="3"/>
  <c r="C33" i="3"/>
  <c r="L33" i="3"/>
  <c r="D34" i="3"/>
  <c r="G34" i="3"/>
  <c r="B34" i="3"/>
  <c r="C34" i="3"/>
  <c r="L34" i="3"/>
  <c r="D35" i="3"/>
  <c r="G35" i="3"/>
  <c r="B35" i="3"/>
  <c r="C35" i="3"/>
  <c r="L35" i="3"/>
  <c r="D36" i="3"/>
  <c r="G36" i="3"/>
  <c r="B36" i="3"/>
  <c r="C36" i="3"/>
  <c r="L36" i="3"/>
  <c r="D37" i="3"/>
  <c r="G37" i="3"/>
  <c r="B37" i="3"/>
  <c r="C37" i="3"/>
  <c r="L37" i="3"/>
  <c r="D38" i="3"/>
  <c r="G38" i="3"/>
  <c r="B38" i="3"/>
  <c r="C38" i="3"/>
  <c r="L38" i="3"/>
  <c r="D39" i="3"/>
  <c r="G39" i="3"/>
  <c r="B39" i="3"/>
  <c r="C39" i="3"/>
  <c r="L39" i="3"/>
  <c r="D40" i="3"/>
  <c r="G40" i="3"/>
  <c r="B40" i="3"/>
  <c r="C40" i="3"/>
  <c r="L40" i="3"/>
  <c r="D41" i="3"/>
  <c r="G41" i="3"/>
  <c r="B41" i="3"/>
  <c r="C41" i="3"/>
  <c r="L41" i="3"/>
  <c r="D42" i="3"/>
  <c r="G42" i="3"/>
  <c r="B42" i="3"/>
  <c r="C42" i="3"/>
  <c r="L42" i="3"/>
  <c r="D43" i="3"/>
  <c r="G43" i="3"/>
  <c r="B43" i="3"/>
  <c r="C43" i="3"/>
  <c r="L43" i="3"/>
  <c r="D44" i="3"/>
  <c r="G44" i="3"/>
  <c r="B44" i="3"/>
  <c r="C44" i="3"/>
  <c r="L44" i="3"/>
  <c r="D45" i="3"/>
  <c r="G45" i="3"/>
  <c r="B45" i="3"/>
  <c r="C45" i="3"/>
  <c r="L45" i="3"/>
  <c r="D46" i="3"/>
  <c r="G46" i="3"/>
  <c r="B46" i="3"/>
  <c r="C46" i="3"/>
  <c r="L46" i="3"/>
  <c r="D47" i="3"/>
  <c r="G47" i="3"/>
  <c r="B47" i="3"/>
  <c r="C47" i="3"/>
  <c r="L47" i="3"/>
  <c r="D48" i="3"/>
  <c r="G48" i="3"/>
  <c r="B48" i="3"/>
  <c r="C48" i="3"/>
  <c r="L48" i="3"/>
  <c r="D49" i="3"/>
  <c r="G49" i="3"/>
  <c r="B49" i="3"/>
  <c r="C49" i="3"/>
  <c r="L49" i="3"/>
  <c r="D50" i="3"/>
  <c r="G50" i="3"/>
  <c r="B50" i="3"/>
  <c r="C50" i="3"/>
  <c r="L50" i="3"/>
  <c r="D51" i="3"/>
  <c r="G51" i="3"/>
  <c r="B51" i="3"/>
  <c r="C51" i="3"/>
  <c r="L51" i="3"/>
  <c r="D52" i="3"/>
  <c r="G52" i="3"/>
  <c r="B52" i="3"/>
  <c r="C52" i="3"/>
  <c r="L52" i="3"/>
  <c r="D53" i="3"/>
  <c r="G53" i="3"/>
  <c r="B53" i="3"/>
  <c r="C53" i="3"/>
  <c r="L53" i="3"/>
  <c r="D54" i="3"/>
  <c r="G54" i="3"/>
  <c r="B54" i="3"/>
  <c r="C54" i="3"/>
  <c r="L54" i="3"/>
  <c r="D55" i="3"/>
  <c r="G55" i="3"/>
  <c r="B55" i="3"/>
  <c r="C55" i="3"/>
  <c r="L55" i="3"/>
  <c r="D56" i="3"/>
  <c r="G56" i="3"/>
  <c r="B56" i="3"/>
  <c r="C56" i="3"/>
  <c r="L56" i="3"/>
  <c r="D57" i="3"/>
  <c r="G57" i="3"/>
  <c r="B57" i="3"/>
  <c r="C57" i="3"/>
  <c r="L57" i="3"/>
  <c r="D58" i="3"/>
  <c r="G58" i="3"/>
  <c r="B58" i="3"/>
  <c r="C58" i="3"/>
  <c r="L58" i="3"/>
  <c r="D59" i="3"/>
  <c r="G59" i="3"/>
  <c r="B59" i="3"/>
  <c r="C59" i="3"/>
  <c r="L59" i="3"/>
  <c r="D60" i="3"/>
  <c r="G60" i="3"/>
  <c r="B60" i="3"/>
  <c r="C60" i="3"/>
  <c r="L60" i="3"/>
  <c r="D61" i="3"/>
  <c r="G61" i="3"/>
  <c r="B61" i="3"/>
  <c r="C61" i="3"/>
  <c r="L61" i="3"/>
  <c r="D62" i="3"/>
  <c r="G62" i="3"/>
  <c r="B62" i="3"/>
  <c r="C62" i="3"/>
  <c r="L62" i="3"/>
  <c r="D63" i="3"/>
  <c r="G63" i="3"/>
  <c r="B63" i="3"/>
  <c r="C63" i="3"/>
  <c r="L63" i="3"/>
  <c r="D64" i="3"/>
  <c r="G64" i="3"/>
  <c r="B64" i="3"/>
  <c r="C64" i="3"/>
  <c r="L64" i="3"/>
  <c r="D65" i="3"/>
  <c r="G65" i="3"/>
  <c r="B65" i="3"/>
  <c r="C65" i="3"/>
  <c r="L65" i="3"/>
  <c r="D66" i="3"/>
  <c r="G66" i="3"/>
  <c r="B66" i="3"/>
  <c r="C66" i="3"/>
  <c r="L66" i="3"/>
  <c r="D67" i="3"/>
  <c r="G67" i="3"/>
  <c r="B67" i="3"/>
  <c r="C67" i="3"/>
  <c r="L67" i="3"/>
  <c r="D68" i="3"/>
  <c r="G68" i="3"/>
  <c r="B68" i="3"/>
  <c r="C68" i="3"/>
  <c r="L68" i="3"/>
  <c r="D69" i="3"/>
  <c r="G69" i="3"/>
  <c r="B69" i="3"/>
  <c r="C69" i="3"/>
  <c r="L69" i="3"/>
  <c r="D70" i="3"/>
  <c r="G70" i="3"/>
  <c r="B70" i="3"/>
  <c r="C70" i="3"/>
  <c r="L70" i="3"/>
  <c r="D71" i="3"/>
  <c r="G71" i="3"/>
  <c r="B71" i="3"/>
  <c r="C71" i="3"/>
  <c r="L71" i="3"/>
  <c r="D72" i="3"/>
  <c r="G72" i="3"/>
  <c r="B72" i="3"/>
  <c r="C72" i="3"/>
  <c r="L72" i="3"/>
  <c r="D73" i="3"/>
  <c r="G73" i="3"/>
  <c r="B73" i="3"/>
  <c r="C73" i="3"/>
  <c r="L73" i="3"/>
  <c r="D74" i="3"/>
  <c r="G74" i="3"/>
  <c r="B74" i="3"/>
  <c r="C74" i="3"/>
  <c r="L74" i="3"/>
  <c r="D75" i="3"/>
  <c r="G75" i="3"/>
  <c r="B75" i="3"/>
  <c r="C75" i="3"/>
  <c r="L75" i="3"/>
  <c r="D76" i="3"/>
  <c r="G76" i="3"/>
  <c r="B76" i="3"/>
  <c r="C76" i="3"/>
  <c r="L76" i="3"/>
  <c r="D77" i="3"/>
  <c r="G77" i="3"/>
  <c r="B77" i="3"/>
  <c r="C77" i="3"/>
  <c r="L77" i="3"/>
  <c r="D78" i="3"/>
  <c r="G78" i="3"/>
  <c r="B78" i="3"/>
  <c r="C78" i="3"/>
  <c r="L78" i="3"/>
  <c r="D79" i="3"/>
  <c r="G79" i="3"/>
  <c r="B79" i="3"/>
  <c r="C79" i="3"/>
  <c r="L79" i="3"/>
  <c r="D80" i="3"/>
  <c r="G80" i="3"/>
  <c r="B80" i="3"/>
  <c r="C80" i="3"/>
  <c r="L80" i="3"/>
  <c r="D81" i="3"/>
  <c r="G81" i="3"/>
  <c r="B81" i="3"/>
  <c r="C81" i="3"/>
  <c r="L81" i="3"/>
  <c r="D82" i="3"/>
  <c r="G82" i="3"/>
  <c r="B82" i="3"/>
  <c r="C82" i="3"/>
  <c r="L82" i="3"/>
  <c r="D83" i="3"/>
  <c r="G83" i="3"/>
  <c r="B83" i="3"/>
  <c r="C83" i="3"/>
  <c r="L83" i="3"/>
  <c r="D84" i="3"/>
  <c r="G84" i="3"/>
  <c r="B84" i="3"/>
  <c r="C84" i="3"/>
  <c r="L84" i="3"/>
  <c r="D85" i="3"/>
  <c r="G85" i="3"/>
  <c r="B85" i="3"/>
  <c r="C85" i="3"/>
  <c r="L85" i="3"/>
  <c r="D86" i="3"/>
  <c r="G86" i="3"/>
  <c r="B86" i="3"/>
  <c r="C86" i="3"/>
  <c r="L86" i="3"/>
  <c r="D87" i="3"/>
  <c r="G87" i="3"/>
  <c r="B87" i="3"/>
  <c r="C87" i="3"/>
  <c r="L87" i="3"/>
  <c r="D88" i="3"/>
  <c r="G88" i="3"/>
  <c r="B88" i="3"/>
  <c r="C88" i="3"/>
  <c r="L88" i="3"/>
  <c r="D89" i="3"/>
  <c r="G89" i="3"/>
  <c r="B89" i="3"/>
  <c r="C89" i="3"/>
  <c r="L89" i="3"/>
  <c r="D90" i="3"/>
  <c r="G90" i="3"/>
  <c r="B90" i="3"/>
  <c r="C90" i="3"/>
  <c r="L90" i="3"/>
  <c r="D91" i="3"/>
  <c r="G91" i="3"/>
  <c r="B91" i="3"/>
  <c r="C91" i="3"/>
  <c r="L91" i="3"/>
  <c r="D92" i="3"/>
  <c r="G92" i="3"/>
  <c r="B92" i="3"/>
  <c r="C92" i="3"/>
  <c r="L92" i="3"/>
  <c r="D93" i="3"/>
  <c r="G93" i="3"/>
  <c r="B93" i="3"/>
  <c r="C93" i="3"/>
  <c r="L93" i="3"/>
  <c r="D94" i="3"/>
  <c r="G94" i="3"/>
  <c r="B94" i="3"/>
  <c r="C94" i="3"/>
  <c r="L94" i="3"/>
  <c r="D95" i="3"/>
  <c r="G95" i="3"/>
  <c r="B95" i="3"/>
  <c r="C95" i="3"/>
  <c r="L95" i="3"/>
  <c r="D96" i="3"/>
  <c r="G96" i="3"/>
  <c r="B96" i="3"/>
  <c r="C96" i="3"/>
  <c r="L96" i="3"/>
  <c r="D97" i="3"/>
  <c r="G97" i="3"/>
  <c r="B97" i="3"/>
  <c r="C97" i="3"/>
  <c r="L97" i="3"/>
  <c r="D98" i="3"/>
  <c r="G98" i="3"/>
  <c r="B98" i="3"/>
  <c r="C98" i="3"/>
  <c r="L98" i="3"/>
  <c r="D99" i="3"/>
  <c r="G99" i="3"/>
  <c r="B99" i="3"/>
  <c r="C99" i="3"/>
  <c r="L99" i="3"/>
  <c r="D100" i="3"/>
  <c r="G100" i="3"/>
  <c r="B100" i="3"/>
  <c r="C100" i="3"/>
  <c r="L100" i="3"/>
  <c r="D101" i="3"/>
  <c r="G101" i="3"/>
  <c r="B101" i="3"/>
  <c r="C101" i="3"/>
  <c r="L101" i="3"/>
  <c r="D102" i="3"/>
  <c r="G102" i="3"/>
  <c r="B102" i="3"/>
  <c r="C102" i="3"/>
  <c r="L102" i="3"/>
  <c r="D103" i="3"/>
  <c r="G103" i="3"/>
  <c r="B103" i="3"/>
  <c r="C103" i="3"/>
  <c r="L103" i="3"/>
  <c r="D104" i="3"/>
  <c r="G104" i="3"/>
  <c r="B104" i="3"/>
  <c r="C104" i="3"/>
  <c r="L104" i="3"/>
  <c r="D105" i="3"/>
  <c r="G105" i="3"/>
  <c r="B105" i="3"/>
  <c r="C105" i="3"/>
  <c r="L105" i="3"/>
  <c r="D106" i="3"/>
  <c r="G106" i="3"/>
  <c r="B106" i="3"/>
  <c r="C106" i="3"/>
  <c r="L106" i="3"/>
  <c r="D107" i="3"/>
  <c r="G107" i="3"/>
  <c r="B107" i="3"/>
  <c r="C107" i="3"/>
  <c r="L107" i="3"/>
  <c r="D108" i="3"/>
  <c r="G108" i="3"/>
  <c r="B108" i="3"/>
  <c r="C108" i="3"/>
  <c r="L108" i="3"/>
  <c r="D109" i="3"/>
  <c r="G109" i="3"/>
  <c r="B109" i="3"/>
  <c r="C109" i="3"/>
  <c r="L109" i="3"/>
  <c r="D110" i="3"/>
  <c r="G110" i="3"/>
  <c r="B110" i="3"/>
  <c r="C110" i="3"/>
  <c r="L110" i="3"/>
  <c r="D111" i="3"/>
  <c r="G111" i="3"/>
  <c r="B111" i="3"/>
  <c r="C111" i="3"/>
  <c r="L111" i="3"/>
  <c r="D112" i="3"/>
  <c r="G112" i="3"/>
  <c r="B112" i="3"/>
  <c r="C112" i="3"/>
  <c r="L112" i="3"/>
  <c r="D113" i="3"/>
  <c r="G113" i="3"/>
  <c r="B113" i="3"/>
  <c r="C113" i="3"/>
  <c r="L113" i="3"/>
  <c r="D114" i="3"/>
  <c r="G114" i="3"/>
  <c r="B114" i="3"/>
  <c r="C114" i="3"/>
  <c r="L114" i="3"/>
  <c r="D115" i="3"/>
  <c r="G115" i="3"/>
  <c r="B115" i="3"/>
  <c r="C115" i="3"/>
  <c r="L115" i="3"/>
  <c r="D116" i="3"/>
  <c r="G116" i="3"/>
  <c r="B116" i="3"/>
  <c r="C116" i="3"/>
  <c r="L116" i="3"/>
  <c r="D117" i="3"/>
  <c r="G117" i="3"/>
  <c r="B117" i="3"/>
  <c r="C117" i="3"/>
  <c r="L117" i="3"/>
  <c r="D118" i="3"/>
  <c r="G118" i="3"/>
  <c r="B118" i="3"/>
  <c r="C118" i="3"/>
  <c r="L118" i="3"/>
  <c r="D119" i="3"/>
  <c r="G119" i="3"/>
  <c r="B119" i="3"/>
  <c r="C119" i="3"/>
  <c r="L119" i="3"/>
  <c r="D120" i="3"/>
  <c r="G120" i="3"/>
  <c r="B120" i="3"/>
  <c r="C120" i="3"/>
  <c r="L120" i="3"/>
  <c r="D121" i="3"/>
  <c r="G121" i="3"/>
  <c r="B121" i="3"/>
  <c r="C121" i="3"/>
  <c r="L121" i="3"/>
  <c r="D122" i="3"/>
  <c r="G122" i="3"/>
  <c r="B122" i="3"/>
  <c r="C122" i="3"/>
  <c r="L122" i="3"/>
  <c r="D123" i="3"/>
  <c r="G123" i="3"/>
  <c r="B123" i="3"/>
  <c r="C123" i="3"/>
  <c r="L123" i="3"/>
  <c r="D124" i="3"/>
  <c r="G124" i="3"/>
  <c r="B124" i="3"/>
  <c r="C124" i="3"/>
  <c r="L124" i="3"/>
  <c r="D125" i="3"/>
  <c r="G125" i="3"/>
  <c r="B125" i="3"/>
  <c r="C125" i="3"/>
  <c r="L125" i="3"/>
  <c r="D126" i="3"/>
  <c r="G126" i="3"/>
  <c r="B126" i="3"/>
  <c r="C126" i="3"/>
  <c r="L126" i="3"/>
  <c r="D127" i="3"/>
  <c r="G127" i="3"/>
  <c r="B127" i="3"/>
  <c r="C127" i="3"/>
  <c r="L127" i="3"/>
  <c r="D128" i="3"/>
  <c r="G128" i="3"/>
  <c r="B128" i="3"/>
  <c r="C128" i="3"/>
  <c r="L128" i="3"/>
  <c r="D129" i="3"/>
  <c r="G129" i="3"/>
  <c r="B129" i="3"/>
  <c r="C129" i="3"/>
  <c r="L129" i="3"/>
  <c r="D130" i="3"/>
  <c r="G130" i="3"/>
  <c r="B130" i="3"/>
  <c r="C130" i="3"/>
  <c r="L130" i="3"/>
  <c r="D131" i="3"/>
  <c r="G131" i="3"/>
  <c r="B131" i="3"/>
  <c r="C131" i="3"/>
  <c r="L131" i="3"/>
  <c r="D132" i="3"/>
  <c r="G132" i="3"/>
  <c r="B132" i="3"/>
  <c r="C132" i="3"/>
  <c r="L132" i="3"/>
  <c r="D133" i="3"/>
  <c r="G133" i="3"/>
  <c r="B133" i="3"/>
  <c r="C133" i="3"/>
  <c r="L133" i="3"/>
  <c r="D134" i="3"/>
  <c r="G134" i="3"/>
  <c r="B134" i="3"/>
  <c r="C134" i="3"/>
  <c r="L134" i="3"/>
  <c r="D135" i="3"/>
  <c r="G135" i="3"/>
  <c r="B135" i="3"/>
  <c r="C135" i="3"/>
  <c r="L135" i="3"/>
  <c r="D136" i="3"/>
  <c r="G136" i="3"/>
  <c r="B136" i="3"/>
  <c r="C136" i="3"/>
  <c r="L136" i="3"/>
  <c r="D137" i="3"/>
  <c r="G137" i="3"/>
  <c r="B137" i="3"/>
  <c r="C137" i="3"/>
  <c r="L137" i="3"/>
  <c r="D138" i="3"/>
  <c r="G138" i="3"/>
  <c r="B138" i="3"/>
  <c r="C138" i="3"/>
  <c r="L138" i="3"/>
  <c r="D139" i="3"/>
  <c r="G139" i="3"/>
  <c r="B139" i="3"/>
  <c r="C139" i="3"/>
  <c r="L139" i="3"/>
  <c r="D140" i="3"/>
  <c r="G140" i="3"/>
  <c r="B140" i="3"/>
  <c r="C140" i="3"/>
  <c r="L140" i="3"/>
  <c r="D141" i="3"/>
  <c r="G141" i="3"/>
  <c r="B141" i="3"/>
  <c r="C141" i="3"/>
  <c r="L141" i="3"/>
  <c r="D142" i="3"/>
  <c r="G142" i="3"/>
  <c r="B142" i="3"/>
  <c r="C142" i="3"/>
  <c r="L142" i="3"/>
  <c r="D143" i="3"/>
  <c r="G143" i="3"/>
  <c r="B143" i="3"/>
  <c r="C143" i="3"/>
  <c r="L143" i="3"/>
  <c r="D144" i="3"/>
  <c r="G144" i="3"/>
  <c r="B144" i="3"/>
  <c r="C144" i="3"/>
  <c r="L144" i="3"/>
  <c r="D145" i="3"/>
  <c r="G145" i="3"/>
  <c r="B145" i="3"/>
  <c r="C145" i="3"/>
  <c r="L145" i="3"/>
  <c r="D146" i="3"/>
  <c r="G146" i="3"/>
  <c r="B146" i="3"/>
  <c r="C146" i="3"/>
  <c r="L146" i="3"/>
  <c r="D147" i="3"/>
  <c r="G147" i="3"/>
  <c r="B147" i="3"/>
  <c r="C147" i="3"/>
  <c r="L147" i="3"/>
  <c r="D148" i="3"/>
  <c r="G148" i="3"/>
  <c r="B148" i="3"/>
  <c r="C148" i="3"/>
  <c r="L148" i="3"/>
  <c r="D149" i="3"/>
  <c r="G149" i="3"/>
  <c r="B149" i="3"/>
  <c r="C149" i="3"/>
  <c r="L149" i="3"/>
  <c r="D150" i="3"/>
  <c r="G150" i="3"/>
  <c r="B150" i="3"/>
  <c r="C150" i="3"/>
  <c r="L150" i="3"/>
  <c r="D151" i="3"/>
  <c r="G151" i="3"/>
  <c r="B151" i="3"/>
  <c r="C151" i="3"/>
  <c r="L151" i="3"/>
  <c r="D152" i="3"/>
  <c r="G152" i="3"/>
  <c r="B152" i="3"/>
  <c r="C152" i="3"/>
  <c r="L152" i="3"/>
  <c r="B11" i="4"/>
  <c r="A2" i="3"/>
  <c r="M2" i="3"/>
  <c r="A3" i="3"/>
  <c r="M3" i="3"/>
  <c r="A4" i="3"/>
  <c r="M4" i="3"/>
  <c r="A5" i="3"/>
  <c r="M5" i="3"/>
  <c r="A6" i="3"/>
  <c r="M6" i="3"/>
  <c r="A7" i="3"/>
  <c r="M7" i="3"/>
  <c r="A8" i="3"/>
  <c r="M8" i="3"/>
  <c r="A9" i="3"/>
  <c r="M9" i="3"/>
  <c r="A10" i="3"/>
  <c r="M10" i="3"/>
  <c r="A11" i="3"/>
  <c r="M11" i="3"/>
  <c r="A12" i="3"/>
  <c r="M12" i="3"/>
  <c r="A13" i="3"/>
  <c r="M13" i="3"/>
  <c r="A14" i="3"/>
  <c r="M14" i="3"/>
  <c r="A15" i="3"/>
  <c r="M15" i="3"/>
  <c r="A16" i="3"/>
  <c r="M16" i="3"/>
  <c r="A17" i="3"/>
  <c r="M17" i="3"/>
  <c r="A18" i="3"/>
  <c r="M18" i="3"/>
  <c r="A19" i="3"/>
  <c r="M19" i="3"/>
  <c r="A20" i="3"/>
  <c r="M20" i="3"/>
  <c r="A21" i="3"/>
  <c r="M21" i="3"/>
  <c r="A22" i="3"/>
  <c r="M22" i="3"/>
  <c r="A23" i="3"/>
  <c r="M23" i="3"/>
  <c r="A24" i="3"/>
  <c r="M24" i="3"/>
  <c r="A25" i="3"/>
  <c r="M25" i="3"/>
  <c r="A26" i="3"/>
  <c r="M26" i="3"/>
  <c r="A27" i="3"/>
  <c r="M27" i="3"/>
  <c r="A28" i="3"/>
  <c r="M28" i="3"/>
  <c r="A29" i="3"/>
  <c r="M29" i="3"/>
  <c r="A30" i="3"/>
  <c r="M30" i="3"/>
  <c r="A31" i="3"/>
  <c r="M31" i="3"/>
  <c r="A32" i="3"/>
  <c r="M32" i="3"/>
  <c r="A33" i="3"/>
  <c r="M33" i="3"/>
  <c r="A34" i="3"/>
  <c r="M34" i="3"/>
  <c r="A35" i="3"/>
  <c r="M35" i="3"/>
  <c r="A36" i="3"/>
  <c r="M36" i="3"/>
  <c r="A37" i="3"/>
  <c r="M37" i="3"/>
  <c r="A38" i="3"/>
  <c r="M38" i="3"/>
  <c r="A39" i="3"/>
  <c r="M39" i="3"/>
  <c r="A40" i="3"/>
  <c r="M40" i="3"/>
  <c r="A41" i="3"/>
  <c r="M41" i="3"/>
  <c r="A42" i="3"/>
  <c r="M42" i="3"/>
  <c r="A43" i="3"/>
  <c r="M43" i="3"/>
  <c r="A44" i="3"/>
  <c r="M44" i="3"/>
  <c r="A45" i="3"/>
  <c r="M45" i="3"/>
  <c r="A46" i="3"/>
  <c r="M46" i="3"/>
  <c r="A47" i="3"/>
  <c r="M47" i="3"/>
  <c r="A48" i="3"/>
  <c r="M48" i="3"/>
  <c r="A49" i="3"/>
  <c r="M49" i="3"/>
  <c r="A50" i="3"/>
  <c r="M50" i="3"/>
  <c r="A51" i="3"/>
  <c r="M51" i="3"/>
  <c r="A52" i="3"/>
  <c r="M52" i="3"/>
  <c r="A53" i="3"/>
  <c r="M53" i="3"/>
  <c r="A54" i="3"/>
  <c r="M54" i="3"/>
  <c r="A55" i="3"/>
  <c r="M55" i="3"/>
  <c r="A56" i="3"/>
  <c r="M56" i="3"/>
  <c r="A57" i="3"/>
  <c r="M57" i="3"/>
  <c r="A58" i="3"/>
  <c r="M58" i="3"/>
  <c r="A59" i="3"/>
  <c r="M59" i="3"/>
  <c r="A60" i="3"/>
  <c r="M60" i="3"/>
  <c r="A61" i="3"/>
  <c r="M61" i="3"/>
  <c r="A62" i="3"/>
  <c r="M62" i="3"/>
  <c r="A63" i="3"/>
  <c r="M63" i="3"/>
  <c r="A64" i="3"/>
  <c r="M64" i="3"/>
  <c r="A65" i="3"/>
  <c r="M65" i="3"/>
  <c r="A66" i="3"/>
  <c r="M66" i="3"/>
  <c r="A67" i="3"/>
  <c r="M67" i="3"/>
  <c r="A68" i="3"/>
  <c r="M68" i="3"/>
  <c r="A69" i="3"/>
  <c r="M69" i="3"/>
  <c r="A70" i="3"/>
  <c r="M70" i="3"/>
  <c r="A71" i="3"/>
  <c r="M71" i="3"/>
  <c r="A72" i="3"/>
  <c r="M72" i="3"/>
  <c r="A73" i="3"/>
  <c r="M73" i="3"/>
  <c r="A74" i="3"/>
  <c r="M74" i="3"/>
  <c r="A75" i="3"/>
  <c r="M75" i="3"/>
  <c r="A76" i="3"/>
  <c r="M76" i="3"/>
  <c r="A77" i="3"/>
  <c r="M77" i="3"/>
  <c r="A78" i="3"/>
  <c r="M78" i="3"/>
  <c r="A79" i="3"/>
  <c r="M79" i="3"/>
  <c r="A80" i="3"/>
  <c r="M80" i="3"/>
  <c r="A81" i="3"/>
  <c r="M81" i="3"/>
  <c r="A82" i="3"/>
  <c r="M82" i="3"/>
  <c r="A83" i="3"/>
  <c r="M83" i="3"/>
  <c r="A84" i="3"/>
  <c r="M84" i="3"/>
  <c r="A85" i="3"/>
  <c r="M85" i="3"/>
  <c r="A86" i="3"/>
  <c r="M86" i="3"/>
  <c r="A87" i="3"/>
  <c r="M87" i="3"/>
  <c r="A88" i="3"/>
  <c r="M88" i="3"/>
  <c r="A89" i="3"/>
  <c r="M89" i="3"/>
  <c r="A90" i="3"/>
  <c r="M90" i="3"/>
  <c r="A91" i="3"/>
  <c r="M91" i="3"/>
  <c r="A92" i="3"/>
  <c r="M92" i="3"/>
  <c r="A93" i="3"/>
  <c r="M93" i="3"/>
  <c r="A94" i="3"/>
  <c r="M94" i="3"/>
  <c r="A95" i="3"/>
  <c r="M95" i="3"/>
  <c r="A96" i="3"/>
  <c r="M96" i="3"/>
  <c r="A97" i="3"/>
  <c r="M97" i="3"/>
  <c r="A98" i="3"/>
  <c r="M98" i="3"/>
  <c r="A99" i="3"/>
  <c r="M99" i="3"/>
  <c r="A100" i="3"/>
  <c r="M100" i="3"/>
  <c r="A101" i="3"/>
  <c r="M101" i="3"/>
  <c r="A102" i="3"/>
  <c r="M102" i="3"/>
  <c r="A103" i="3"/>
  <c r="M103" i="3"/>
  <c r="A104" i="3"/>
  <c r="M104" i="3"/>
  <c r="A105" i="3"/>
  <c r="M105" i="3"/>
  <c r="A106" i="3"/>
  <c r="M106" i="3"/>
  <c r="A107" i="3"/>
  <c r="M107" i="3"/>
  <c r="A108" i="3"/>
  <c r="M108" i="3"/>
  <c r="A109" i="3"/>
  <c r="M109" i="3"/>
  <c r="A110" i="3"/>
  <c r="M110" i="3"/>
  <c r="A111" i="3"/>
  <c r="M111" i="3"/>
  <c r="A112" i="3"/>
  <c r="M112" i="3"/>
  <c r="A113" i="3"/>
  <c r="M113" i="3"/>
  <c r="A114" i="3"/>
  <c r="M114" i="3"/>
  <c r="A115" i="3"/>
  <c r="M115" i="3"/>
  <c r="A116" i="3"/>
  <c r="M116" i="3"/>
  <c r="A117" i="3"/>
  <c r="M117" i="3"/>
  <c r="A118" i="3"/>
  <c r="M118" i="3"/>
  <c r="A119" i="3"/>
  <c r="M119" i="3"/>
  <c r="A120" i="3"/>
  <c r="M120" i="3"/>
  <c r="A121" i="3"/>
  <c r="M121" i="3"/>
  <c r="A122" i="3"/>
  <c r="M122" i="3"/>
  <c r="A123" i="3"/>
  <c r="M123" i="3"/>
  <c r="A124" i="3"/>
  <c r="M124" i="3"/>
  <c r="A125" i="3"/>
  <c r="M125" i="3"/>
  <c r="A126" i="3"/>
  <c r="M126" i="3"/>
  <c r="A127" i="3"/>
  <c r="M127" i="3"/>
  <c r="A128" i="3"/>
  <c r="M128" i="3"/>
  <c r="A129" i="3"/>
  <c r="M129" i="3"/>
  <c r="A130" i="3"/>
  <c r="M130" i="3"/>
  <c r="A131" i="3"/>
  <c r="M131" i="3"/>
  <c r="A132" i="3"/>
  <c r="M132" i="3"/>
  <c r="A133" i="3"/>
  <c r="M133" i="3"/>
  <c r="A134" i="3"/>
  <c r="M134" i="3"/>
  <c r="A135" i="3"/>
  <c r="M135" i="3"/>
  <c r="A136" i="3"/>
  <c r="M136" i="3"/>
  <c r="A137" i="3"/>
  <c r="M137" i="3"/>
  <c r="A138" i="3"/>
  <c r="M138" i="3"/>
  <c r="A139" i="3"/>
  <c r="M139" i="3"/>
  <c r="A140" i="3"/>
  <c r="M140" i="3"/>
  <c r="A141" i="3"/>
  <c r="M141" i="3"/>
  <c r="A142" i="3"/>
  <c r="M142" i="3"/>
  <c r="A143" i="3"/>
  <c r="M143" i="3"/>
  <c r="A144" i="3"/>
  <c r="M144" i="3"/>
  <c r="A145" i="3"/>
  <c r="M145" i="3"/>
  <c r="A146" i="3"/>
  <c r="M146" i="3"/>
  <c r="A147" i="3"/>
  <c r="M147" i="3"/>
  <c r="A148" i="3"/>
  <c r="M148" i="3"/>
  <c r="A149" i="3"/>
  <c r="M149" i="3"/>
  <c r="A150" i="3"/>
  <c r="M150" i="3"/>
  <c r="A151" i="3"/>
  <c r="M151" i="3"/>
  <c r="A152" i="3"/>
  <c r="M152" i="3"/>
  <c r="B10" i="4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B9" i="4"/>
  <c r="P2" i="3"/>
  <c r="S2" i="3"/>
  <c r="P3" i="3"/>
  <c r="S3" i="3"/>
  <c r="P4" i="3"/>
  <c r="S4" i="3"/>
  <c r="P5" i="3"/>
  <c r="S5" i="3"/>
  <c r="P6" i="3"/>
  <c r="S6" i="3"/>
  <c r="P7" i="3"/>
  <c r="S7" i="3"/>
  <c r="P8" i="3"/>
  <c r="S8" i="3"/>
  <c r="P9" i="3"/>
  <c r="S9" i="3"/>
  <c r="P10" i="3"/>
  <c r="S10" i="3"/>
  <c r="P11" i="3"/>
  <c r="S11" i="3"/>
  <c r="P12" i="3"/>
  <c r="S12" i="3"/>
  <c r="P13" i="3"/>
  <c r="S13" i="3"/>
  <c r="P14" i="3"/>
  <c r="S14" i="3"/>
  <c r="P15" i="3"/>
  <c r="S15" i="3"/>
  <c r="P16" i="3"/>
  <c r="S16" i="3"/>
  <c r="P17" i="3"/>
  <c r="S17" i="3"/>
  <c r="P18" i="3"/>
  <c r="S18" i="3"/>
  <c r="P19" i="3"/>
  <c r="S19" i="3"/>
  <c r="P20" i="3"/>
  <c r="S20" i="3"/>
  <c r="P21" i="3"/>
  <c r="S21" i="3"/>
  <c r="P22" i="3"/>
  <c r="S22" i="3"/>
  <c r="P23" i="3"/>
  <c r="S23" i="3"/>
  <c r="P24" i="3"/>
  <c r="S24" i="3"/>
  <c r="P25" i="3"/>
  <c r="S25" i="3"/>
  <c r="P26" i="3"/>
  <c r="S26" i="3"/>
  <c r="P27" i="3"/>
  <c r="S27" i="3"/>
  <c r="P28" i="3"/>
  <c r="S28" i="3"/>
  <c r="P29" i="3"/>
  <c r="S29" i="3"/>
  <c r="P30" i="3"/>
  <c r="S30" i="3"/>
  <c r="P31" i="3"/>
  <c r="S31" i="3"/>
  <c r="P32" i="3"/>
  <c r="S32" i="3"/>
  <c r="P33" i="3"/>
  <c r="S33" i="3"/>
  <c r="P34" i="3"/>
  <c r="S34" i="3"/>
  <c r="P35" i="3"/>
  <c r="S35" i="3"/>
  <c r="P36" i="3"/>
  <c r="S36" i="3"/>
  <c r="P37" i="3"/>
  <c r="S37" i="3"/>
  <c r="P38" i="3"/>
  <c r="S38" i="3"/>
  <c r="P39" i="3"/>
  <c r="S39" i="3"/>
  <c r="P40" i="3"/>
  <c r="S40" i="3"/>
  <c r="P41" i="3"/>
  <c r="S41" i="3"/>
  <c r="P42" i="3"/>
  <c r="S42" i="3"/>
  <c r="P43" i="3"/>
  <c r="S43" i="3"/>
  <c r="P44" i="3"/>
  <c r="S44" i="3"/>
  <c r="P45" i="3"/>
  <c r="S45" i="3"/>
  <c r="P46" i="3"/>
  <c r="S46" i="3"/>
  <c r="P47" i="3"/>
  <c r="S47" i="3"/>
  <c r="P48" i="3"/>
  <c r="S48" i="3"/>
  <c r="P49" i="3"/>
  <c r="S49" i="3"/>
  <c r="P50" i="3"/>
  <c r="S50" i="3"/>
  <c r="P51" i="3"/>
  <c r="S51" i="3"/>
  <c r="P52" i="3"/>
  <c r="S52" i="3"/>
  <c r="P53" i="3"/>
  <c r="S53" i="3"/>
  <c r="P54" i="3"/>
  <c r="S54" i="3"/>
  <c r="P55" i="3"/>
  <c r="S55" i="3"/>
  <c r="P56" i="3"/>
  <c r="S56" i="3"/>
  <c r="P57" i="3"/>
  <c r="S57" i="3"/>
  <c r="P58" i="3"/>
  <c r="S58" i="3"/>
  <c r="P59" i="3"/>
  <c r="S59" i="3"/>
  <c r="P60" i="3"/>
  <c r="S60" i="3"/>
  <c r="P61" i="3"/>
  <c r="S61" i="3"/>
  <c r="P62" i="3"/>
  <c r="S62" i="3"/>
  <c r="P63" i="3"/>
  <c r="S63" i="3"/>
  <c r="P64" i="3"/>
  <c r="S64" i="3"/>
  <c r="P65" i="3"/>
  <c r="S65" i="3"/>
  <c r="P66" i="3"/>
  <c r="S66" i="3"/>
  <c r="P67" i="3"/>
  <c r="S67" i="3"/>
  <c r="P68" i="3"/>
  <c r="S68" i="3"/>
  <c r="P69" i="3"/>
  <c r="S69" i="3"/>
  <c r="P70" i="3"/>
  <c r="S70" i="3"/>
  <c r="P71" i="3"/>
  <c r="S71" i="3"/>
  <c r="P72" i="3"/>
  <c r="S72" i="3"/>
  <c r="P73" i="3"/>
  <c r="S73" i="3"/>
  <c r="P74" i="3"/>
  <c r="S74" i="3"/>
  <c r="P75" i="3"/>
  <c r="S75" i="3"/>
  <c r="P76" i="3"/>
  <c r="S76" i="3"/>
  <c r="P77" i="3"/>
  <c r="S77" i="3"/>
  <c r="P78" i="3"/>
  <c r="S78" i="3"/>
  <c r="P79" i="3"/>
  <c r="S79" i="3"/>
  <c r="P80" i="3"/>
  <c r="S80" i="3"/>
  <c r="P81" i="3"/>
  <c r="S81" i="3"/>
  <c r="P82" i="3"/>
  <c r="S82" i="3"/>
  <c r="P83" i="3"/>
  <c r="S83" i="3"/>
  <c r="P84" i="3"/>
  <c r="S84" i="3"/>
  <c r="P85" i="3"/>
  <c r="S85" i="3"/>
  <c r="P86" i="3"/>
  <c r="S86" i="3"/>
  <c r="P87" i="3"/>
  <c r="S87" i="3"/>
  <c r="P88" i="3"/>
  <c r="S88" i="3"/>
  <c r="P89" i="3"/>
  <c r="S89" i="3"/>
  <c r="P90" i="3"/>
  <c r="S90" i="3"/>
  <c r="P91" i="3"/>
  <c r="S91" i="3"/>
  <c r="P92" i="3"/>
  <c r="S92" i="3"/>
  <c r="P93" i="3"/>
  <c r="S93" i="3"/>
  <c r="P94" i="3"/>
  <c r="S94" i="3"/>
  <c r="P95" i="3"/>
  <c r="S95" i="3"/>
  <c r="P96" i="3"/>
  <c r="S96" i="3"/>
  <c r="P97" i="3"/>
  <c r="S97" i="3"/>
  <c r="P98" i="3"/>
  <c r="S98" i="3"/>
  <c r="P99" i="3"/>
  <c r="S99" i="3"/>
  <c r="P100" i="3"/>
  <c r="S100" i="3"/>
  <c r="P101" i="3"/>
  <c r="S101" i="3"/>
  <c r="P102" i="3"/>
  <c r="S102" i="3"/>
  <c r="P103" i="3"/>
  <c r="S103" i="3"/>
  <c r="P104" i="3"/>
  <c r="S104" i="3"/>
  <c r="P105" i="3"/>
  <c r="S105" i="3"/>
  <c r="P106" i="3"/>
  <c r="S106" i="3"/>
  <c r="P107" i="3"/>
  <c r="S107" i="3"/>
  <c r="P108" i="3"/>
  <c r="S108" i="3"/>
  <c r="P109" i="3"/>
  <c r="S109" i="3"/>
  <c r="P110" i="3"/>
  <c r="S110" i="3"/>
  <c r="P111" i="3"/>
  <c r="S111" i="3"/>
  <c r="P112" i="3"/>
  <c r="S112" i="3"/>
  <c r="P113" i="3"/>
  <c r="S113" i="3"/>
  <c r="P114" i="3"/>
  <c r="S114" i="3"/>
  <c r="P115" i="3"/>
  <c r="S115" i="3"/>
  <c r="P116" i="3"/>
  <c r="S116" i="3"/>
  <c r="P117" i="3"/>
  <c r="S117" i="3"/>
  <c r="P118" i="3"/>
  <c r="S118" i="3"/>
  <c r="P119" i="3"/>
  <c r="S119" i="3"/>
  <c r="P120" i="3"/>
  <c r="S120" i="3"/>
  <c r="P121" i="3"/>
  <c r="S121" i="3"/>
  <c r="P122" i="3"/>
  <c r="S122" i="3"/>
  <c r="P123" i="3"/>
  <c r="S123" i="3"/>
  <c r="P124" i="3"/>
  <c r="S124" i="3"/>
  <c r="P125" i="3"/>
  <c r="S125" i="3"/>
  <c r="P126" i="3"/>
  <c r="S126" i="3"/>
  <c r="P127" i="3"/>
  <c r="S127" i="3"/>
  <c r="P128" i="3"/>
  <c r="S128" i="3"/>
  <c r="P129" i="3"/>
  <c r="S129" i="3"/>
  <c r="P130" i="3"/>
  <c r="S130" i="3"/>
  <c r="P131" i="3"/>
  <c r="S131" i="3"/>
  <c r="P132" i="3"/>
  <c r="S132" i="3"/>
  <c r="P133" i="3"/>
  <c r="S133" i="3"/>
  <c r="P134" i="3"/>
  <c r="S134" i="3"/>
  <c r="P135" i="3"/>
  <c r="S135" i="3"/>
  <c r="P136" i="3"/>
  <c r="S136" i="3"/>
  <c r="P137" i="3"/>
  <c r="S137" i="3"/>
  <c r="P138" i="3"/>
  <c r="S138" i="3"/>
  <c r="P139" i="3"/>
  <c r="S139" i="3"/>
  <c r="P140" i="3"/>
  <c r="S140" i="3"/>
  <c r="P141" i="3"/>
  <c r="S141" i="3"/>
  <c r="P142" i="3"/>
  <c r="S142" i="3"/>
  <c r="P143" i="3"/>
  <c r="S143" i="3"/>
  <c r="P144" i="3"/>
  <c r="S144" i="3"/>
  <c r="P145" i="3"/>
  <c r="S145" i="3"/>
  <c r="P146" i="3"/>
  <c r="S146" i="3"/>
  <c r="P147" i="3"/>
  <c r="S147" i="3"/>
  <c r="P148" i="3"/>
  <c r="S148" i="3"/>
  <c r="P149" i="3"/>
  <c r="S149" i="3"/>
  <c r="P150" i="3"/>
  <c r="S150" i="3"/>
  <c r="P151" i="3"/>
  <c r="S151" i="3"/>
  <c r="P152" i="3"/>
  <c r="S152" i="3"/>
  <c r="B8" i="4"/>
  <c r="B7" i="4"/>
  <c r="B6" i="4"/>
  <c r="B5" i="4"/>
  <c r="B4" i="4"/>
  <c r="B3" i="4"/>
  <c r="T152" i="3"/>
  <c r="Q152" i="3"/>
  <c r="O2" i="3"/>
  <c r="F3" i="3"/>
  <c r="Q3" i="3"/>
  <c r="O3" i="3"/>
  <c r="F4" i="3"/>
  <c r="Q4" i="3"/>
  <c r="O4" i="3"/>
  <c r="F5" i="3"/>
  <c r="Q5" i="3"/>
  <c r="O5" i="3"/>
  <c r="F6" i="3"/>
  <c r="Q6" i="3"/>
  <c r="O6" i="3"/>
  <c r="F7" i="3"/>
  <c r="Q7" i="3"/>
  <c r="O7" i="3"/>
  <c r="F8" i="3"/>
  <c r="Q8" i="3"/>
  <c r="O8" i="3"/>
  <c r="Q9" i="3"/>
  <c r="O9" i="3"/>
  <c r="F10" i="3"/>
  <c r="Q10" i="3"/>
  <c r="O10" i="3"/>
  <c r="F11" i="3"/>
  <c r="Q11" i="3"/>
  <c r="O11" i="3"/>
  <c r="F12" i="3"/>
  <c r="Q12" i="3"/>
  <c r="O12" i="3"/>
  <c r="Q13" i="3"/>
  <c r="O13" i="3"/>
  <c r="F14" i="3"/>
  <c r="Q14" i="3"/>
  <c r="O14" i="3"/>
  <c r="F15" i="3"/>
  <c r="Q15" i="3"/>
  <c r="O15" i="3"/>
  <c r="F16" i="3"/>
  <c r="Q16" i="3"/>
  <c r="O16" i="3"/>
  <c r="F17" i="3"/>
  <c r="Q17" i="3"/>
  <c r="O17" i="3"/>
  <c r="Q18" i="3"/>
  <c r="O18" i="3"/>
  <c r="F19" i="3"/>
  <c r="Q19" i="3"/>
  <c r="O19" i="3"/>
  <c r="F20" i="3"/>
  <c r="Q20" i="3"/>
  <c r="O20" i="3"/>
  <c r="F21" i="3"/>
  <c r="Q21" i="3"/>
  <c r="O21" i="3"/>
  <c r="F22" i="3"/>
  <c r="Q22" i="3"/>
  <c r="O22" i="3"/>
  <c r="F23" i="3"/>
  <c r="Q23" i="3"/>
  <c r="O23" i="3"/>
  <c r="F24" i="3"/>
  <c r="Q24" i="3"/>
  <c r="O24" i="3"/>
  <c r="F25" i="3"/>
  <c r="Q25" i="3"/>
  <c r="O25" i="3"/>
  <c r="Q26" i="3"/>
  <c r="O26" i="3"/>
  <c r="Q27" i="3"/>
  <c r="O27" i="3"/>
  <c r="F28" i="3"/>
  <c r="Q28" i="3"/>
  <c r="O28" i="3"/>
  <c r="F29" i="3"/>
  <c r="Q29" i="3"/>
  <c r="O29" i="3"/>
  <c r="F30" i="3"/>
  <c r="Q30" i="3"/>
  <c r="O30" i="3"/>
  <c r="F31" i="3"/>
  <c r="Q31" i="3"/>
  <c r="O31" i="3"/>
  <c r="F32" i="3"/>
  <c r="Q32" i="3"/>
  <c r="O32" i="3"/>
  <c r="F33" i="3"/>
  <c r="Q33" i="3"/>
  <c r="O33" i="3"/>
  <c r="F34" i="3"/>
  <c r="Q34" i="3"/>
  <c r="O34" i="3"/>
  <c r="F35" i="3"/>
  <c r="Q35" i="3"/>
  <c r="O35" i="3"/>
  <c r="Q36" i="3"/>
  <c r="O36" i="3"/>
  <c r="F37" i="3"/>
  <c r="Q37" i="3"/>
  <c r="O37" i="3"/>
  <c r="F38" i="3"/>
  <c r="Q38" i="3"/>
  <c r="O38" i="3"/>
  <c r="Q39" i="3"/>
  <c r="O39" i="3"/>
  <c r="F40" i="3"/>
  <c r="Q40" i="3"/>
  <c r="O40" i="3"/>
  <c r="F41" i="3"/>
  <c r="Q41" i="3"/>
  <c r="O41" i="3"/>
  <c r="F42" i="3"/>
  <c r="Q42" i="3"/>
  <c r="O42" i="3"/>
  <c r="F43" i="3"/>
  <c r="Q43" i="3"/>
  <c r="O43" i="3"/>
  <c r="F44" i="3"/>
  <c r="Q44" i="3"/>
  <c r="O44" i="3"/>
  <c r="Q45" i="3"/>
  <c r="O45" i="3"/>
  <c r="F46" i="3"/>
  <c r="Q46" i="3"/>
  <c r="O46" i="3"/>
  <c r="F47" i="3"/>
  <c r="Q47" i="3"/>
  <c r="O47" i="3"/>
  <c r="F48" i="3"/>
  <c r="Q48" i="3"/>
  <c r="O48" i="3"/>
  <c r="F49" i="3"/>
  <c r="Q49" i="3"/>
  <c r="O49" i="3"/>
  <c r="F50" i="3"/>
  <c r="Q50" i="3"/>
  <c r="O50" i="3"/>
  <c r="F51" i="3"/>
  <c r="Q51" i="3"/>
  <c r="O51" i="3"/>
  <c r="Q52" i="3"/>
  <c r="O52" i="3"/>
  <c r="F53" i="3"/>
  <c r="Q53" i="3"/>
  <c r="O53" i="3"/>
  <c r="Q54" i="3"/>
  <c r="O54" i="3"/>
  <c r="F55" i="3"/>
  <c r="Q55" i="3"/>
  <c r="O55" i="3"/>
  <c r="F56" i="3"/>
  <c r="Q56" i="3"/>
  <c r="O56" i="3"/>
  <c r="F57" i="3"/>
  <c r="Q57" i="3"/>
  <c r="O57" i="3"/>
  <c r="F58" i="3"/>
  <c r="Q58" i="3"/>
  <c r="O58" i="3"/>
  <c r="F59" i="3"/>
  <c r="Q59" i="3"/>
  <c r="O59" i="3"/>
  <c r="F60" i="3"/>
  <c r="Q60" i="3"/>
  <c r="O60" i="3"/>
  <c r="F61" i="3"/>
  <c r="Q61" i="3"/>
  <c r="O61" i="3"/>
  <c r="F62" i="3"/>
  <c r="Q62" i="3"/>
  <c r="O62" i="3"/>
  <c r="Q63" i="3"/>
  <c r="O63" i="3"/>
  <c r="F64" i="3"/>
  <c r="Q64" i="3"/>
  <c r="O64" i="3"/>
  <c r="Q65" i="3"/>
  <c r="O65" i="3"/>
  <c r="F66" i="3"/>
  <c r="Q66" i="3"/>
  <c r="O66" i="3"/>
  <c r="F67" i="3"/>
  <c r="Q67" i="3"/>
  <c r="O67" i="3"/>
  <c r="F68" i="3"/>
  <c r="Q68" i="3"/>
  <c r="O68" i="3"/>
  <c r="F69" i="3"/>
  <c r="Q69" i="3"/>
  <c r="O69" i="3"/>
  <c r="F70" i="3"/>
  <c r="Q70" i="3"/>
  <c r="O70" i="3"/>
  <c r="F71" i="3"/>
  <c r="Q71" i="3"/>
  <c r="O71" i="3"/>
  <c r="F72" i="3"/>
  <c r="Q72" i="3"/>
  <c r="O72" i="3"/>
  <c r="F73" i="3"/>
  <c r="Q73" i="3"/>
  <c r="O73" i="3"/>
  <c r="F74" i="3"/>
  <c r="Q74" i="3"/>
  <c r="O74" i="3"/>
  <c r="F75" i="3"/>
  <c r="Q75" i="3"/>
  <c r="O75" i="3"/>
  <c r="F76" i="3"/>
  <c r="Q76" i="3"/>
  <c r="O76" i="3"/>
  <c r="F77" i="3"/>
  <c r="Q77" i="3"/>
  <c r="O77" i="3"/>
  <c r="F78" i="3"/>
  <c r="Q78" i="3"/>
  <c r="O78" i="3"/>
  <c r="F79" i="3"/>
  <c r="Q79" i="3"/>
  <c r="O79" i="3"/>
  <c r="F80" i="3"/>
  <c r="Q80" i="3"/>
  <c r="O80" i="3"/>
  <c r="F81" i="3"/>
  <c r="Q81" i="3"/>
  <c r="O81" i="3"/>
  <c r="F82" i="3"/>
  <c r="Q82" i="3"/>
  <c r="O82" i="3"/>
  <c r="F83" i="3"/>
  <c r="Q83" i="3"/>
  <c r="O83" i="3"/>
  <c r="F84" i="3"/>
  <c r="Q84" i="3"/>
  <c r="O84" i="3"/>
  <c r="F85" i="3"/>
  <c r="Q85" i="3"/>
  <c r="O85" i="3"/>
  <c r="F86" i="3"/>
  <c r="Q86" i="3"/>
  <c r="O86" i="3"/>
  <c r="F87" i="3"/>
  <c r="Q87" i="3"/>
  <c r="O87" i="3"/>
  <c r="F88" i="3"/>
  <c r="Q88" i="3"/>
  <c r="O88" i="3"/>
  <c r="F89" i="3"/>
  <c r="Q89" i="3"/>
  <c r="O89" i="3"/>
  <c r="F90" i="3"/>
  <c r="Q90" i="3"/>
  <c r="O90" i="3"/>
  <c r="Q91" i="3"/>
  <c r="O91" i="3"/>
  <c r="F92" i="3"/>
  <c r="Q92" i="3"/>
  <c r="O92" i="3"/>
  <c r="F93" i="3"/>
  <c r="Q93" i="3"/>
  <c r="O93" i="3"/>
  <c r="F94" i="3"/>
  <c r="Q94" i="3"/>
  <c r="O94" i="3"/>
  <c r="F95" i="3"/>
  <c r="Q95" i="3"/>
  <c r="O95" i="3"/>
  <c r="F96" i="3"/>
  <c r="Q96" i="3"/>
  <c r="O96" i="3"/>
  <c r="F97" i="3"/>
  <c r="Q97" i="3"/>
  <c r="O97" i="3"/>
  <c r="F98" i="3"/>
  <c r="Q98" i="3"/>
  <c r="O98" i="3"/>
  <c r="F99" i="3"/>
  <c r="Q99" i="3"/>
  <c r="O99" i="3"/>
  <c r="F100" i="3"/>
  <c r="Q100" i="3"/>
  <c r="O100" i="3"/>
  <c r="F101" i="3"/>
  <c r="Q101" i="3"/>
  <c r="O101" i="3"/>
  <c r="F102" i="3"/>
  <c r="Q102" i="3"/>
  <c r="O102" i="3"/>
  <c r="Q103" i="3"/>
  <c r="O103" i="3"/>
  <c r="Q104" i="3"/>
  <c r="O104" i="3"/>
  <c r="Q105" i="3"/>
  <c r="O105" i="3"/>
  <c r="Q106" i="3"/>
  <c r="O106" i="3"/>
  <c r="Q107" i="3"/>
  <c r="O107" i="3"/>
  <c r="Q108" i="3"/>
  <c r="O108" i="3"/>
  <c r="Q109" i="3"/>
  <c r="O109" i="3"/>
  <c r="Q110" i="3"/>
  <c r="O110" i="3"/>
  <c r="Q111" i="3"/>
  <c r="O111" i="3"/>
  <c r="Q112" i="3"/>
  <c r="O112" i="3"/>
  <c r="Q113" i="3"/>
  <c r="O113" i="3"/>
  <c r="Q114" i="3"/>
  <c r="O114" i="3"/>
  <c r="Q115" i="3"/>
  <c r="O115" i="3"/>
  <c r="Q116" i="3"/>
  <c r="O116" i="3"/>
  <c r="Q117" i="3"/>
  <c r="O117" i="3"/>
  <c r="Q118" i="3"/>
  <c r="O118" i="3"/>
  <c r="Q119" i="3"/>
  <c r="O119" i="3"/>
  <c r="Q120" i="3"/>
  <c r="O120" i="3"/>
  <c r="Q121" i="3"/>
  <c r="O121" i="3"/>
  <c r="Q122" i="3"/>
  <c r="O122" i="3"/>
  <c r="F123" i="3"/>
  <c r="Q123" i="3"/>
  <c r="O123" i="3"/>
  <c r="F124" i="3"/>
  <c r="Q124" i="3"/>
  <c r="O124" i="3"/>
  <c r="F125" i="3"/>
  <c r="Q125" i="3"/>
  <c r="O125" i="3"/>
  <c r="Q126" i="3"/>
  <c r="O126" i="3"/>
  <c r="F127" i="3"/>
  <c r="Q127" i="3"/>
  <c r="O127" i="3"/>
  <c r="F128" i="3"/>
  <c r="Q128" i="3"/>
  <c r="O128" i="3"/>
  <c r="F129" i="3"/>
  <c r="Q129" i="3"/>
  <c r="O129" i="3"/>
  <c r="Q130" i="3"/>
  <c r="O130" i="3"/>
  <c r="F131" i="3"/>
  <c r="Q131" i="3"/>
  <c r="O131" i="3"/>
  <c r="F132" i="3"/>
  <c r="Q132" i="3"/>
  <c r="O132" i="3"/>
  <c r="F133" i="3"/>
  <c r="Q133" i="3"/>
  <c r="O133" i="3"/>
  <c r="F134" i="3"/>
  <c r="Q134" i="3"/>
  <c r="O134" i="3"/>
  <c r="Q135" i="3"/>
  <c r="O135" i="3"/>
  <c r="F136" i="3"/>
  <c r="Q136" i="3"/>
  <c r="O136" i="3"/>
  <c r="F137" i="3"/>
  <c r="Q137" i="3"/>
  <c r="O137" i="3"/>
  <c r="F138" i="3"/>
  <c r="Q138" i="3"/>
  <c r="O138" i="3"/>
  <c r="F139" i="3"/>
  <c r="Q139" i="3"/>
  <c r="O139" i="3"/>
  <c r="F140" i="3"/>
  <c r="Q140" i="3"/>
  <c r="O140" i="3"/>
  <c r="F141" i="3"/>
  <c r="Q141" i="3"/>
  <c r="O141" i="3"/>
  <c r="F142" i="3"/>
  <c r="Q142" i="3"/>
  <c r="O142" i="3"/>
  <c r="Q143" i="3"/>
  <c r="O143" i="3"/>
  <c r="F144" i="3"/>
  <c r="Q144" i="3"/>
  <c r="O144" i="3"/>
  <c r="F145" i="3"/>
  <c r="Q145" i="3"/>
  <c r="O145" i="3"/>
  <c r="F146" i="3"/>
  <c r="Q146" i="3"/>
  <c r="O146" i="3"/>
  <c r="F147" i="3"/>
  <c r="Q147" i="3"/>
  <c r="O147" i="3"/>
  <c r="Q148" i="3"/>
  <c r="O148" i="3"/>
  <c r="Q149" i="3"/>
  <c r="O149" i="3"/>
  <c r="Q150" i="3"/>
  <c r="O150" i="3"/>
  <c r="Q151" i="3"/>
  <c r="O151" i="3"/>
  <c r="O152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F152" i="3"/>
  <c r="K152" i="3"/>
  <c r="J152" i="3"/>
  <c r="I152" i="3"/>
  <c r="H152" i="3"/>
  <c r="B14" i="2"/>
  <c r="B15" i="2"/>
  <c r="E152" i="3"/>
  <c r="T151" i="3"/>
  <c r="F151" i="3"/>
  <c r="K151" i="3"/>
  <c r="J151" i="3"/>
  <c r="I151" i="3"/>
  <c r="H151" i="3"/>
  <c r="E151" i="3"/>
  <c r="T150" i="3"/>
  <c r="F150" i="3"/>
  <c r="K150" i="3"/>
  <c r="J150" i="3"/>
  <c r="I150" i="3"/>
  <c r="H150" i="3"/>
  <c r="E150" i="3"/>
  <c r="T149" i="3"/>
  <c r="F149" i="3"/>
  <c r="K149" i="3"/>
  <c r="J149" i="3"/>
  <c r="I149" i="3"/>
  <c r="H149" i="3"/>
  <c r="E149" i="3"/>
  <c r="T148" i="3"/>
  <c r="F148" i="3"/>
  <c r="K148" i="3"/>
  <c r="J148" i="3"/>
  <c r="I148" i="3"/>
  <c r="H148" i="3"/>
  <c r="E148" i="3"/>
  <c r="T147" i="3"/>
  <c r="K147" i="3"/>
  <c r="J147" i="3"/>
  <c r="I147" i="3"/>
  <c r="H147" i="3"/>
  <c r="E147" i="3"/>
  <c r="T146" i="3"/>
  <c r="K146" i="3"/>
  <c r="J146" i="3"/>
  <c r="I146" i="3"/>
  <c r="H146" i="3"/>
  <c r="E146" i="3"/>
  <c r="T145" i="3"/>
  <c r="K145" i="3"/>
  <c r="J145" i="3"/>
  <c r="I145" i="3"/>
  <c r="H145" i="3"/>
  <c r="E145" i="3"/>
  <c r="T144" i="3"/>
  <c r="K144" i="3"/>
  <c r="J144" i="3"/>
  <c r="I144" i="3"/>
  <c r="H144" i="3"/>
  <c r="E144" i="3"/>
  <c r="T143" i="3"/>
  <c r="F143" i="3"/>
  <c r="K143" i="3"/>
  <c r="J143" i="3"/>
  <c r="I143" i="3"/>
  <c r="H143" i="3"/>
  <c r="E143" i="3"/>
  <c r="T142" i="3"/>
  <c r="K142" i="3"/>
  <c r="J142" i="3"/>
  <c r="I142" i="3"/>
  <c r="H142" i="3"/>
  <c r="E142" i="3"/>
  <c r="T141" i="3"/>
  <c r="K141" i="3"/>
  <c r="J141" i="3"/>
  <c r="I141" i="3"/>
  <c r="H141" i="3"/>
  <c r="E141" i="3"/>
  <c r="T140" i="3"/>
  <c r="K140" i="3"/>
  <c r="J140" i="3"/>
  <c r="I140" i="3"/>
  <c r="H140" i="3"/>
  <c r="E140" i="3"/>
  <c r="T139" i="3"/>
  <c r="K139" i="3"/>
  <c r="J139" i="3"/>
  <c r="I139" i="3"/>
  <c r="H139" i="3"/>
  <c r="E139" i="3"/>
  <c r="T138" i="3"/>
  <c r="K138" i="3"/>
  <c r="J138" i="3"/>
  <c r="I138" i="3"/>
  <c r="H138" i="3"/>
  <c r="E138" i="3"/>
  <c r="T137" i="3"/>
  <c r="K137" i="3"/>
  <c r="J137" i="3"/>
  <c r="I137" i="3"/>
  <c r="H137" i="3"/>
  <c r="E137" i="3"/>
  <c r="T136" i="3"/>
  <c r="K136" i="3"/>
  <c r="J136" i="3"/>
  <c r="I136" i="3"/>
  <c r="H136" i="3"/>
  <c r="E136" i="3"/>
  <c r="T135" i="3"/>
  <c r="F135" i="3"/>
  <c r="K135" i="3"/>
  <c r="J135" i="3"/>
  <c r="I135" i="3"/>
  <c r="H135" i="3"/>
  <c r="E135" i="3"/>
  <c r="T134" i="3"/>
  <c r="K134" i="3"/>
  <c r="J134" i="3"/>
  <c r="I134" i="3"/>
  <c r="H134" i="3"/>
  <c r="E134" i="3"/>
  <c r="T133" i="3"/>
  <c r="K133" i="3"/>
  <c r="J133" i="3"/>
  <c r="I133" i="3"/>
  <c r="H133" i="3"/>
  <c r="E133" i="3"/>
  <c r="T132" i="3"/>
  <c r="K132" i="3"/>
  <c r="J132" i="3"/>
  <c r="I132" i="3"/>
  <c r="H132" i="3"/>
  <c r="E132" i="3"/>
  <c r="T131" i="3"/>
  <c r="K131" i="3"/>
  <c r="J131" i="3"/>
  <c r="I131" i="3"/>
  <c r="H131" i="3"/>
  <c r="E131" i="3"/>
  <c r="T130" i="3"/>
  <c r="F130" i="3"/>
  <c r="K130" i="3"/>
  <c r="J130" i="3"/>
  <c r="I130" i="3"/>
  <c r="H130" i="3"/>
  <c r="E130" i="3"/>
  <c r="T129" i="3"/>
  <c r="K129" i="3"/>
  <c r="J129" i="3"/>
  <c r="I129" i="3"/>
  <c r="H129" i="3"/>
  <c r="E129" i="3"/>
  <c r="T128" i="3"/>
  <c r="K128" i="3"/>
  <c r="J128" i="3"/>
  <c r="I128" i="3"/>
  <c r="H128" i="3"/>
  <c r="E128" i="3"/>
  <c r="T127" i="3"/>
  <c r="K127" i="3"/>
  <c r="J127" i="3"/>
  <c r="I127" i="3"/>
  <c r="H127" i="3"/>
  <c r="E127" i="3"/>
  <c r="T126" i="3"/>
  <c r="F126" i="3"/>
  <c r="K126" i="3"/>
  <c r="J126" i="3"/>
  <c r="I126" i="3"/>
  <c r="H126" i="3"/>
  <c r="E126" i="3"/>
  <c r="T125" i="3"/>
  <c r="K125" i="3"/>
  <c r="J125" i="3"/>
  <c r="I125" i="3"/>
  <c r="H125" i="3"/>
  <c r="E125" i="3"/>
  <c r="T124" i="3"/>
  <c r="K124" i="3"/>
  <c r="J124" i="3"/>
  <c r="I124" i="3"/>
  <c r="H124" i="3"/>
  <c r="E124" i="3"/>
  <c r="T123" i="3"/>
  <c r="K123" i="3"/>
  <c r="J123" i="3"/>
  <c r="I123" i="3"/>
  <c r="H123" i="3"/>
  <c r="E123" i="3"/>
  <c r="T122" i="3"/>
  <c r="F122" i="3"/>
  <c r="K122" i="3"/>
  <c r="J122" i="3"/>
  <c r="I122" i="3"/>
  <c r="H122" i="3"/>
  <c r="E122" i="3"/>
  <c r="T121" i="3"/>
  <c r="F121" i="3"/>
  <c r="K121" i="3"/>
  <c r="J121" i="3"/>
  <c r="I121" i="3"/>
  <c r="H121" i="3"/>
  <c r="E121" i="3"/>
  <c r="T120" i="3"/>
  <c r="F120" i="3"/>
  <c r="K120" i="3"/>
  <c r="J120" i="3"/>
  <c r="I120" i="3"/>
  <c r="H120" i="3"/>
  <c r="E120" i="3"/>
  <c r="T119" i="3"/>
  <c r="F119" i="3"/>
  <c r="K119" i="3"/>
  <c r="J119" i="3"/>
  <c r="I119" i="3"/>
  <c r="H119" i="3"/>
  <c r="E119" i="3"/>
  <c r="T118" i="3"/>
  <c r="F118" i="3"/>
  <c r="K118" i="3"/>
  <c r="J118" i="3"/>
  <c r="I118" i="3"/>
  <c r="H118" i="3"/>
  <c r="E118" i="3"/>
  <c r="T117" i="3"/>
  <c r="F117" i="3"/>
  <c r="K117" i="3"/>
  <c r="J117" i="3"/>
  <c r="I117" i="3"/>
  <c r="H117" i="3"/>
  <c r="E117" i="3"/>
  <c r="T116" i="3"/>
  <c r="F116" i="3"/>
  <c r="K116" i="3"/>
  <c r="J116" i="3"/>
  <c r="I116" i="3"/>
  <c r="H116" i="3"/>
  <c r="E116" i="3"/>
  <c r="T115" i="3"/>
  <c r="F115" i="3"/>
  <c r="K115" i="3"/>
  <c r="J115" i="3"/>
  <c r="I115" i="3"/>
  <c r="H115" i="3"/>
  <c r="E115" i="3"/>
  <c r="T114" i="3"/>
  <c r="F114" i="3"/>
  <c r="K114" i="3"/>
  <c r="J114" i="3"/>
  <c r="I114" i="3"/>
  <c r="H114" i="3"/>
  <c r="E114" i="3"/>
  <c r="T113" i="3"/>
  <c r="F113" i="3"/>
  <c r="K113" i="3"/>
  <c r="J113" i="3"/>
  <c r="I113" i="3"/>
  <c r="H113" i="3"/>
  <c r="E113" i="3"/>
  <c r="T112" i="3"/>
  <c r="F112" i="3"/>
  <c r="K112" i="3"/>
  <c r="J112" i="3"/>
  <c r="I112" i="3"/>
  <c r="H112" i="3"/>
  <c r="E112" i="3"/>
  <c r="T111" i="3"/>
  <c r="F111" i="3"/>
  <c r="K111" i="3"/>
  <c r="J111" i="3"/>
  <c r="I111" i="3"/>
  <c r="H111" i="3"/>
  <c r="E111" i="3"/>
  <c r="T110" i="3"/>
  <c r="F110" i="3"/>
  <c r="K110" i="3"/>
  <c r="J110" i="3"/>
  <c r="I110" i="3"/>
  <c r="H110" i="3"/>
  <c r="E110" i="3"/>
  <c r="T109" i="3"/>
  <c r="F109" i="3"/>
  <c r="K109" i="3"/>
  <c r="J109" i="3"/>
  <c r="I109" i="3"/>
  <c r="H109" i="3"/>
  <c r="E109" i="3"/>
  <c r="T108" i="3"/>
  <c r="F108" i="3"/>
  <c r="K108" i="3"/>
  <c r="J108" i="3"/>
  <c r="I108" i="3"/>
  <c r="H108" i="3"/>
  <c r="E108" i="3"/>
  <c r="T107" i="3"/>
  <c r="F107" i="3"/>
  <c r="K107" i="3"/>
  <c r="J107" i="3"/>
  <c r="I107" i="3"/>
  <c r="H107" i="3"/>
  <c r="E107" i="3"/>
  <c r="T106" i="3"/>
  <c r="F106" i="3"/>
  <c r="K106" i="3"/>
  <c r="J106" i="3"/>
  <c r="I106" i="3"/>
  <c r="H106" i="3"/>
  <c r="E106" i="3"/>
  <c r="T105" i="3"/>
  <c r="F105" i="3"/>
  <c r="K105" i="3"/>
  <c r="J105" i="3"/>
  <c r="I105" i="3"/>
  <c r="H105" i="3"/>
  <c r="E105" i="3"/>
  <c r="T104" i="3"/>
  <c r="F104" i="3"/>
  <c r="K104" i="3"/>
  <c r="J104" i="3"/>
  <c r="I104" i="3"/>
  <c r="H104" i="3"/>
  <c r="E104" i="3"/>
  <c r="T103" i="3"/>
  <c r="F103" i="3"/>
  <c r="K103" i="3"/>
  <c r="J103" i="3"/>
  <c r="I103" i="3"/>
  <c r="H103" i="3"/>
  <c r="E103" i="3"/>
  <c r="T102" i="3"/>
  <c r="K102" i="3"/>
  <c r="J102" i="3"/>
  <c r="I102" i="3"/>
  <c r="H102" i="3"/>
  <c r="E102" i="3"/>
  <c r="T101" i="3"/>
  <c r="K101" i="3"/>
  <c r="J101" i="3"/>
  <c r="I101" i="3"/>
  <c r="H101" i="3"/>
  <c r="E101" i="3"/>
  <c r="T100" i="3"/>
  <c r="K100" i="3"/>
  <c r="J100" i="3"/>
  <c r="I100" i="3"/>
  <c r="H100" i="3"/>
  <c r="E100" i="3"/>
  <c r="T99" i="3"/>
  <c r="K99" i="3"/>
  <c r="J99" i="3"/>
  <c r="I99" i="3"/>
  <c r="H99" i="3"/>
  <c r="E99" i="3"/>
  <c r="T98" i="3"/>
  <c r="K98" i="3"/>
  <c r="J98" i="3"/>
  <c r="I98" i="3"/>
  <c r="H98" i="3"/>
  <c r="E98" i="3"/>
  <c r="T97" i="3"/>
  <c r="K97" i="3"/>
  <c r="J97" i="3"/>
  <c r="I97" i="3"/>
  <c r="H97" i="3"/>
  <c r="E97" i="3"/>
  <c r="T96" i="3"/>
  <c r="K96" i="3"/>
  <c r="J96" i="3"/>
  <c r="I96" i="3"/>
  <c r="H96" i="3"/>
  <c r="E96" i="3"/>
  <c r="T95" i="3"/>
  <c r="K95" i="3"/>
  <c r="J95" i="3"/>
  <c r="I95" i="3"/>
  <c r="H95" i="3"/>
  <c r="E95" i="3"/>
  <c r="T94" i="3"/>
  <c r="K94" i="3"/>
  <c r="J94" i="3"/>
  <c r="I94" i="3"/>
  <c r="H94" i="3"/>
  <c r="E94" i="3"/>
  <c r="T93" i="3"/>
  <c r="K93" i="3"/>
  <c r="J93" i="3"/>
  <c r="I93" i="3"/>
  <c r="H93" i="3"/>
  <c r="E93" i="3"/>
  <c r="T92" i="3"/>
  <c r="K92" i="3"/>
  <c r="J92" i="3"/>
  <c r="I92" i="3"/>
  <c r="H92" i="3"/>
  <c r="E92" i="3"/>
  <c r="T91" i="3"/>
  <c r="F91" i="3"/>
  <c r="K91" i="3"/>
  <c r="J91" i="3"/>
  <c r="I91" i="3"/>
  <c r="H91" i="3"/>
  <c r="E91" i="3"/>
  <c r="T90" i="3"/>
  <c r="K90" i="3"/>
  <c r="J90" i="3"/>
  <c r="I90" i="3"/>
  <c r="H90" i="3"/>
  <c r="E90" i="3"/>
  <c r="T89" i="3"/>
  <c r="K89" i="3"/>
  <c r="J89" i="3"/>
  <c r="I89" i="3"/>
  <c r="H89" i="3"/>
  <c r="E89" i="3"/>
  <c r="T88" i="3"/>
  <c r="K88" i="3"/>
  <c r="J88" i="3"/>
  <c r="I88" i="3"/>
  <c r="H88" i="3"/>
  <c r="E88" i="3"/>
  <c r="T87" i="3"/>
  <c r="K87" i="3"/>
  <c r="J87" i="3"/>
  <c r="I87" i="3"/>
  <c r="H87" i="3"/>
  <c r="E87" i="3"/>
  <c r="T86" i="3"/>
  <c r="K86" i="3"/>
  <c r="J86" i="3"/>
  <c r="I86" i="3"/>
  <c r="H86" i="3"/>
  <c r="E86" i="3"/>
  <c r="T85" i="3"/>
  <c r="K85" i="3"/>
  <c r="J85" i="3"/>
  <c r="I85" i="3"/>
  <c r="H85" i="3"/>
  <c r="E85" i="3"/>
  <c r="T84" i="3"/>
  <c r="K84" i="3"/>
  <c r="J84" i="3"/>
  <c r="I84" i="3"/>
  <c r="H84" i="3"/>
  <c r="E84" i="3"/>
  <c r="T83" i="3"/>
  <c r="K83" i="3"/>
  <c r="J83" i="3"/>
  <c r="I83" i="3"/>
  <c r="H83" i="3"/>
  <c r="E83" i="3"/>
  <c r="T82" i="3"/>
  <c r="K82" i="3"/>
  <c r="J82" i="3"/>
  <c r="I82" i="3"/>
  <c r="H82" i="3"/>
  <c r="E82" i="3"/>
  <c r="T81" i="3"/>
  <c r="K81" i="3"/>
  <c r="J81" i="3"/>
  <c r="I81" i="3"/>
  <c r="H81" i="3"/>
  <c r="E81" i="3"/>
  <c r="T80" i="3"/>
  <c r="K80" i="3"/>
  <c r="J80" i="3"/>
  <c r="I80" i="3"/>
  <c r="H80" i="3"/>
  <c r="E80" i="3"/>
  <c r="T79" i="3"/>
  <c r="K79" i="3"/>
  <c r="J79" i="3"/>
  <c r="I79" i="3"/>
  <c r="H79" i="3"/>
  <c r="E79" i="3"/>
  <c r="T78" i="3"/>
  <c r="K78" i="3"/>
  <c r="J78" i="3"/>
  <c r="I78" i="3"/>
  <c r="H78" i="3"/>
  <c r="E78" i="3"/>
  <c r="T77" i="3"/>
  <c r="K77" i="3"/>
  <c r="J77" i="3"/>
  <c r="I77" i="3"/>
  <c r="H77" i="3"/>
  <c r="E77" i="3"/>
  <c r="T76" i="3"/>
  <c r="K76" i="3"/>
  <c r="J76" i="3"/>
  <c r="I76" i="3"/>
  <c r="H76" i="3"/>
  <c r="E76" i="3"/>
  <c r="T75" i="3"/>
  <c r="K75" i="3"/>
  <c r="J75" i="3"/>
  <c r="I75" i="3"/>
  <c r="H75" i="3"/>
  <c r="E75" i="3"/>
  <c r="T74" i="3"/>
  <c r="K74" i="3"/>
  <c r="J74" i="3"/>
  <c r="I74" i="3"/>
  <c r="H74" i="3"/>
  <c r="E74" i="3"/>
  <c r="T73" i="3"/>
  <c r="K73" i="3"/>
  <c r="J73" i="3"/>
  <c r="I73" i="3"/>
  <c r="H73" i="3"/>
  <c r="E73" i="3"/>
  <c r="T72" i="3"/>
  <c r="K72" i="3"/>
  <c r="J72" i="3"/>
  <c r="I72" i="3"/>
  <c r="H72" i="3"/>
  <c r="E72" i="3"/>
  <c r="T71" i="3"/>
  <c r="K71" i="3"/>
  <c r="J71" i="3"/>
  <c r="I71" i="3"/>
  <c r="H71" i="3"/>
  <c r="E71" i="3"/>
  <c r="T70" i="3"/>
  <c r="K70" i="3"/>
  <c r="J70" i="3"/>
  <c r="I70" i="3"/>
  <c r="H70" i="3"/>
  <c r="E70" i="3"/>
  <c r="T69" i="3"/>
  <c r="K69" i="3"/>
  <c r="J69" i="3"/>
  <c r="I69" i="3"/>
  <c r="H69" i="3"/>
  <c r="E69" i="3"/>
  <c r="T68" i="3"/>
  <c r="K68" i="3"/>
  <c r="J68" i="3"/>
  <c r="I68" i="3"/>
  <c r="H68" i="3"/>
  <c r="E68" i="3"/>
  <c r="T67" i="3"/>
  <c r="K67" i="3"/>
  <c r="J67" i="3"/>
  <c r="I67" i="3"/>
  <c r="H67" i="3"/>
  <c r="E67" i="3"/>
  <c r="T66" i="3"/>
  <c r="K66" i="3"/>
  <c r="J66" i="3"/>
  <c r="I66" i="3"/>
  <c r="H66" i="3"/>
  <c r="E66" i="3"/>
  <c r="T65" i="3"/>
  <c r="F65" i="3"/>
  <c r="K65" i="3"/>
  <c r="J65" i="3"/>
  <c r="I65" i="3"/>
  <c r="H65" i="3"/>
  <c r="E65" i="3"/>
  <c r="T64" i="3"/>
  <c r="K64" i="3"/>
  <c r="J64" i="3"/>
  <c r="I64" i="3"/>
  <c r="H64" i="3"/>
  <c r="E64" i="3"/>
  <c r="T63" i="3"/>
  <c r="F63" i="3"/>
  <c r="K63" i="3"/>
  <c r="J63" i="3"/>
  <c r="I63" i="3"/>
  <c r="H63" i="3"/>
  <c r="E63" i="3"/>
  <c r="T62" i="3"/>
  <c r="K62" i="3"/>
  <c r="J62" i="3"/>
  <c r="I62" i="3"/>
  <c r="H62" i="3"/>
  <c r="E62" i="3"/>
  <c r="T61" i="3"/>
  <c r="K61" i="3"/>
  <c r="J61" i="3"/>
  <c r="I61" i="3"/>
  <c r="H61" i="3"/>
  <c r="E61" i="3"/>
  <c r="T60" i="3"/>
  <c r="K60" i="3"/>
  <c r="J60" i="3"/>
  <c r="I60" i="3"/>
  <c r="H60" i="3"/>
  <c r="E60" i="3"/>
  <c r="T59" i="3"/>
  <c r="K59" i="3"/>
  <c r="J59" i="3"/>
  <c r="I59" i="3"/>
  <c r="H59" i="3"/>
  <c r="E59" i="3"/>
  <c r="T58" i="3"/>
  <c r="K58" i="3"/>
  <c r="J58" i="3"/>
  <c r="I58" i="3"/>
  <c r="H58" i="3"/>
  <c r="E58" i="3"/>
  <c r="T57" i="3"/>
  <c r="K57" i="3"/>
  <c r="J57" i="3"/>
  <c r="I57" i="3"/>
  <c r="H57" i="3"/>
  <c r="E57" i="3"/>
  <c r="T56" i="3"/>
  <c r="K56" i="3"/>
  <c r="J56" i="3"/>
  <c r="I56" i="3"/>
  <c r="H56" i="3"/>
  <c r="E56" i="3"/>
  <c r="T55" i="3"/>
  <c r="K55" i="3"/>
  <c r="J55" i="3"/>
  <c r="I55" i="3"/>
  <c r="H55" i="3"/>
  <c r="E55" i="3"/>
  <c r="T54" i="3"/>
  <c r="F54" i="3"/>
  <c r="K54" i="3"/>
  <c r="J54" i="3"/>
  <c r="I54" i="3"/>
  <c r="H54" i="3"/>
  <c r="E54" i="3"/>
  <c r="T53" i="3"/>
  <c r="K53" i="3"/>
  <c r="J53" i="3"/>
  <c r="I53" i="3"/>
  <c r="H53" i="3"/>
  <c r="E53" i="3"/>
  <c r="T52" i="3"/>
  <c r="F52" i="3"/>
  <c r="K52" i="3"/>
  <c r="J52" i="3"/>
  <c r="I52" i="3"/>
  <c r="H52" i="3"/>
  <c r="E52" i="3"/>
  <c r="T51" i="3"/>
  <c r="K51" i="3"/>
  <c r="J51" i="3"/>
  <c r="I51" i="3"/>
  <c r="H51" i="3"/>
  <c r="E51" i="3"/>
  <c r="T50" i="3"/>
  <c r="K50" i="3"/>
  <c r="J50" i="3"/>
  <c r="I50" i="3"/>
  <c r="H50" i="3"/>
  <c r="E50" i="3"/>
  <c r="T49" i="3"/>
  <c r="K49" i="3"/>
  <c r="J49" i="3"/>
  <c r="I49" i="3"/>
  <c r="H49" i="3"/>
  <c r="E49" i="3"/>
  <c r="T48" i="3"/>
  <c r="K48" i="3"/>
  <c r="J48" i="3"/>
  <c r="I48" i="3"/>
  <c r="H48" i="3"/>
  <c r="E48" i="3"/>
  <c r="T47" i="3"/>
  <c r="K47" i="3"/>
  <c r="J47" i="3"/>
  <c r="I47" i="3"/>
  <c r="H47" i="3"/>
  <c r="E47" i="3"/>
  <c r="T46" i="3"/>
  <c r="K46" i="3"/>
  <c r="J46" i="3"/>
  <c r="I46" i="3"/>
  <c r="H46" i="3"/>
  <c r="E46" i="3"/>
  <c r="T45" i="3"/>
  <c r="F45" i="3"/>
  <c r="K45" i="3"/>
  <c r="J45" i="3"/>
  <c r="I45" i="3"/>
  <c r="H45" i="3"/>
  <c r="E45" i="3"/>
  <c r="T44" i="3"/>
  <c r="K44" i="3"/>
  <c r="J44" i="3"/>
  <c r="I44" i="3"/>
  <c r="H44" i="3"/>
  <c r="E44" i="3"/>
  <c r="T43" i="3"/>
  <c r="K43" i="3"/>
  <c r="J43" i="3"/>
  <c r="I43" i="3"/>
  <c r="H43" i="3"/>
  <c r="E43" i="3"/>
  <c r="T42" i="3"/>
  <c r="K42" i="3"/>
  <c r="J42" i="3"/>
  <c r="I42" i="3"/>
  <c r="H42" i="3"/>
  <c r="E42" i="3"/>
  <c r="T41" i="3"/>
  <c r="K41" i="3"/>
  <c r="J41" i="3"/>
  <c r="I41" i="3"/>
  <c r="H41" i="3"/>
  <c r="E41" i="3"/>
  <c r="T40" i="3"/>
  <c r="K40" i="3"/>
  <c r="J40" i="3"/>
  <c r="I40" i="3"/>
  <c r="H40" i="3"/>
  <c r="E40" i="3"/>
  <c r="T39" i="3"/>
  <c r="F39" i="3"/>
  <c r="K39" i="3"/>
  <c r="J39" i="3"/>
  <c r="I39" i="3"/>
  <c r="H39" i="3"/>
  <c r="E39" i="3"/>
  <c r="T38" i="3"/>
  <c r="K38" i="3"/>
  <c r="J38" i="3"/>
  <c r="I38" i="3"/>
  <c r="H38" i="3"/>
  <c r="E38" i="3"/>
  <c r="T37" i="3"/>
  <c r="K37" i="3"/>
  <c r="J37" i="3"/>
  <c r="I37" i="3"/>
  <c r="H37" i="3"/>
  <c r="E37" i="3"/>
  <c r="T36" i="3"/>
  <c r="F36" i="3"/>
  <c r="K36" i="3"/>
  <c r="J36" i="3"/>
  <c r="I36" i="3"/>
  <c r="H36" i="3"/>
  <c r="E36" i="3"/>
  <c r="T35" i="3"/>
  <c r="K35" i="3"/>
  <c r="J35" i="3"/>
  <c r="I35" i="3"/>
  <c r="H35" i="3"/>
  <c r="E35" i="3"/>
  <c r="T34" i="3"/>
  <c r="K34" i="3"/>
  <c r="J34" i="3"/>
  <c r="I34" i="3"/>
  <c r="H34" i="3"/>
  <c r="E34" i="3"/>
  <c r="T33" i="3"/>
  <c r="K33" i="3"/>
  <c r="J33" i="3"/>
  <c r="I33" i="3"/>
  <c r="H33" i="3"/>
  <c r="E33" i="3"/>
  <c r="T32" i="3"/>
  <c r="K32" i="3"/>
  <c r="J32" i="3"/>
  <c r="I32" i="3"/>
  <c r="H32" i="3"/>
  <c r="E32" i="3"/>
  <c r="T31" i="3"/>
  <c r="K31" i="3"/>
  <c r="J31" i="3"/>
  <c r="I31" i="3"/>
  <c r="H31" i="3"/>
  <c r="E31" i="3"/>
  <c r="T30" i="3"/>
  <c r="K30" i="3"/>
  <c r="J30" i="3"/>
  <c r="I30" i="3"/>
  <c r="H30" i="3"/>
  <c r="E30" i="3"/>
  <c r="T29" i="3"/>
  <c r="K29" i="3"/>
  <c r="J29" i="3"/>
  <c r="I29" i="3"/>
  <c r="H29" i="3"/>
  <c r="E29" i="3"/>
  <c r="T28" i="3"/>
  <c r="K28" i="3"/>
  <c r="J28" i="3"/>
  <c r="I28" i="3"/>
  <c r="H28" i="3"/>
  <c r="E28" i="3"/>
  <c r="T27" i="3"/>
  <c r="F27" i="3"/>
  <c r="K27" i="3"/>
  <c r="J27" i="3"/>
  <c r="I27" i="3"/>
  <c r="H27" i="3"/>
  <c r="E27" i="3"/>
  <c r="T26" i="3"/>
  <c r="F26" i="3"/>
  <c r="K26" i="3"/>
  <c r="J26" i="3"/>
  <c r="I26" i="3"/>
  <c r="H26" i="3"/>
  <c r="E26" i="3"/>
  <c r="T25" i="3"/>
  <c r="K25" i="3"/>
  <c r="J25" i="3"/>
  <c r="I25" i="3"/>
  <c r="H25" i="3"/>
  <c r="E25" i="3"/>
  <c r="T24" i="3"/>
  <c r="K24" i="3"/>
  <c r="J24" i="3"/>
  <c r="I24" i="3"/>
  <c r="H24" i="3"/>
  <c r="E24" i="3"/>
  <c r="T23" i="3"/>
  <c r="K23" i="3"/>
  <c r="J23" i="3"/>
  <c r="I23" i="3"/>
  <c r="H23" i="3"/>
  <c r="E23" i="3"/>
  <c r="T22" i="3"/>
  <c r="K22" i="3"/>
  <c r="J22" i="3"/>
  <c r="I22" i="3"/>
  <c r="H22" i="3"/>
  <c r="E22" i="3"/>
  <c r="T21" i="3"/>
  <c r="K21" i="3"/>
  <c r="J21" i="3"/>
  <c r="I21" i="3"/>
  <c r="H21" i="3"/>
  <c r="E21" i="3"/>
  <c r="T20" i="3"/>
  <c r="K20" i="3"/>
  <c r="J20" i="3"/>
  <c r="I20" i="3"/>
  <c r="H20" i="3"/>
  <c r="E20" i="3"/>
  <c r="T19" i="3"/>
  <c r="K19" i="3"/>
  <c r="J19" i="3"/>
  <c r="I19" i="3"/>
  <c r="H19" i="3"/>
  <c r="E19" i="3"/>
  <c r="T18" i="3"/>
  <c r="F18" i="3"/>
  <c r="K18" i="3"/>
  <c r="J18" i="3"/>
  <c r="I18" i="3"/>
  <c r="H18" i="3"/>
  <c r="E18" i="3"/>
  <c r="T17" i="3"/>
  <c r="K17" i="3"/>
  <c r="J17" i="3"/>
  <c r="I17" i="3"/>
  <c r="H17" i="3"/>
  <c r="E17" i="3"/>
  <c r="T16" i="3"/>
  <c r="K16" i="3"/>
  <c r="J16" i="3"/>
  <c r="I16" i="3"/>
  <c r="H16" i="3"/>
  <c r="E16" i="3"/>
  <c r="T15" i="3"/>
  <c r="K15" i="3"/>
  <c r="J15" i="3"/>
  <c r="I15" i="3"/>
  <c r="H15" i="3"/>
  <c r="E15" i="3"/>
  <c r="T14" i="3"/>
  <c r="K14" i="3"/>
  <c r="J14" i="3"/>
  <c r="I14" i="3"/>
  <c r="H14" i="3"/>
  <c r="E14" i="3"/>
  <c r="T13" i="3"/>
  <c r="F13" i="3"/>
  <c r="K13" i="3"/>
  <c r="J13" i="3"/>
  <c r="I13" i="3"/>
  <c r="H13" i="3"/>
  <c r="E13" i="3"/>
  <c r="T12" i="3"/>
  <c r="K12" i="3"/>
  <c r="J12" i="3"/>
  <c r="I12" i="3"/>
  <c r="H12" i="3"/>
  <c r="E12" i="3"/>
  <c r="T11" i="3"/>
  <c r="K11" i="3"/>
  <c r="J11" i="3"/>
  <c r="I11" i="3"/>
  <c r="H11" i="3"/>
  <c r="E11" i="3"/>
  <c r="T10" i="3"/>
  <c r="K10" i="3"/>
  <c r="J10" i="3"/>
  <c r="I10" i="3"/>
  <c r="H10" i="3"/>
  <c r="E10" i="3"/>
  <c r="T9" i="3"/>
  <c r="F9" i="3"/>
  <c r="K9" i="3"/>
  <c r="J9" i="3"/>
  <c r="I9" i="3"/>
  <c r="H9" i="3"/>
  <c r="E9" i="3"/>
  <c r="T8" i="3"/>
  <c r="K8" i="3"/>
  <c r="J8" i="3"/>
  <c r="I8" i="3"/>
  <c r="H8" i="3"/>
  <c r="E8" i="3"/>
  <c r="T7" i="3"/>
  <c r="K7" i="3"/>
  <c r="J7" i="3"/>
  <c r="I7" i="3"/>
  <c r="H7" i="3"/>
  <c r="E7" i="3"/>
  <c r="T6" i="3"/>
  <c r="K6" i="3"/>
  <c r="J6" i="3"/>
  <c r="I6" i="3"/>
  <c r="H6" i="3"/>
  <c r="E6" i="3"/>
  <c r="T5" i="3"/>
  <c r="K5" i="3"/>
  <c r="J5" i="3"/>
  <c r="I5" i="3"/>
  <c r="H5" i="3"/>
  <c r="E5" i="3"/>
  <c r="T4" i="3"/>
  <c r="K4" i="3"/>
  <c r="J4" i="3"/>
  <c r="I4" i="3"/>
  <c r="H4" i="3"/>
  <c r="E4" i="3"/>
  <c r="T3" i="3"/>
  <c r="K3" i="3"/>
  <c r="J3" i="3"/>
  <c r="I3" i="3"/>
  <c r="H3" i="3"/>
  <c r="E3" i="3"/>
  <c r="T2" i="3"/>
  <c r="F2" i="3"/>
  <c r="Q2" i="3"/>
  <c r="K2" i="3"/>
  <c r="J2" i="3"/>
  <c r="I2" i="3"/>
  <c r="H2" i="3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Demo RPM rescaled from SURF_RPM using min-max normalization to a 90-180 rpm dashboard range.</t>
        </r>
      </text>
    </comment>
    <comment ref="E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Demo ROP rescaled from ROP_AVG using min-max normalization to a 30-80 ft/hr range.</t>
        </r>
      </text>
    </comment>
    <comment ref="M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Prototype DLS is a derived demo metric used for PPR constraint logic; thresholding is controlled from the Controls sheet.</t>
        </r>
      </text>
    </comment>
    <comment ref="T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Alert output for the dashboard.</t>
        </r>
      </text>
    </comment>
  </commentList>
</comments>
</file>

<file path=xl/sharedStrings.xml><?xml version="1.0" encoding="utf-8"?>
<sst xmlns="http://schemas.openxmlformats.org/spreadsheetml/2006/main" count="72" uniqueCount="68">
  <si>
    <t>RSS Dashboard Dataset Builder</t>
  </si>
  <si>
    <t>Purpose</t>
  </si>
  <si>
    <t>Prepare a dashboard-ready dataset for the RSS prototype using real Volve field inputs plus derived demo telemetry.</t>
  </si>
  <si>
    <t>Real columns copied from source file</t>
  </si>
  <si>
    <t>Depth, WOB, SURF_RPM, ROP_AVG, PHIF, VSH, SW, KLOGH</t>
  </si>
  <si>
    <t>Derived / demo columns</t>
  </si>
  <si>
    <t>RPM_demo, ROP_ft_hr, Torque_kftlb, Vibration_g, DLS_deg_per_100ft, Inclination_deg, Azimuth_deg, Formation_Class, Recommendation, Confidence, Gate_Status, Alert_Message</t>
  </si>
  <si>
    <t>How to use</t>
  </si>
  <si>
    <t>Point the dashboard to the Dashboard_Data sheet or exported CSV. The derived fields are designed for PPR demo logic, not for final field deployment.</t>
  </si>
  <si>
    <t>Notes</t>
  </si>
  <si>
    <t>SURF_RPM and ROP_AVG from the source file are rescaled into dashboard-friendly demo ranges.</t>
  </si>
  <si>
    <t>DLS, vibration, torque, inclination, azimuth, recommendation and alerts are derived for prototype validation.</t>
  </si>
  <si>
    <t>Thresholds can be edited in the Controls sheet.</t>
  </si>
  <si>
    <t>Prototype Control Parameters</t>
  </si>
  <si>
    <t>DLS normal max (deg/100ft)</t>
  </si>
  <si>
    <t>Edit blue cells only</t>
  </si>
  <si>
    <t>DLS block max (deg/100ft)</t>
  </si>
  <si>
    <t>Vibration caution max (g)</t>
  </si>
  <si>
    <t>WOB low preference (klbf)</t>
  </si>
  <si>
    <t>WOB high preference (klbf)</t>
  </si>
  <si>
    <t>Confidence threshold</t>
  </si>
  <si>
    <t>RPM demo min</t>
  </si>
  <si>
    <t>RPM demo max</t>
  </si>
  <si>
    <t>ROP demo min (ft/hr)</t>
  </si>
  <si>
    <t>ROP demo max (ft/hr)</t>
  </si>
  <si>
    <t>Source RPM min</t>
  </si>
  <si>
    <t>Source RPM max</t>
  </si>
  <si>
    <t>Source ROP min</t>
  </si>
  <si>
    <t>Source ROP max</t>
  </si>
  <si>
    <t>Starting inclination (deg)</t>
  </si>
  <si>
    <t>Starting azimuth (deg)</t>
  </si>
  <si>
    <t>Depth_ft</t>
  </si>
  <si>
    <t>WOB_lbf</t>
  </si>
  <si>
    <t>WOB_klbf</t>
  </si>
  <si>
    <t>RPM_demo</t>
  </si>
  <si>
    <t>ROP_ft_hr</t>
  </si>
  <si>
    <t>PHIF</t>
  </si>
  <si>
    <t>VSH</t>
  </si>
  <si>
    <t>SW</t>
  </si>
  <si>
    <t>KLOGH</t>
  </si>
  <si>
    <t>Formation_Class</t>
  </si>
  <si>
    <t>Torque_kftlb</t>
  </si>
  <si>
    <t>Vibration_g</t>
  </si>
  <si>
    <t>DLS_deg_per_100ft</t>
  </si>
  <si>
    <t>Inclination_deg</t>
  </si>
  <si>
    <t>Azimuth_deg</t>
  </si>
  <si>
    <t>DLS_Status</t>
  </si>
  <si>
    <t>Recommendation</t>
  </si>
  <si>
    <t>Confidence</t>
  </si>
  <si>
    <t>Gate_Status</t>
  </si>
  <si>
    <t>Alert_Message</t>
  </si>
  <si>
    <t>Prototype KPI Summary</t>
  </si>
  <si>
    <t>Rows in dataset</t>
  </si>
  <si>
    <t>Suggested demo</t>
  </si>
  <si>
    <t>DLS caution rows (&gt;6 and &lt;=8)</t>
  </si>
  <si>
    <t>Show a NORMAL row first, then a CAUTION row, then a BLOCK row.</t>
  </si>
  <si>
    <t>DLS blocked rows (&gt;8)</t>
  </si>
  <si>
    <t>For example use rows near depths 3700 ft and 3860+ ft to trigger DLS escalation.</t>
  </si>
  <si>
    <t>Accepted commands</t>
  </si>
  <si>
    <t>Reduced commands</t>
  </si>
  <si>
    <t>Blocked commands</t>
  </si>
  <si>
    <t>Avg confidence</t>
  </si>
  <si>
    <t>Max DLS</t>
  </si>
  <si>
    <t>Max vibration</t>
  </si>
  <si>
    <t>Depth</t>
  </si>
  <si>
    <t>WOB</t>
  </si>
  <si>
    <t>SURF_RPM</t>
  </si>
  <si>
    <t>ROP_AVG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</si>
</sst>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000000"/>
      <name val="Calibri"/>
    </font>
    <font>
      <i/>
      <sz val="11"/>
      <color rgb="FFC55A11"/>
      <name val="Calibri"/>
    </font>
    <font>
      <sz val="11"/>
      <color rgb="FF008000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DE7F6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9">
    <xf numFmtId="0" fontId="0" fillId="0" borderId="0" xfId="0"/>
    <xf numFmtId="0" fontId="20" fillId="34" borderId="0" xfId="0" applyFont="1" applyFill="1"/>
    <xf numFmtId="0" fontId="20" fillId="35" borderId="0" xfId="0" applyFont="1" applyFill="1"/>
    <xf numFmtId="0" fontId="21" fillId="0" borderId="0" xfId="0" applyFont="1"/>
    <xf numFmtId="0" fontId="23" fillId="0" borderId="0" xfId="0" applyFont="1"/>
    <xf numFmtId="0" fontId="22" fillId="0" borderId="0" xfId="0" applyFont="1"/>
    <xf numFmtId="0" fontId="18" fillId="33" borderId="0" xfId="0" applyFont="1" applyFill="1" applyAlignment="1">
      <alignment horizontal="center" wrapText="1"/>
    </xf>
    <xf numFmtId="1" fontId="24" fillId="0" borderId="0" xfId="0" applyNumberFormat="1" applyFont="1"/>
    <xf numFmtId="3" fontId="24" fillId="0" borderId="0" xfId="0" applyNumberFormat="1" applyFont="1"/>
    <xf numFmtId="164" fontId="24" fillId="0" borderId="0" xfId="0" applyNumberFormat="1" applyFont="1"/>
    <xf numFmtId="165" fontId="24" fillId="0" borderId="0" xfId="0" applyNumberFormat="1" applyFont="1"/>
    <xf numFmtId="164" fontId="22" fillId="0" borderId="0" xfId="0" applyNumberFormat="1" applyFont="1"/>
    <xf numFmtId="2" fontId="22" fillId="0" borderId="0" xfId="0" applyNumberFormat="1" applyFont="1"/>
    <xf numFmtId="0" fontId="20" fillId="0" borderId="0" xfId="0" applyFont="1"/>
    <xf numFmtId="2" fontId="0" fillId="0" borderId="0" xfId="0" applyNumberFormat="1"/>
    <xf numFmtId="0" fontId="18" fillId="33" borderId="0" xfId="0" applyFont="1" applyFill="1" applyAlignment="1">
      <alignment horizontal="center"/>
    </xf>
    <xf numFmtId="0" fontId="19" fillId="33" borderId="0" xfId="0" applyFont="1" applyFill="1"/>
    <xf numFmtId="0" fontId="0" fillId="0" borderId="0" xfId="0"/>
    <xf numFmtId="0" fontId="18" fillId="33" borderId="0" xfId="0" applyFont="1" applyFill="1"/>
  </cellXfs>
  <cellStyles count="42">
    <cellStyle name="20% - Accent1" xfId="19" xr:uid="{00000000-0005-0000-0000-000013000000}"/>
    <cellStyle name="20% - Accent2" xfId="23" xr:uid="{00000000-0005-0000-0000-000017000000}"/>
    <cellStyle name="20% - Accent3" xfId="27" xr:uid="{00000000-0005-0000-0000-00001B000000}"/>
    <cellStyle name="20% - Accent4" xfId="31" xr:uid="{00000000-0005-0000-0000-00001F000000}"/>
    <cellStyle name="20% - Accent5" xfId="35" xr:uid="{00000000-0005-0000-0000-000023000000}"/>
    <cellStyle name="20% - Accent6" xfId="39" xr:uid="{00000000-0005-0000-0000-000027000000}"/>
    <cellStyle name="40% - Accent1" xfId="20" xr:uid="{00000000-0005-0000-0000-000014000000}"/>
    <cellStyle name="40% - Accent2" xfId="24" xr:uid="{00000000-0005-0000-0000-000018000000}"/>
    <cellStyle name="40% - Accent3" xfId="28" xr:uid="{00000000-0005-0000-0000-00001C000000}"/>
    <cellStyle name="40% - Accent4" xfId="32" xr:uid="{00000000-0005-0000-0000-000020000000}"/>
    <cellStyle name="40% - Accent5" xfId="36" xr:uid="{00000000-0005-0000-0000-000024000000}"/>
    <cellStyle name="40% - Accent6" xfId="40" xr:uid="{00000000-0005-0000-0000-000028000000}"/>
    <cellStyle name="60% - Accent1" xfId="21" xr:uid="{00000000-0005-0000-0000-000015000000}"/>
    <cellStyle name="60% - Accent2" xfId="25" xr:uid="{00000000-0005-0000-0000-000019000000}"/>
    <cellStyle name="60% - Accent3" xfId="29" xr:uid="{00000000-0005-0000-0000-00001D000000}"/>
    <cellStyle name="60% - Accent4" xfId="33" xr:uid="{00000000-0005-0000-0000-000021000000}"/>
    <cellStyle name="60% - Accent5" xfId="37" xr:uid="{00000000-0005-0000-0000-000025000000}"/>
    <cellStyle name="60% - Accent6" xfId="41" xr:uid="{00000000-0005-0000-0000-000029000000}"/>
    <cellStyle name="Accent1" xfId="18" xr:uid="{00000000-0005-0000-0000-000012000000}"/>
    <cellStyle name="Accent2" xfId="22" xr:uid="{00000000-0005-0000-0000-000016000000}"/>
    <cellStyle name="Accent3" xfId="26" xr:uid="{00000000-0005-0000-0000-00001A000000}"/>
    <cellStyle name="Accent4" xfId="30" xr:uid="{00000000-0005-0000-0000-00001E000000}"/>
    <cellStyle name="Accent5" xfId="34" xr:uid="{00000000-0005-0000-0000-000022000000}"/>
    <cellStyle name="Accent6" xfId="38" xr:uid="{00000000-0005-0000-0000-000026000000}"/>
    <cellStyle name="Bad" xfId="7" xr:uid="{00000000-0005-0000-0000-000007000000}"/>
    <cellStyle name="Calculation" xfId="11" xr:uid="{00000000-0005-0000-0000-00000B000000}"/>
    <cellStyle name="Check Cell" xfId="13" xr:uid="{00000000-0005-0000-0000-00000D000000}"/>
    <cellStyle name="Explanatory Text" xfId="16" xr:uid="{00000000-0005-0000-0000-000010000000}"/>
    <cellStyle name="Good" xfId="6" xr:uid="{00000000-0005-0000-0000-000006000000}"/>
    <cellStyle name="Heading 1" xfId="2" xr:uid="{00000000-0005-0000-0000-000002000000}"/>
    <cellStyle name="Heading 2" xfId="3" xr:uid="{00000000-0005-0000-0000-000003000000}"/>
    <cellStyle name="Heading 3" xfId="4" xr:uid="{00000000-0005-0000-0000-000004000000}"/>
    <cellStyle name="Heading 4" xfId="5" xr:uid="{00000000-0005-0000-0000-000005000000}"/>
    <cellStyle name="Input" xfId="9" xr:uid="{00000000-0005-0000-0000-000009000000}"/>
    <cellStyle name="Linked Cell" xfId="12" xr:uid="{00000000-0005-0000-0000-00000C000000}"/>
    <cellStyle name="Neutral" xfId="8" xr:uid="{00000000-0005-0000-0000-000008000000}"/>
    <cellStyle name="Normal" xfId="0" builtinId="0"/>
    <cellStyle name="Note" xfId="15" xr:uid="{00000000-0005-0000-0000-00000F000000}"/>
    <cellStyle name="Output" xfId="10" xr:uid="{00000000-0005-0000-0000-00000A000000}"/>
    <cellStyle name="Title" xfId="1" xr:uid="{00000000-0005-0000-0000-000001000000}"/>
    <cellStyle name="Total" xfId="17" xr:uid="{00000000-0005-0000-0000-000011000000}"/>
    <cellStyle name="Warning Text" xfId="14" xr:uid="{00000000-0005-0000-0000-00000E000000}"/>
  </cellStyles>
  <dxfs count="7"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DE9E7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DLS vs 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Dashboard_Data!$M$1</c:f>
              <c:strCache>
                <c:ptCount val="1"/>
                <c:pt idx="0">
                  <c:v>DLS_deg_per_100ft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Dashboard_Data!$A$2:$A$152</c:f>
              <c:numCache>
                <c:formatCode>0</c:formatCode>
                <c:ptCount val="151"/>
                <c:pt idx="0">
                  <c:v>3305</c:v>
                </c:pt>
                <c:pt idx="1">
                  <c:v>3310</c:v>
                </c:pt>
                <c:pt idx="2">
                  <c:v>3315</c:v>
                </c:pt>
                <c:pt idx="3">
                  <c:v>3320</c:v>
                </c:pt>
                <c:pt idx="4">
                  <c:v>3325</c:v>
                </c:pt>
                <c:pt idx="5">
                  <c:v>3330</c:v>
                </c:pt>
                <c:pt idx="6">
                  <c:v>3335</c:v>
                </c:pt>
                <c:pt idx="7">
                  <c:v>3340</c:v>
                </c:pt>
                <c:pt idx="8">
                  <c:v>3345</c:v>
                </c:pt>
                <c:pt idx="9">
                  <c:v>3350</c:v>
                </c:pt>
                <c:pt idx="10">
                  <c:v>3355</c:v>
                </c:pt>
                <c:pt idx="11">
                  <c:v>3360</c:v>
                </c:pt>
                <c:pt idx="12">
                  <c:v>3365</c:v>
                </c:pt>
                <c:pt idx="13">
                  <c:v>3370</c:v>
                </c:pt>
                <c:pt idx="14">
                  <c:v>3375</c:v>
                </c:pt>
                <c:pt idx="15">
                  <c:v>3380</c:v>
                </c:pt>
                <c:pt idx="16">
                  <c:v>3390</c:v>
                </c:pt>
                <c:pt idx="17">
                  <c:v>3395</c:v>
                </c:pt>
                <c:pt idx="18">
                  <c:v>3400</c:v>
                </c:pt>
                <c:pt idx="19">
                  <c:v>3405</c:v>
                </c:pt>
                <c:pt idx="20">
                  <c:v>3415</c:v>
                </c:pt>
                <c:pt idx="21">
                  <c:v>3420</c:v>
                </c:pt>
                <c:pt idx="22">
                  <c:v>3425</c:v>
                </c:pt>
                <c:pt idx="23">
                  <c:v>3430</c:v>
                </c:pt>
                <c:pt idx="24">
                  <c:v>3435</c:v>
                </c:pt>
                <c:pt idx="25">
                  <c:v>3440</c:v>
                </c:pt>
                <c:pt idx="26">
                  <c:v>3445</c:v>
                </c:pt>
                <c:pt idx="27">
                  <c:v>3450</c:v>
                </c:pt>
                <c:pt idx="28">
                  <c:v>3455</c:v>
                </c:pt>
                <c:pt idx="29">
                  <c:v>3460</c:v>
                </c:pt>
                <c:pt idx="30">
                  <c:v>3465</c:v>
                </c:pt>
                <c:pt idx="31">
                  <c:v>3470</c:v>
                </c:pt>
                <c:pt idx="32">
                  <c:v>3475</c:v>
                </c:pt>
                <c:pt idx="33">
                  <c:v>3480</c:v>
                </c:pt>
                <c:pt idx="34">
                  <c:v>3485</c:v>
                </c:pt>
                <c:pt idx="35">
                  <c:v>3490</c:v>
                </c:pt>
                <c:pt idx="36">
                  <c:v>3495</c:v>
                </c:pt>
                <c:pt idx="37">
                  <c:v>3500</c:v>
                </c:pt>
                <c:pt idx="38">
                  <c:v>3505</c:v>
                </c:pt>
                <c:pt idx="39">
                  <c:v>3510</c:v>
                </c:pt>
                <c:pt idx="40">
                  <c:v>3515</c:v>
                </c:pt>
                <c:pt idx="41">
                  <c:v>3520</c:v>
                </c:pt>
                <c:pt idx="42">
                  <c:v>3525</c:v>
                </c:pt>
                <c:pt idx="43">
                  <c:v>3530</c:v>
                </c:pt>
                <c:pt idx="44">
                  <c:v>3535</c:v>
                </c:pt>
                <c:pt idx="45">
                  <c:v>3540</c:v>
                </c:pt>
                <c:pt idx="46">
                  <c:v>3545</c:v>
                </c:pt>
                <c:pt idx="47">
                  <c:v>3550</c:v>
                </c:pt>
                <c:pt idx="48">
                  <c:v>3555</c:v>
                </c:pt>
                <c:pt idx="49">
                  <c:v>3560</c:v>
                </c:pt>
                <c:pt idx="50">
                  <c:v>3565</c:v>
                </c:pt>
                <c:pt idx="51">
                  <c:v>3580</c:v>
                </c:pt>
                <c:pt idx="52">
                  <c:v>3585</c:v>
                </c:pt>
                <c:pt idx="53">
                  <c:v>3590</c:v>
                </c:pt>
                <c:pt idx="54">
                  <c:v>3595</c:v>
                </c:pt>
                <c:pt idx="55">
                  <c:v>3600</c:v>
                </c:pt>
                <c:pt idx="56">
                  <c:v>3605</c:v>
                </c:pt>
                <c:pt idx="57">
                  <c:v>3610</c:v>
                </c:pt>
                <c:pt idx="58">
                  <c:v>3615</c:v>
                </c:pt>
                <c:pt idx="59">
                  <c:v>3620</c:v>
                </c:pt>
                <c:pt idx="60">
                  <c:v>3625</c:v>
                </c:pt>
                <c:pt idx="61">
                  <c:v>3630</c:v>
                </c:pt>
                <c:pt idx="62">
                  <c:v>3635</c:v>
                </c:pt>
                <c:pt idx="63">
                  <c:v>3640</c:v>
                </c:pt>
                <c:pt idx="64">
                  <c:v>3645</c:v>
                </c:pt>
                <c:pt idx="65">
                  <c:v>3650</c:v>
                </c:pt>
                <c:pt idx="66">
                  <c:v>3655</c:v>
                </c:pt>
                <c:pt idx="67">
                  <c:v>3660</c:v>
                </c:pt>
                <c:pt idx="68">
                  <c:v>3665</c:v>
                </c:pt>
                <c:pt idx="69">
                  <c:v>3670</c:v>
                </c:pt>
                <c:pt idx="70">
                  <c:v>3675</c:v>
                </c:pt>
                <c:pt idx="71">
                  <c:v>3680</c:v>
                </c:pt>
                <c:pt idx="72">
                  <c:v>3685</c:v>
                </c:pt>
                <c:pt idx="73">
                  <c:v>3690</c:v>
                </c:pt>
                <c:pt idx="74">
                  <c:v>3695</c:v>
                </c:pt>
                <c:pt idx="75">
                  <c:v>3700</c:v>
                </c:pt>
                <c:pt idx="76">
                  <c:v>3705</c:v>
                </c:pt>
                <c:pt idx="77">
                  <c:v>3710</c:v>
                </c:pt>
                <c:pt idx="78">
                  <c:v>3715</c:v>
                </c:pt>
                <c:pt idx="79">
                  <c:v>3720</c:v>
                </c:pt>
                <c:pt idx="80">
                  <c:v>3725</c:v>
                </c:pt>
                <c:pt idx="81">
                  <c:v>3730</c:v>
                </c:pt>
                <c:pt idx="82">
                  <c:v>3735</c:v>
                </c:pt>
                <c:pt idx="83">
                  <c:v>3740</c:v>
                </c:pt>
                <c:pt idx="84">
                  <c:v>3745</c:v>
                </c:pt>
                <c:pt idx="85">
                  <c:v>3750</c:v>
                </c:pt>
                <c:pt idx="86">
                  <c:v>3755</c:v>
                </c:pt>
                <c:pt idx="87">
                  <c:v>3760</c:v>
                </c:pt>
                <c:pt idx="88">
                  <c:v>3765</c:v>
                </c:pt>
                <c:pt idx="89">
                  <c:v>3770</c:v>
                </c:pt>
                <c:pt idx="90">
                  <c:v>3775</c:v>
                </c:pt>
                <c:pt idx="91">
                  <c:v>3780</c:v>
                </c:pt>
                <c:pt idx="92">
                  <c:v>3785</c:v>
                </c:pt>
                <c:pt idx="93">
                  <c:v>3790</c:v>
                </c:pt>
                <c:pt idx="94">
                  <c:v>3795</c:v>
                </c:pt>
                <c:pt idx="95">
                  <c:v>3800</c:v>
                </c:pt>
                <c:pt idx="96">
                  <c:v>3805</c:v>
                </c:pt>
                <c:pt idx="97">
                  <c:v>3810</c:v>
                </c:pt>
                <c:pt idx="98">
                  <c:v>3815</c:v>
                </c:pt>
                <c:pt idx="99">
                  <c:v>3820</c:v>
                </c:pt>
                <c:pt idx="100">
                  <c:v>3825</c:v>
                </c:pt>
                <c:pt idx="101">
                  <c:v>3830</c:v>
                </c:pt>
                <c:pt idx="102">
                  <c:v>3835</c:v>
                </c:pt>
                <c:pt idx="103">
                  <c:v>3840</c:v>
                </c:pt>
                <c:pt idx="104">
                  <c:v>3845</c:v>
                </c:pt>
                <c:pt idx="105">
                  <c:v>3850</c:v>
                </c:pt>
                <c:pt idx="106">
                  <c:v>3855</c:v>
                </c:pt>
                <c:pt idx="107">
                  <c:v>3860</c:v>
                </c:pt>
                <c:pt idx="108">
                  <c:v>3865</c:v>
                </c:pt>
                <c:pt idx="109">
                  <c:v>3870</c:v>
                </c:pt>
                <c:pt idx="110">
                  <c:v>3875</c:v>
                </c:pt>
                <c:pt idx="111">
                  <c:v>3880</c:v>
                </c:pt>
                <c:pt idx="112">
                  <c:v>3885</c:v>
                </c:pt>
                <c:pt idx="113">
                  <c:v>3890</c:v>
                </c:pt>
                <c:pt idx="114">
                  <c:v>3895</c:v>
                </c:pt>
                <c:pt idx="115">
                  <c:v>3900</c:v>
                </c:pt>
                <c:pt idx="116">
                  <c:v>3905</c:v>
                </c:pt>
                <c:pt idx="117">
                  <c:v>3910</c:v>
                </c:pt>
                <c:pt idx="118">
                  <c:v>3915</c:v>
                </c:pt>
                <c:pt idx="119">
                  <c:v>3920</c:v>
                </c:pt>
                <c:pt idx="120">
                  <c:v>3925</c:v>
                </c:pt>
                <c:pt idx="121">
                  <c:v>3940</c:v>
                </c:pt>
                <c:pt idx="122">
                  <c:v>3945</c:v>
                </c:pt>
                <c:pt idx="123">
                  <c:v>3950</c:v>
                </c:pt>
                <c:pt idx="124">
                  <c:v>3955</c:v>
                </c:pt>
                <c:pt idx="125">
                  <c:v>3960</c:v>
                </c:pt>
                <c:pt idx="126">
                  <c:v>3965</c:v>
                </c:pt>
                <c:pt idx="127">
                  <c:v>3970</c:v>
                </c:pt>
                <c:pt idx="128">
                  <c:v>3975</c:v>
                </c:pt>
                <c:pt idx="129">
                  <c:v>3980</c:v>
                </c:pt>
                <c:pt idx="130">
                  <c:v>3985</c:v>
                </c:pt>
                <c:pt idx="131">
                  <c:v>3990</c:v>
                </c:pt>
                <c:pt idx="132">
                  <c:v>3995</c:v>
                </c:pt>
                <c:pt idx="133">
                  <c:v>4000</c:v>
                </c:pt>
                <c:pt idx="134">
                  <c:v>4005</c:v>
                </c:pt>
                <c:pt idx="135">
                  <c:v>4010</c:v>
                </c:pt>
                <c:pt idx="136">
                  <c:v>4015</c:v>
                </c:pt>
                <c:pt idx="137">
                  <c:v>4020</c:v>
                </c:pt>
                <c:pt idx="138">
                  <c:v>4025</c:v>
                </c:pt>
                <c:pt idx="139">
                  <c:v>4030</c:v>
                </c:pt>
                <c:pt idx="140">
                  <c:v>4035</c:v>
                </c:pt>
                <c:pt idx="141">
                  <c:v>4040</c:v>
                </c:pt>
                <c:pt idx="142">
                  <c:v>4045</c:v>
                </c:pt>
                <c:pt idx="143">
                  <c:v>4050</c:v>
                </c:pt>
                <c:pt idx="144">
                  <c:v>4055</c:v>
                </c:pt>
                <c:pt idx="145">
                  <c:v>4060</c:v>
                </c:pt>
                <c:pt idx="146">
                  <c:v>4065</c:v>
                </c:pt>
                <c:pt idx="147">
                  <c:v>4070</c:v>
                </c:pt>
                <c:pt idx="148">
                  <c:v>4075</c:v>
                </c:pt>
                <c:pt idx="149">
                  <c:v>4080</c:v>
                </c:pt>
                <c:pt idx="150">
                  <c:v>4085</c:v>
                </c:pt>
              </c:numCache>
            </c:numRef>
          </c:cat>
          <c:val>
            <c:numRef>
              <c:f>Dashboard_Data!$M$2:$M$152</c:f>
              <c:numCache>
                <c:formatCode>0.00</c:formatCode>
                <c:ptCount val="151"/>
                <c:pt idx="0">
                  <c:v>3.2</c:v>
                </c:pt>
                <c:pt idx="1">
                  <c:v>4.29</c:v>
                </c:pt>
                <c:pt idx="2">
                  <c:v>4.58</c:v>
                </c:pt>
                <c:pt idx="3">
                  <c:v>2.81</c:v>
                </c:pt>
                <c:pt idx="4">
                  <c:v>2.74</c:v>
                </c:pt>
                <c:pt idx="5">
                  <c:v>2.6</c:v>
                </c:pt>
                <c:pt idx="6">
                  <c:v>2.38</c:v>
                </c:pt>
                <c:pt idx="7">
                  <c:v>2.21</c:v>
                </c:pt>
                <c:pt idx="8">
                  <c:v>1.98</c:v>
                </c:pt>
                <c:pt idx="9">
                  <c:v>2.56</c:v>
                </c:pt>
                <c:pt idx="10">
                  <c:v>3.04</c:v>
                </c:pt>
                <c:pt idx="11">
                  <c:v>3.2</c:v>
                </c:pt>
                <c:pt idx="12">
                  <c:v>3.35</c:v>
                </c:pt>
                <c:pt idx="13">
                  <c:v>3.29</c:v>
                </c:pt>
                <c:pt idx="14">
                  <c:v>3.28</c:v>
                </c:pt>
                <c:pt idx="15">
                  <c:v>3.28</c:v>
                </c:pt>
                <c:pt idx="16">
                  <c:v>3.09</c:v>
                </c:pt>
                <c:pt idx="17">
                  <c:v>3.24</c:v>
                </c:pt>
                <c:pt idx="18">
                  <c:v>2.98</c:v>
                </c:pt>
                <c:pt idx="19">
                  <c:v>4.29</c:v>
                </c:pt>
                <c:pt idx="20">
                  <c:v>3.18</c:v>
                </c:pt>
                <c:pt idx="21">
                  <c:v>3.16</c:v>
                </c:pt>
                <c:pt idx="22">
                  <c:v>2.8</c:v>
                </c:pt>
                <c:pt idx="23">
                  <c:v>2.02</c:v>
                </c:pt>
                <c:pt idx="24">
                  <c:v>1.93</c:v>
                </c:pt>
                <c:pt idx="25">
                  <c:v>1.93</c:v>
                </c:pt>
                <c:pt idx="26">
                  <c:v>1.94</c:v>
                </c:pt>
                <c:pt idx="27">
                  <c:v>2</c:v>
                </c:pt>
                <c:pt idx="28">
                  <c:v>2.0699999999999998</c:v>
                </c:pt>
                <c:pt idx="29">
                  <c:v>2.17</c:v>
                </c:pt>
                <c:pt idx="30">
                  <c:v>1.99</c:v>
                </c:pt>
                <c:pt idx="31">
                  <c:v>2.0699999999999998</c:v>
                </c:pt>
                <c:pt idx="32">
                  <c:v>2.1800000000000002</c:v>
                </c:pt>
                <c:pt idx="33">
                  <c:v>2.2200000000000002</c:v>
                </c:pt>
                <c:pt idx="34">
                  <c:v>2.12</c:v>
                </c:pt>
                <c:pt idx="35">
                  <c:v>2.1</c:v>
                </c:pt>
                <c:pt idx="36">
                  <c:v>2.1800000000000002</c:v>
                </c:pt>
                <c:pt idx="37">
                  <c:v>2.13</c:v>
                </c:pt>
                <c:pt idx="38">
                  <c:v>2.25</c:v>
                </c:pt>
                <c:pt idx="39">
                  <c:v>2.04</c:v>
                </c:pt>
                <c:pt idx="40">
                  <c:v>2.1</c:v>
                </c:pt>
                <c:pt idx="41">
                  <c:v>2.4500000000000002</c:v>
                </c:pt>
                <c:pt idx="42">
                  <c:v>2.2799999999999998</c:v>
                </c:pt>
                <c:pt idx="43">
                  <c:v>2.16</c:v>
                </c:pt>
                <c:pt idx="44">
                  <c:v>2.0099999999999998</c:v>
                </c:pt>
                <c:pt idx="45">
                  <c:v>2.0499999999999998</c:v>
                </c:pt>
                <c:pt idx="46">
                  <c:v>1.96</c:v>
                </c:pt>
                <c:pt idx="47">
                  <c:v>2.2799999999999998</c:v>
                </c:pt>
                <c:pt idx="48">
                  <c:v>2.4</c:v>
                </c:pt>
                <c:pt idx="49">
                  <c:v>2.4900000000000002</c:v>
                </c:pt>
                <c:pt idx="50">
                  <c:v>2.65</c:v>
                </c:pt>
                <c:pt idx="51">
                  <c:v>2.5099999999999998</c:v>
                </c:pt>
                <c:pt idx="52">
                  <c:v>2.0499999999999998</c:v>
                </c:pt>
                <c:pt idx="53">
                  <c:v>2.52</c:v>
                </c:pt>
                <c:pt idx="54">
                  <c:v>1.95</c:v>
                </c:pt>
                <c:pt idx="55">
                  <c:v>1.85</c:v>
                </c:pt>
                <c:pt idx="56">
                  <c:v>1.89</c:v>
                </c:pt>
                <c:pt idx="57">
                  <c:v>1.85</c:v>
                </c:pt>
                <c:pt idx="58">
                  <c:v>3.14</c:v>
                </c:pt>
                <c:pt idx="59">
                  <c:v>2.5099999999999998</c:v>
                </c:pt>
                <c:pt idx="60">
                  <c:v>2.44</c:v>
                </c:pt>
                <c:pt idx="61">
                  <c:v>2.3199999999999998</c:v>
                </c:pt>
                <c:pt idx="62">
                  <c:v>2.38</c:v>
                </c:pt>
                <c:pt idx="63">
                  <c:v>2.58</c:v>
                </c:pt>
                <c:pt idx="64">
                  <c:v>2.37</c:v>
                </c:pt>
                <c:pt idx="65">
                  <c:v>4.25</c:v>
                </c:pt>
                <c:pt idx="66">
                  <c:v>3.45</c:v>
                </c:pt>
                <c:pt idx="67">
                  <c:v>2.62</c:v>
                </c:pt>
                <c:pt idx="68">
                  <c:v>2.74</c:v>
                </c:pt>
                <c:pt idx="69">
                  <c:v>3.09</c:v>
                </c:pt>
                <c:pt idx="70">
                  <c:v>3.15</c:v>
                </c:pt>
                <c:pt idx="71">
                  <c:v>3.07</c:v>
                </c:pt>
                <c:pt idx="72">
                  <c:v>3.27</c:v>
                </c:pt>
                <c:pt idx="73">
                  <c:v>2.59</c:v>
                </c:pt>
                <c:pt idx="74">
                  <c:v>2.33</c:v>
                </c:pt>
                <c:pt idx="75">
                  <c:v>4.7699999999999996</c:v>
                </c:pt>
                <c:pt idx="76">
                  <c:v>4.74</c:v>
                </c:pt>
                <c:pt idx="77">
                  <c:v>4.3600000000000003</c:v>
                </c:pt>
                <c:pt idx="78">
                  <c:v>4.4800000000000004</c:v>
                </c:pt>
                <c:pt idx="79">
                  <c:v>4.45</c:v>
                </c:pt>
                <c:pt idx="80">
                  <c:v>4.47</c:v>
                </c:pt>
                <c:pt idx="81">
                  <c:v>4.8099999999999996</c:v>
                </c:pt>
                <c:pt idx="82">
                  <c:v>4.82</c:v>
                </c:pt>
                <c:pt idx="83">
                  <c:v>5.0199999999999996</c:v>
                </c:pt>
                <c:pt idx="84">
                  <c:v>5.31</c:v>
                </c:pt>
                <c:pt idx="85">
                  <c:v>5.14</c:v>
                </c:pt>
                <c:pt idx="86">
                  <c:v>4.1900000000000004</c:v>
                </c:pt>
                <c:pt idx="87">
                  <c:v>4.38</c:v>
                </c:pt>
                <c:pt idx="88">
                  <c:v>4.3600000000000003</c:v>
                </c:pt>
                <c:pt idx="89">
                  <c:v>3.98</c:v>
                </c:pt>
                <c:pt idx="90">
                  <c:v>4.45</c:v>
                </c:pt>
                <c:pt idx="91">
                  <c:v>5.0599999999999996</c:v>
                </c:pt>
                <c:pt idx="92">
                  <c:v>5.0599999999999996</c:v>
                </c:pt>
                <c:pt idx="93">
                  <c:v>5.1100000000000003</c:v>
                </c:pt>
                <c:pt idx="94">
                  <c:v>5.01</c:v>
                </c:pt>
                <c:pt idx="95">
                  <c:v>4.9000000000000004</c:v>
                </c:pt>
                <c:pt idx="96">
                  <c:v>5.29</c:v>
                </c:pt>
                <c:pt idx="97">
                  <c:v>5.5</c:v>
                </c:pt>
                <c:pt idx="98">
                  <c:v>5.0999999999999996</c:v>
                </c:pt>
                <c:pt idx="99">
                  <c:v>4.91</c:v>
                </c:pt>
                <c:pt idx="100">
                  <c:v>5.27</c:v>
                </c:pt>
                <c:pt idx="101">
                  <c:v>6.13</c:v>
                </c:pt>
                <c:pt idx="102">
                  <c:v>7.41</c:v>
                </c:pt>
                <c:pt idx="103">
                  <c:v>7.41</c:v>
                </c:pt>
                <c:pt idx="104">
                  <c:v>7.82</c:v>
                </c:pt>
                <c:pt idx="105">
                  <c:v>7.47</c:v>
                </c:pt>
                <c:pt idx="106">
                  <c:v>7.4</c:v>
                </c:pt>
                <c:pt idx="107">
                  <c:v>8.5</c:v>
                </c:pt>
                <c:pt idx="108">
                  <c:v>8.5</c:v>
                </c:pt>
                <c:pt idx="109">
                  <c:v>8.5299999999999994</c:v>
                </c:pt>
                <c:pt idx="110">
                  <c:v>8.5</c:v>
                </c:pt>
                <c:pt idx="111">
                  <c:v>7.76</c:v>
                </c:pt>
                <c:pt idx="112">
                  <c:v>7.7</c:v>
                </c:pt>
                <c:pt idx="113">
                  <c:v>7.23</c:v>
                </c:pt>
                <c:pt idx="114">
                  <c:v>7.41</c:v>
                </c:pt>
                <c:pt idx="115">
                  <c:v>7.04</c:v>
                </c:pt>
                <c:pt idx="116">
                  <c:v>6.99</c:v>
                </c:pt>
                <c:pt idx="117">
                  <c:v>8.41</c:v>
                </c:pt>
                <c:pt idx="118">
                  <c:v>7.5</c:v>
                </c:pt>
                <c:pt idx="119">
                  <c:v>8.17</c:v>
                </c:pt>
                <c:pt idx="120">
                  <c:v>7.51</c:v>
                </c:pt>
                <c:pt idx="121">
                  <c:v>5.93</c:v>
                </c:pt>
                <c:pt idx="122">
                  <c:v>5.47</c:v>
                </c:pt>
                <c:pt idx="123">
                  <c:v>5.81</c:v>
                </c:pt>
                <c:pt idx="124">
                  <c:v>6.14</c:v>
                </c:pt>
                <c:pt idx="125">
                  <c:v>5.94</c:v>
                </c:pt>
                <c:pt idx="126">
                  <c:v>5.44</c:v>
                </c:pt>
                <c:pt idx="127">
                  <c:v>5.1100000000000003</c:v>
                </c:pt>
                <c:pt idx="128">
                  <c:v>5.37</c:v>
                </c:pt>
                <c:pt idx="129">
                  <c:v>5.32</c:v>
                </c:pt>
                <c:pt idx="130">
                  <c:v>4.75</c:v>
                </c:pt>
                <c:pt idx="131">
                  <c:v>4.92</c:v>
                </c:pt>
                <c:pt idx="132">
                  <c:v>5.05</c:v>
                </c:pt>
                <c:pt idx="133">
                  <c:v>5.26</c:v>
                </c:pt>
                <c:pt idx="134">
                  <c:v>5.92</c:v>
                </c:pt>
                <c:pt idx="135">
                  <c:v>5.63</c:v>
                </c:pt>
                <c:pt idx="136">
                  <c:v>5.07</c:v>
                </c:pt>
                <c:pt idx="137">
                  <c:v>4.93</c:v>
                </c:pt>
                <c:pt idx="138">
                  <c:v>4.82</c:v>
                </c:pt>
                <c:pt idx="139">
                  <c:v>4.78</c:v>
                </c:pt>
                <c:pt idx="140">
                  <c:v>4.82</c:v>
                </c:pt>
                <c:pt idx="141">
                  <c:v>5.13</c:v>
                </c:pt>
                <c:pt idx="142">
                  <c:v>5.4</c:v>
                </c:pt>
                <c:pt idx="143">
                  <c:v>4.9800000000000004</c:v>
                </c:pt>
                <c:pt idx="144">
                  <c:v>5.31</c:v>
                </c:pt>
                <c:pt idx="145">
                  <c:v>5.41</c:v>
                </c:pt>
                <c:pt idx="146">
                  <c:v>6.22</c:v>
                </c:pt>
                <c:pt idx="147">
                  <c:v>7.62</c:v>
                </c:pt>
                <c:pt idx="148">
                  <c:v>8.8000000000000007</c:v>
                </c:pt>
                <c:pt idx="149">
                  <c:v>8.64</c:v>
                </c:pt>
                <c:pt idx="150">
                  <c:v>8.7100000000000009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78-9149-9A4C-BB5E72474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Depth (ft)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DLS (deg/100ft)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Confidence vs 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Dashboard_Data!$R$1</c:f>
              <c:strCache>
                <c:ptCount val="1"/>
                <c:pt idx="0">
                  <c:v>Confidence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Dashboard_Data!$A$2:$A$152</c:f>
              <c:numCache>
                <c:formatCode>0</c:formatCode>
                <c:ptCount val="151"/>
                <c:pt idx="0">
                  <c:v>3305</c:v>
                </c:pt>
                <c:pt idx="1">
                  <c:v>3310</c:v>
                </c:pt>
                <c:pt idx="2">
                  <c:v>3315</c:v>
                </c:pt>
                <c:pt idx="3">
                  <c:v>3320</c:v>
                </c:pt>
                <c:pt idx="4">
                  <c:v>3325</c:v>
                </c:pt>
                <c:pt idx="5">
                  <c:v>3330</c:v>
                </c:pt>
                <c:pt idx="6">
                  <c:v>3335</c:v>
                </c:pt>
                <c:pt idx="7">
                  <c:v>3340</c:v>
                </c:pt>
                <c:pt idx="8">
                  <c:v>3345</c:v>
                </c:pt>
                <c:pt idx="9">
                  <c:v>3350</c:v>
                </c:pt>
                <c:pt idx="10">
                  <c:v>3355</c:v>
                </c:pt>
                <c:pt idx="11">
                  <c:v>3360</c:v>
                </c:pt>
                <c:pt idx="12">
                  <c:v>3365</c:v>
                </c:pt>
                <c:pt idx="13">
                  <c:v>3370</c:v>
                </c:pt>
                <c:pt idx="14">
                  <c:v>3375</c:v>
                </c:pt>
                <c:pt idx="15">
                  <c:v>3380</c:v>
                </c:pt>
                <c:pt idx="16">
                  <c:v>3390</c:v>
                </c:pt>
                <c:pt idx="17">
                  <c:v>3395</c:v>
                </c:pt>
                <c:pt idx="18">
                  <c:v>3400</c:v>
                </c:pt>
                <c:pt idx="19">
                  <c:v>3405</c:v>
                </c:pt>
                <c:pt idx="20">
                  <c:v>3415</c:v>
                </c:pt>
                <c:pt idx="21">
                  <c:v>3420</c:v>
                </c:pt>
                <c:pt idx="22">
                  <c:v>3425</c:v>
                </c:pt>
                <c:pt idx="23">
                  <c:v>3430</c:v>
                </c:pt>
                <c:pt idx="24">
                  <c:v>3435</c:v>
                </c:pt>
                <c:pt idx="25">
                  <c:v>3440</c:v>
                </c:pt>
                <c:pt idx="26">
                  <c:v>3445</c:v>
                </c:pt>
                <c:pt idx="27">
                  <c:v>3450</c:v>
                </c:pt>
                <c:pt idx="28">
                  <c:v>3455</c:v>
                </c:pt>
                <c:pt idx="29">
                  <c:v>3460</c:v>
                </c:pt>
                <c:pt idx="30">
                  <c:v>3465</c:v>
                </c:pt>
                <c:pt idx="31">
                  <c:v>3470</c:v>
                </c:pt>
                <c:pt idx="32">
                  <c:v>3475</c:v>
                </c:pt>
                <c:pt idx="33">
                  <c:v>3480</c:v>
                </c:pt>
                <c:pt idx="34">
                  <c:v>3485</c:v>
                </c:pt>
                <c:pt idx="35">
                  <c:v>3490</c:v>
                </c:pt>
                <c:pt idx="36">
                  <c:v>3495</c:v>
                </c:pt>
                <c:pt idx="37">
                  <c:v>3500</c:v>
                </c:pt>
                <c:pt idx="38">
                  <c:v>3505</c:v>
                </c:pt>
                <c:pt idx="39">
                  <c:v>3510</c:v>
                </c:pt>
                <c:pt idx="40">
                  <c:v>3515</c:v>
                </c:pt>
                <c:pt idx="41">
                  <c:v>3520</c:v>
                </c:pt>
                <c:pt idx="42">
                  <c:v>3525</c:v>
                </c:pt>
                <c:pt idx="43">
                  <c:v>3530</c:v>
                </c:pt>
                <c:pt idx="44">
                  <c:v>3535</c:v>
                </c:pt>
                <c:pt idx="45">
                  <c:v>3540</c:v>
                </c:pt>
                <c:pt idx="46">
                  <c:v>3545</c:v>
                </c:pt>
                <c:pt idx="47">
                  <c:v>3550</c:v>
                </c:pt>
                <c:pt idx="48">
                  <c:v>3555</c:v>
                </c:pt>
                <c:pt idx="49">
                  <c:v>3560</c:v>
                </c:pt>
                <c:pt idx="50">
                  <c:v>3565</c:v>
                </c:pt>
                <c:pt idx="51">
                  <c:v>3580</c:v>
                </c:pt>
                <c:pt idx="52">
                  <c:v>3585</c:v>
                </c:pt>
                <c:pt idx="53">
                  <c:v>3590</c:v>
                </c:pt>
                <c:pt idx="54">
                  <c:v>3595</c:v>
                </c:pt>
                <c:pt idx="55">
                  <c:v>3600</c:v>
                </c:pt>
                <c:pt idx="56">
                  <c:v>3605</c:v>
                </c:pt>
                <c:pt idx="57">
                  <c:v>3610</c:v>
                </c:pt>
                <c:pt idx="58">
                  <c:v>3615</c:v>
                </c:pt>
                <c:pt idx="59">
                  <c:v>3620</c:v>
                </c:pt>
                <c:pt idx="60">
                  <c:v>3625</c:v>
                </c:pt>
                <c:pt idx="61">
                  <c:v>3630</c:v>
                </c:pt>
                <c:pt idx="62">
                  <c:v>3635</c:v>
                </c:pt>
                <c:pt idx="63">
                  <c:v>3640</c:v>
                </c:pt>
                <c:pt idx="64">
                  <c:v>3645</c:v>
                </c:pt>
                <c:pt idx="65">
                  <c:v>3650</c:v>
                </c:pt>
                <c:pt idx="66">
                  <c:v>3655</c:v>
                </c:pt>
                <c:pt idx="67">
                  <c:v>3660</c:v>
                </c:pt>
                <c:pt idx="68">
                  <c:v>3665</c:v>
                </c:pt>
                <c:pt idx="69">
                  <c:v>3670</c:v>
                </c:pt>
                <c:pt idx="70">
                  <c:v>3675</c:v>
                </c:pt>
                <c:pt idx="71">
                  <c:v>3680</c:v>
                </c:pt>
                <c:pt idx="72">
                  <c:v>3685</c:v>
                </c:pt>
                <c:pt idx="73">
                  <c:v>3690</c:v>
                </c:pt>
                <c:pt idx="74">
                  <c:v>3695</c:v>
                </c:pt>
                <c:pt idx="75">
                  <c:v>3700</c:v>
                </c:pt>
                <c:pt idx="76">
                  <c:v>3705</c:v>
                </c:pt>
                <c:pt idx="77">
                  <c:v>3710</c:v>
                </c:pt>
                <c:pt idx="78">
                  <c:v>3715</c:v>
                </c:pt>
                <c:pt idx="79">
                  <c:v>3720</c:v>
                </c:pt>
                <c:pt idx="80">
                  <c:v>3725</c:v>
                </c:pt>
                <c:pt idx="81">
                  <c:v>3730</c:v>
                </c:pt>
                <c:pt idx="82">
                  <c:v>3735</c:v>
                </c:pt>
                <c:pt idx="83">
                  <c:v>3740</c:v>
                </c:pt>
                <c:pt idx="84">
                  <c:v>3745</c:v>
                </c:pt>
                <c:pt idx="85">
                  <c:v>3750</c:v>
                </c:pt>
                <c:pt idx="86">
                  <c:v>3755</c:v>
                </c:pt>
                <c:pt idx="87">
                  <c:v>3760</c:v>
                </c:pt>
                <c:pt idx="88">
                  <c:v>3765</c:v>
                </c:pt>
                <c:pt idx="89">
                  <c:v>3770</c:v>
                </c:pt>
                <c:pt idx="90">
                  <c:v>3775</c:v>
                </c:pt>
                <c:pt idx="91">
                  <c:v>3780</c:v>
                </c:pt>
                <c:pt idx="92">
                  <c:v>3785</c:v>
                </c:pt>
                <c:pt idx="93">
                  <c:v>3790</c:v>
                </c:pt>
                <c:pt idx="94">
                  <c:v>3795</c:v>
                </c:pt>
                <c:pt idx="95">
                  <c:v>3800</c:v>
                </c:pt>
                <c:pt idx="96">
                  <c:v>3805</c:v>
                </c:pt>
                <c:pt idx="97">
                  <c:v>3810</c:v>
                </c:pt>
                <c:pt idx="98">
                  <c:v>3815</c:v>
                </c:pt>
                <c:pt idx="99">
                  <c:v>3820</c:v>
                </c:pt>
                <c:pt idx="100">
                  <c:v>3825</c:v>
                </c:pt>
                <c:pt idx="101">
                  <c:v>3830</c:v>
                </c:pt>
                <c:pt idx="102">
                  <c:v>3835</c:v>
                </c:pt>
                <c:pt idx="103">
                  <c:v>3840</c:v>
                </c:pt>
                <c:pt idx="104">
                  <c:v>3845</c:v>
                </c:pt>
                <c:pt idx="105">
                  <c:v>3850</c:v>
                </c:pt>
                <c:pt idx="106">
                  <c:v>3855</c:v>
                </c:pt>
                <c:pt idx="107">
                  <c:v>3860</c:v>
                </c:pt>
                <c:pt idx="108">
                  <c:v>3865</c:v>
                </c:pt>
                <c:pt idx="109">
                  <c:v>3870</c:v>
                </c:pt>
                <c:pt idx="110">
                  <c:v>3875</c:v>
                </c:pt>
                <c:pt idx="111">
                  <c:v>3880</c:v>
                </c:pt>
                <c:pt idx="112">
                  <c:v>3885</c:v>
                </c:pt>
                <c:pt idx="113">
                  <c:v>3890</c:v>
                </c:pt>
                <c:pt idx="114">
                  <c:v>3895</c:v>
                </c:pt>
                <c:pt idx="115">
                  <c:v>3900</c:v>
                </c:pt>
                <c:pt idx="116">
                  <c:v>3905</c:v>
                </c:pt>
                <c:pt idx="117">
                  <c:v>3910</c:v>
                </c:pt>
                <c:pt idx="118">
                  <c:v>3915</c:v>
                </c:pt>
                <c:pt idx="119">
                  <c:v>3920</c:v>
                </c:pt>
                <c:pt idx="120">
                  <c:v>3925</c:v>
                </c:pt>
                <c:pt idx="121">
                  <c:v>3940</c:v>
                </c:pt>
                <c:pt idx="122">
                  <c:v>3945</c:v>
                </c:pt>
                <c:pt idx="123">
                  <c:v>3950</c:v>
                </c:pt>
                <c:pt idx="124">
                  <c:v>3955</c:v>
                </c:pt>
                <c:pt idx="125">
                  <c:v>3960</c:v>
                </c:pt>
                <c:pt idx="126">
                  <c:v>3965</c:v>
                </c:pt>
                <c:pt idx="127">
                  <c:v>3970</c:v>
                </c:pt>
                <c:pt idx="128">
                  <c:v>3975</c:v>
                </c:pt>
                <c:pt idx="129">
                  <c:v>3980</c:v>
                </c:pt>
                <c:pt idx="130">
                  <c:v>3985</c:v>
                </c:pt>
                <c:pt idx="131">
                  <c:v>3990</c:v>
                </c:pt>
                <c:pt idx="132">
                  <c:v>3995</c:v>
                </c:pt>
                <c:pt idx="133">
                  <c:v>4000</c:v>
                </c:pt>
                <c:pt idx="134">
                  <c:v>4005</c:v>
                </c:pt>
                <c:pt idx="135">
                  <c:v>4010</c:v>
                </c:pt>
                <c:pt idx="136">
                  <c:v>4015</c:v>
                </c:pt>
                <c:pt idx="137">
                  <c:v>4020</c:v>
                </c:pt>
                <c:pt idx="138">
                  <c:v>4025</c:v>
                </c:pt>
                <c:pt idx="139">
                  <c:v>4030</c:v>
                </c:pt>
                <c:pt idx="140">
                  <c:v>4035</c:v>
                </c:pt>
                <c:pt idx="141">
                  <c:v>4040</c:v>
                </c:pt>
                <c:pt idx="142">
                  <c:v>4045</c:v>
                </c:pt>
                <c:pt idx="143">
                  <c:v>4050</c:v>
                </c:pt>
                <c:pt idx="144">
                  <c:v>4055</c:v>
                </c:pt>
                <c:pt idx="145">
                  <c:v>4060</c:v>
                </c:pt>
                <c:pt idx="146">
                  <c:v>4065</c:v>
                </c:pt>
                <c:pt idx="147">
                  <c:v>4070</c:v>
                </c:pt>
                <c:pt idx="148">
                  <c:v>4075</c:v>
                </c:pt>
                <c:pt idx="149">
                  <c:v>4080</c:v>
                </c:pt>
                <c:pt idx="150">
                  <c:v>4085</c:v>
                </c:pt>
              </c:numCache>
            </c:numRef>
          </c:cat>
          <c:val>
            <c:numRef>
              <c:f>Dashboard_Data!$R$2:$R$152</c:f>
              <c:numCache>
                <c:formatCode>0.00</c:formatCode>
                <c:ptCount val="151"/>
                <c:pt idx="0">
                  <c:v>0.72</c:v>
                </c:pt>
                <c:pt idx="1">
                  <c:v>0.62</c:v>
                </c:pt>
                <c:pt idx="2">
                  <c:v>0.48</c:v>
                </c:pt>
                <c:pt idx="3">
                  <c:v>0.91</c:v>
                </c:pt>
                <c:pt idx="4">
                  <c:v>0.95</c:v>
                </c:pt>
                <c:pt idx="5">
                  <c:v>0.89</c:v>
                </c:pt>
                <c:pt idx="6">
                  <c:v>0.83</c:v>
                </c:pt>
                <c:pt idx="7">
                  <c:v>0.83</c:v>
                </c:pt>
                <c:pt idx="8">
                  <c:v>0.9</c:v>
                </c:pt>
                <c:pt idx="9">
                  <c:v>0.85</c:v>
                </c:pt>
                <c:pt idx="10">
                  <c:v>0.86</c:v>
                </c:pt>
                <c:pt idx="11">
                  <c:v>0.89</c:v>
                </c:pt>
                <c:pt idx="12">
                  <c:v>0.9</c:v>
                </c:pt>
                <c:pt idx="13">
                  <c:v>0.92</c:v>
                </c:pt>
                <c:pt idx="14">
                  <c:v>0.73</c:v>
                </c:pt>
                <c:pt idx="15">
                  <c:v>0.75</c:v>
                </c:pt>
                <c:pt idx="16">
                  <c:v>0.95</c:v>
                </c:pt>
                <c:pt idx="17">
                  <c:v>0.91</c:v>
                </c:pt>
                <c:pt idx="18">
                  <c:v>0.89</c:v>
                </c:pt>
                <c:pt idx="19">
                  <c:v>0.56000000000000005</c:v>
                </c:pt>
                <c:pt idx="20">
                  <c:v>0.78</c:v>
                </c:pt>
                <c:pt idx="21">
                  <c:v>0.93</c:v>
                </c:pt>
                <c:pt idx="22">
                  <c:v>0.85</c:v>
                </c:pt>
                <c:pt idx="23">
                  <c:v>0.93</c:v>
                </c:pt>
                <c:pt idx="24">
                  <c:v>0.95</c:v>
                </c:pt>
                <c:pt idx="25">
                  <c:v>0.87</c:v>
                </c:pt>
                <c:pt idx="26">
                  <c:v>0.85</c:v>
                </c:pt>
                <c:pt idx="27">
                  <c:v>0.93</c:v>
                </c:pt>
                <c:pt idx="28">
                  <c:v>0.68</c:v>
                </c:pt>
                <c:pt idx="29">
                  <c:v>0.71</c:v>
                </c:pt>
                <c:pt idx="30">
                  <c:v>0.65</c:v>
                </c:pt>
                <c:pt idx="31">
                  <c:v>0.92</c:v>
                </c:pt>
                <c:pt idx="32">
                  <c:v>0.89</c:v>
                </c:pt>
                <c:pt idx="33">
                  <c:v>0.77</c:v>
                </c:pt>
                <c:pt idx="34">
                  <c:v>0.76</c:v>
                </c:pt>
                <c:pt idx="35">
                  <c:v>0.74</c:v>
                </c:pt>
                <c:pt idx="36">
                  <c:v>0.63</c:v>
                </c:pt>
                <c:pt idx="37">
                  <c:v>0.62</c:v>
                </c:pt>
                <c:pt idx="38">
                  <c:v>0.73</c:v>
                </c:pt>
                <c:pt idx="39">
                  <c:v>0.82</c:v>
                </c:pt>
                <c:pt idx="40">
                  <c:v>0.85</c:v>
                </c:pt>
                <c:pt idx="41">
                  <c:v>0.88</c:v>
                </c:pt>
                <c:pt idx="42">
                  <c:v>0.95</c:v>
                </c:pt>
                <c:pt idx="43">
                  <c:v>0.93</c:v>
                </c:pt>
                <c:pt idx="44">
                  <c:v>0.93</c:v>
                </c:pt>
                <c:pt idx="45">
                  <c:v>0.91</c:v>
                </c:pt>
                <c:pt idx="46">
                  <c:v>0.7</c:v>
                </c:pt>
                <c:pt idx="47">
                  <c:v>0.71</c:v>
                </c:pt>
                <c:pt idx="48">
                  <c:v>0.8</c:v>
                </c:pt>
                <c:pt idx="49">
                  <c:v>0.84</c:v>
                </c:pt>
                <c:pt idx="50">
                  <c:v>0.95</c:v>
                </c:pt>
                <c:pt idx="51">
                  <c:v>0.8</c:v>
                </c:pt>
                <c:pt idx="52">
                  <c:v>0.86</c:v>
                </c:pt>
                <c:pt idx="53">
                  <c:v>0.91</c:v>
                </c:pt>
                <c:pt idx="54">
                  <c:v>0.93</c:v>
                </c:pt>
                <c:pt idx="55">
                  <c:v>0.94</c:v>
                </c:pt>
                <c:pt idx="56">
                  <c:v>0.89</c:v>
                </c:pt>
                <c:pt idx="57">
                  <c:v>0.91</c:v>
                </c:pt>
                <c:pt idx="58">
                  <c:v>0.76</c:v>
                </c:pt>
                <c:pt idx="59">
                  <c:v>0.71</c:v>
                </c:pt>
                <c:pt idx="60">
                  <c:v>0.63</c:v>
                </c:pt>
                <c:pt idx="61">
                  <c:v>0.81</c:v>
                </c:pt>
                <c:pt idx="62">
                  <c:v>0.83</c:v>
                </c:pt>
                <c:pt idx="63">
                  <c:v>0.84</c:v>
                </c:pt>
                <c:pt idx="64">
                  <c:v>0.84</c:v>
                </c:pt>
                <c:pt idx="65">
                  <c:v>0.92</c:v>
                </c:pt>
                <c:pt idx="66">
                  <c:v>0.81</c:v>
                </c:pt>
                <c:pt idx="67">
                  <c:v>0.77</c:v>
                </c:pt>
                <c:pt idx="68">
                  <c:v>0.94</c:v>
                </c:pt>
                <c:pt idx="69">
                  <c:v>0.89</c:v>
                </c:pt>
                <c:pt idx="70">
                  <c:v>0.93</c:v>
                </c:pt>
                <c:pt idx="71">
                  <c:v>0.89</c:v>
                </c:pt>
                <c:pt idx="72">
                  <c:v>0.79</c:v>
                </c:pt>
                <c:pt idx="73">
                  <c:v>0.82</c:v>
                </c:pt>
                <c:pt idx="74">
                  <c:v>0.92</c:v>
                </c:pt>
                <c:pt idx="75">
                  <c:v>0.74</c:v>
                </c:pt>
                <c:pt idx="76">
                  <c:v>0.85</c:v>
                </c:pt>
                <c:pt idx="77">
                  <c:v>0.89</c:v>
                </c:pt>
                <c:pt idx="78">
                  <c:v>0.84</c:v>
                </c:pt>
                <c:pt idx="79">
                  <c:v>0.92</c:v>
                </c:pt>
                <c:pt idx="80">
                  <c:v>0.94</c:v>
                </c:pt>
                <c:pt idx="81">
                  <c:v>0.78</c:v>
                </c:pt>
                <c:pt idx="82">
                  <c:v>0.85</c:v>
                </c:pt>
                <c:pt idx="83">
                  <c:v>0.84</c:v>
                </c:pt>
                <c:pt idx="84">
                  <c:v>0.74</c:v>
                </c:pt>
                <c:pt idx="85">
                  <c:v>0.75</c:v>
                </c:pt>
                <c:pt idx="86">
                  <c:v>0.83</c:v>
                </c:pt>
                <c:pt idx="87">
                  <c:v>0.91</c:v>
                </c:pt>
                <c:pt idx="88">
                  <c:v>0.95</c:v>
                </c:pt>
                <c:pt idx="89">
                  <c:v>0.9</c:v>
                </c:pt>
                <c:pt idx="90">
                  <c:v>0.85</c:v>
                </c:pt>
                <c:pt idx="91">
                  <c:v>0.76</c:v>
                </c:pt>
                <c:pt idx="92">
                  <c:v>0.84</c:v>
                </c:pt>
                <c:pt idx="93">
                  <c:v>0.85</c:v>
                </c:pt>
                <c:pt idx="94">
                  <c:v>0.9</c:v>
                </c:pt>
                <c:pt idx="95">
                  <c:v>0.9</c:v>
                </c:pt>
                <c:pt idx="96">
                  <c:v>0.89</c:v>
                </c:pt>
                <c:pt idx="97">
                  <c:v>0.92</c:v>
                </c:pt>
                <c:pt idx="98">
                  <c:v>0.78</c:v>
                </c:pt>
                <c:pt idx="99">
                  <c:v>0.68</c:v>
                </c:pt>
                <c:pt idx="100">
                  <c:v>0.74</c:v>
                </c:pt>
                <c:pt idx="101">
                  <c:v>0.7</c:v>
                </c:pt>
                <c:pt idx="102">
                  <c:v>0.69</c:v>
                </c:pt>
                <c:pt idx="103">
                  <c:v>0.78</c:v>
                </c:pt>
                <c:pt idx="104">
                  <c:v>0.61</c:v>
                </c:pt>
                <c:pt idx="105">
                  <c:v>0.72</c:v>
                </c:pt>
                <c:pt idx="106">
                  <c:v>0.7</c:v>
                </c:pt>
                <c:pt idx="107">
                  <c:v>0.56000000000000005</c:v>
                </c:pt>
                <c:pt idx="108">
                  <c:v>0.72</c:v>
                </c:pt>
                <c:pt idx="109">
                  <c:v>0.69</c:v>
                </c:pt>
                <c:pt idx="110">
                  <c:v>0.7</c:v>
                </c:pt>
                <c:pt idx="111">
                  <c:v>0.69</c:v>
                </c:pt>
                <c:pt idx="112">
                  <c:v>0.69</c:v>
                </c:pt>
                <c:pt idx="113">
                  <c:v>0.79</c:v>
                </c:pt>
                <c:pt idx="114">
                  <c:v>0.73</c:v>
                </c:pt>
                <c:pt idx="115">
                  <c:v>0.69</c:v>
                </c:pt>
                <c:pt idx="116">
                  <c:v>0.66</c:v>
                </c:pt>
                <c:pt idx="117">
                  <c:v>0.55000000000000004</c:v>
                </c:pt>
                <c:pt idx="118">
                  <c:v>0.55000000000000004</c:v>
                </c:pt>
                <c:pt idx="119">
                  <c:v>0.67</c:v>
                </c:pt>
                <c:pt idx="120">
                  <c:v>0.8</c:v>
                </c:pt>
                <c:pt idx="121">
                  <c:v>0.79</c:v>
                </c:pt>
                <c:pt idx="122">
                  <c:v>0.94</c:v>
                </c:pt>
                <c:pt idx="123">
                  <c:v>0.86</c:v>
                </c:pt>
                <c:pt idx="124">
                  <c:v>0.57999999999999996</c:v>
                </c:pt>
                <c:pt idx="125">
                  <c:v>0.77</c:v>
                </c:pt>
                <c:pt idx="126">
                  <c:v>0.78</c:v>
                </c:pt>
                <c:pt idx="127">
                  <c:v>0.75</c:v>
                </c:pt>
                <c:pt idx="128">
                  <c:v>0.89</c:v>
                </c:pt>
                <c:pt idx="129">
                  <c:v>0.91</c:v>
                </c:pt>
                <c:pt idx="130">
                  <c:v>0.91</c:v>
                </c:pt>
                <c:pt idx="131">
                  <c:v>0.9</c:v>
                </c:pt>
                <c:pt idx="132">
                  <c:v>0.8</c:v>
                </c:pt>
                <c:pt idx="133">
                  <c:v>0.73</c:v>
                </c:pt>
                <c:pt idx="134">
                  <c:v>0.67</c:v>
                </c:pt>
                <c:pt idx="135">
                  <c:v>0.67</c:v>
                </c:pt>
                <c:pt idx="136">
                  <c:v>0.83</c:v>
                </c:pt>
                <c:pt idx="137">
                  <c:v>0.88</c:v>
                </c:pt>
                <c:pt idx="138">
                  <c:v>0.77</c:v>
                </c:pt>
                <c:pt idx="139">
                  <c:v>0.73</c:v>
                </c:pt>
                <c:pt idx="140">
                  <c:v>0.75</c:v>
                </c:pt>
                <c:pt idx="141">
                  <c:v>0.79</c:v>
                </c:pt>
                <c:pt idx="142">
                  <c:v>0.88</c:v>
                </c:pt>
                <c:pt idx="143">
                  <c:v>0.94</c:v>
                </c:pt>
                <c:pt idx="144">
                  <c:v>0.94</c:v>
                </c:pt>
                <c:pt idx="145">
                  <c:v>0.91</c:v>
                </c:pt>
                <c:pt idx="146">
                  <c:v>0.72</c:v>
                </c:pt>
                <c:pt idx="147">
                  <c:v>0.62</c:v>
                </c:pt>
                <c:pt idx="148">
                  <c:v>0.43</c:v>
                </c:pt>
                <c:pt idx="149">
                  <c:v>0.43</c:v>
                </c:pt>
                <c:pt idx="15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C-744F-B4F0-E69A7AD3A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Depth (ft)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Confidence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shboardTable" displayName="DashboardTable" ref="A1:T152">
  <autoFilter ref="A1:T152" xr:uid="{00000000-0009-0000-0100-000001000000}"/>
  <tableColumns count="20">
    <tableColumn id="1" xr3:uid="{00000000-0010-0000-0000-000001000000}" name="Depth_ft"/>
    <tableColumn id="2" xr3:uid="{00000000-0010-0000-0000-000002000000}" name="WOB_lbf"/>
    <tableColumn id="3" xr3:uid="{00000000-0010-0000-0000-000003000000}" name="WOB_klbf"/>
    <tableColumn id="4" xr3:uid="{00000000-0010-0000-0000-000004000000}" name="RPM_demo"/>
    <tableColumn id="5" xr3:uid="{00000000-0010-0000-0000-000005000000}" name="ROP_ft_hr"/>
    <tableColumn id="6" xr3:uid="{00000000-0010-0000-0000-000006000000}" name="PHIF"/>
    <tableColumn id="7" xr3:uid="{00000000-0010-0000-0000-000007000000}" name="VSH"/>
    <tableColumn id="8" xr3:uid="{00000000-0010-0000-0000-000008000000}" name="SW"/>
    <tableColumn id="9" xr3:uid="{00000000-0010-0000-0000-000009000000}" name="KLOGH"/>
    <tableColumn id="10" xr3:uid="{00000000-0010-0000-0000-00000A000000}" name="Formation_Class"/>
    <tableColumn id="11" xr3:uid="{00000000-0010-0000-0000-00000B000000}" name="Torque_kftlb"/>
    <tableColumn id="12" xr3:uid="{00000000-0010-0000-0000-00000C000000}" name="Vibration_g"/>
    <tableColumn id="13" xr3:uid="{00000000-0010-0000-0000-00000D000000}" name="DLS_deg_per_100ft"/>
    <tableColumn id="14" xr3:uid="{00000000-0010-0000-0000-00000E000000}" name="Inclination_deg"/>
    <tableColumn id="15" xr3:uid="{00000000-0010-0000-0000-00000F000000}" name="Azimuth_deg"/>
    <tableColumn id="16" xr3:uid="{00000000-0010-0000-0000-000010000000}" name="DLS_Status"/>
    <tableColumn id="17" xr3:uid="{00000000-0010-0000-0000-000011000000}" name="Recommendation"/>
    <tableColumn id="18" xr3:uid="{00000000-0010-0000-0000-000012000000}" name="Confidence"/>
    <tableColumn id="19" xr3:uid="{00000000-0010-0000-0000-000013000000}" name="Gate_Status"/>
    <tableColumn id="20" xr3:uid="{00000000-0010-0000-0000-000014000000}" name="Alert_Mess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InputTable" displayName="RawInputTable" ref="A1:H152">
  <autoFilter ref="A1:H152" xr:uid="{00000000-0009-0000-0100-000002000000}"/>
  <tableColumns count="8">
    <tableColumn id="1" xr3:uid="{00000000-0010-0000-0100-000001000000}" name="Depth"/>
    <tableColumn id="2" xr3:uid="{00000000-0010-0000-0100-000002000000}" name="WOB"/>
    <tableColumn id="3" xr3:uid="{00000000-0010-0000-0100-000003000000}" name="SURF_RPM"/>
    <tableColumn id="4" xr3:uid="{00000000-0010-0000-0100-000004000000}" name="ROP_AVG"/>
    <tableColumn id="5" xr3:uid="{00000000-0010-0000-0100-000005000000}" name="PHIF"/>
    <tableColumn id="6" xr3:uid="{00000000-0010-0000-0100-000006000000}" name="VSH"/>
    <tableColumn id="7" xr3:uid="{00000000-0010-0000-0100-000007000000}" name="SW"/>
    <tableColumn id="8" xr3:uid="{00000000-0010-0000-0100-000008000000}" name="KLOG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Normal="150" zoomScaleSheetLayoutView="100" workbookViewId="0"/>
  </sheetViews>
  <sheetFormatPr defaultRowHeight="14.4" x14ac:dyDescent="0.3"/>
  <cols>
    <col min="1" max="1" width="26" customWidth="1"/>
    <col min="2" max="2" width="120" customWidth="1"/>
    <col min="3" max="6" width="14.88671875" customWidth="1"/>
  </cols>
  <sheetData>
    <row r="1" spans="1:6" ht="21" x14ac:dyDescent="0.4">
      <c r="A1" s="16" t="s">
        <v>0</v>
      </c>
      <c r="B1" s="17"/>
      <c r="C1" s="17"/>
      <c r="D1" s="17"/>
      <c r="E1" s="17"/>
      <c r="F1" s="17"/>
    </row>
    <row r="3" spans="1:6" x14ac:dyDescent="0.3">
      <c r="A3" s="1" t="s">
        <v>1</v>
      </c>
      <c r="B3" t="s">
        <v>2</v>
      </c>
    </row>
    <row r="5" spans="1:6" x14ac:dyDescent="0.3">
      <c r="A5" s="1" t="s">
        <v>3</v>
      </c>
      <c r="B5" t="s">
        <v>4</v>
      </c>
    </row>
    <row r="6" spans="1:6" x14ac:dyDescent="0.3">
      <c r="A6" s="1" t="s">
        <v>5</v>
      </c>
      <c r="B6" t="s">
        <v>6</v>
      </c>
    </row>
    <row r="8" spans="1:6" x14ac:dyDescent="0.3">
      <c r="A8" s="1" t="s">
        <v>7</v>
      </c>
      <c r="B8" t="s">
        <v>8</v>
      </c>
    </row>
    <row r="10" spans="1:6" x14ac:dyDescent="0.3">
      <c r="A10" s="1" t="s">
        <v>9</v>
      </c>
      <c r="B10" t="s">
        <v>10</v>
      </c>
    </row>
    <row r="11" spans="1:6" x14ac:dyDescent="0.3">
      <c r="B11" t="s">
        <v>11</v>
      </c>
    </row>
    <row r="12" spans="1:6" x14ac:dyDescent="0.3">
      <c r="B12" t="s">
        <v>12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zoomScaleNormal="150" zoomScaleSheetLayoutView="100" workbookViewId="0">
      <selection activeCell="D24" sqref="D24"/>
    </sheetView>
  </sheetViews>
  <sheetFormatPr defaultRowHeight="14.4" x14ac:dyDescent="0.3"/>
  <cols>
    <col min="1" max="1" width="34" customWidth="1"/>
    <col min="2" max="2" width="16" customWidth="1"/>
    <col min="3" max="3" width="42" customWidth="1"/>
  </cols>
  <sheetData>
    <row r="1" spans="1:3" x14ac:dyDescent="0.3">
      <c r="A1" s="18" t="s">
        <v>13</v>
      </c>
      <c r="B1" s="17"/>
      <c r="C1" s="17"/>
    </row>
    <row r="2" spans="1:3" x14ac:dyDescent="0.3">
      <c r="A2" s="2" t="s">
        <v>14</v>
      </c>
      <c r="B2" s="3">
        <v>6</v>
      </c>
      <c r="C2" s="4" t="s">
        <v>15</v>
      </c>
    </row>
    <row r="3" spans="1:3" x14ac:dyDescent="0.3">
      <c r="A3" s="2" t="s">
        <v>16</v>
      </c>
      <c r="B3" s="3">
        <v>8</v>
      </c>
    </row>
    <row r="4" spans="1:3" x14ac:dyDescent="0.3">
      <c r="A4" s="2" t="s">
        <v>17</v>
      </c>
      <c r="B4" s="3">
        <v>3</v>
      </c>
    </row>
    <row r="5" spans="1:3" x14ac:dyDescent="0.3">
      <c r="A5" s="2" t="s">
        <v>18</v>
      </c>
      <c r="B5" s="3">
        <v>20</v>
      </c>
    </row>
    <row r="6" spans="1:3" x14ac:dyDescent="0.3">
      <c r="A6" s="2" t="s">
        <v>19</v>
      </c>
      <c r="B6" s="3">
        <v>80</v>
      </c>
    </row>
    <row r="7" spans="1:3" x14ac:dyDescent="0.3">
      <c r="A7" s="2" t="s">
        <v>20</v>
      </c>
      <c r="B7" s="3">
        <v>0.6</v>
      </c>
    </row>
    <row r="8" spans="1:3" x14ac:dyDescent="0.3">
      <c r="A8" s="2" t="s">
        <v>21</v>
      </c>
      <c r="B8" s="3">
        <v>90</v>
      </c>
    </row>
    <row r="9" spans="1:3" x14ac:dyDescent="0.3">
      <c r="A9" s="2" t="s">
        <v>22</v>
      </c>
      <c r="B9" s="3">
        <v>180</v>
      </c>
    </row>
    <row r="10" spans="1:3" x14ac:dyDescent="0.3">
      <c r="A10" s="2" t="s">
        <v>23</v>
      </c>
      <c r="B10" s="3">
        <v>30</v>
      </c>
    </row>
    <row r="11" spans="1:3" x14ac:dyDescent="0.3">
      <c r="A11" s="2" t="s">
        <v>24</v>
      </c>
      <c r="B11" s="3">
        <v>80</v>
      </c>
    </row>
    <row r="12" spans="1:3" x14ac:dyDescent="0.3">
      <c r="A12" s="2" t="s">
        <v>25</v>
      </c>
      <c r="B12" s="5">
        <f>MIN(Raw_Data!C2:C152)</f>
        <v>1.3147203000000001</v>
      </c>
    </row>
    <row r="13" spans="1:3" x14ac:dyDescent="0.3">
      <c r="A13" s="2" t="s">
        <v>26</v>
      </c>
      <c r="B13" s="5">
        <f>MAX(Raw_Data!C2:C152)</f>
        <v>2.6392329999999999</v>
      </c>
    </row>
    <row r="14" spans="1:3" x14ac:dyDescent="0.3">
      <c r="A14" s="2" t="s">
        <v>27</v>
      </c>
      <c r="B14" s="5">
        <f>MIN(Raw_Data!D2:D152)</f>
        <v>2.6663491000000002E-3</v>
      </c>
    </row>
    <row r="15" spans="1:3" x14ac:dyDescent="0.3">
      <c r="A15" s="2" t="s">
        <v>28</v>
      </c>
      <c r="B15" s="5">
        <f>MAX(Raw_Data!D2:D152)</f>
        <v>1.0447494999999999E-2</v>
      </c>
    </row>
    <row r="16" spans="1:3" x14ac:dyDescent="0.3">
      <c r="A16" s="2" t="s">
        <v>29</v>
      </c>
      <c r="B16" s="3">
        <v>20</v>
      </c>
    </row>
    <row r="17" spans="1:2" x14ac:dyDescent="0.3">
      <c r="A17" s="2" t="s">
        <v>30</v>
      </c>
      <c r="B17" s="3">
        <v>180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52"/>
  <sheetViews>
    <sheetView tabSelected="1" zoomScaleNormal="150" zoomScaleSheetLayoutView="100" workbookViewId="0">
      <selection activeCell="Q10" sqref="Q10"/>
    </sheetView>
  </sheetViews>
  <sheetFormatPr defaultRowHeight="14.4" x14ac:dyDescent="0.3"/>
  <cols>
    <col min="1" max="1" width="11" customWidth="1"/>
    <col min="2" max="2" width="12" customWidth="1"/>
    <col min="3" max="4" width="9" customWidth="1"/>
    <col min="5" max="5" width="10" customWidth="1"/>
    <col min="6" max="8" width="7.88671875" customWidth="1"/>
    <col min="9" max="9" width="10" customWidth="1"/>
    <col min="10" max="10" width="14.88671875" customWidth="1"/>
    <col min="11" max="11" width="11" customWidth="1"/>
    <col min="12" max="12" width="10" customWidth="1"/>
    <col min="13" max="13" width="14" customWidth="1"/>
    <col min="14" max="14" width="12" customWidth="1"/>
    <col min="15" max="15" width="10" customWidth="1"/>
    <col min="16" max="16" width="11" customWidth="1"/>
    <col min="17" max="17" width="14" customWidth="1"/>
    <col min="18" max="18" width="10" customWidth="1"/>
    <col min="19" max="19" width="11" customWidth="1"/>
    <col min="20" max="20" width="37.88671875" customWidth="1"/>
  </cols>
  <sheetData>
    <row r="1" spans="1:20" ht="28.8" x14ac:dyDescent="0.3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</row>
    <row r="2" spans="1:20" x14ac:dyDescent="0.3">
      <c r="A2" s="7">
        <f>Raw_Data!A2</f>
        <v>3305</v>
      </c>
      <c r="B2" s="8">
        <f>Raw_Data!B2</f>
        <v>26217.8639999999</v>
      </c>
      <c r="C2" s="9">
        <f t="shared" ref="C2:C33" si="0">B2/1000</f>
        <v>26.217863999999899</v>
      </c>
      <c r="D2" s="9">
        <f>ROUND(Controls!$B$8 + (Raw_Data!C2-Controls!$B$12)/MAX(0.000001,(Controls!$B$13-Controls!$B$12))*(Controls!$B$9-Controls!$B$8),1)</f>
        <v>90</v>
      </c>
      <c r="E2" s="9">
        <f>ROUND(Controls!$B$10 + (Raw_Data!D2-Controls!$B$14)/MAX(0.000001,(Controls!$B$15-Controls!$B$14))*(Controls!$B$11-Controls!$B$10),1)</f>
        <v>39.1</v>
      </c>
      <c r="F2" s="10">
        <f>Raw_Data!E2</f>
        <v>8.6711005494999993E-2</v>
      </c>
      <c r="G2" s="10">
        <f>Raw_Data!F2</f>
        <v>7.1718794646000006E-2</v>
      </c>
      <c r="H2" s="10">
        <f>Raw_Data!G2</f>
        <v>1.0000000001139999</v>
      </c>
      <c r="I2" s="10">
        <f>Raw_Data!H2</f>
        <v>1E-3</v>
      </c>
      <c r="J2" s="5" t="str">
        <f t="shared" ref="J2:J33" si="1">IF(G2&gt;=0.45,"Shale-prone",IF(G2&gt;=0.25,"Transition","Cleaner sand"))</f>
        <v>Cleaner sand</v>
      </c>
      <c r="K2" s="11">
        <f t="shared" ref="K2:K33" si="2">ROUND(6 + 0.16*C2 + 7*G2 + 2*(1-F2),1)</f>
        <v>12.5</v>
      </c>
      <c r="L2" s="12">
        <f t="shared" ref="L2:L33" si="3">ROUND(MIN(4.8,1 + ABS(D2-135)/45 + 1.4*G2 + 0.2*MAX(0,C2-55)/10 + IF(MOD(ROW(),17)=0,0.5,0)),2)</f>
        <v>2.1</v>
      </c>
      <c r="M2" s="12">
        <f t="shared" ref="M2:M33" si="4">ROUND(MIN(9.2,1.2 + 3.6*G2 + ABS(D2-135)/50 + 0.4*L2 + 0.3*MAX(0,C2-60)/10 + IF(A2&gt;=3700,1.6,0) + IF(A2&gt;=3860,1.1,0)),2)</f>
        <v>3.2</v>
      </c>
      <c r="N2" s="12">
        <f>Controls!$B$16</f>
        <v>20</v>
      </c>
      <c r="O2" s="12">
        <f>Controls!$B$17</f>
        <v>180</v>
      </c>
      <c r="P2" s="5" t="str">
        <f>IF(M2&lt;=Controls!$B$2,"NORMAL",IF(M2&lt;=Controls!$B$3,"CAUTION","BLOCK"))</f>
        <v>NORMAL</v>
      </c>
      <c r="Q2" s="5" t="str">
        <f>IF(P2="BLOCK","Hold",IF(L2&gt;Controls!$B$4,"Hold",IF(P2="CAUTION","Drop",IF(G2&lt;0.25,IF(MOD(ROW(),13)=0,"Turn Left",IF(MOD(ROW(),9)=0,"Turn Right",IF(F2&lt;0.08,"Build","Hold"))),IF(F2&lt;0.08,"Build","Hold")))))</f>
        <v>Hold</v>
      </c>
      <c r="R2" s="12">
        <f>ROUND(MAX(0.35,MIN(0.95,0.92 - 0.06*MAX(0,M2-Controls!$B$2) - 0.05*MAX(0,L2-Controls!$B$4) - 0.01*ABS(C2-50) + 0.04*(1-G2))),2)</f>
        <v>0.72</v>
      </c>
      <c r="S2" s="5" t="str">
        <f>IF(P2="BLOCK","BLOCKED",IF(R2&lt;Controls!$B$7,"REDUCED","ACCEPTED"))</f>
        <v>ACCEPTED</v>
      </c>
      <c r="T2" s="5" t="str">
        <f>IF(P2="BLOCK","LIMIT_EXCEEDED - DLS above "&amp;TEXT(Controls!$B$3,"0.0")&amp;" deg/100ft",IF(P2="CAUTION","DLS above operating limit - reduce aggressiveness",IF(L2&gt;Controls!$B$4,"High vibration - hold trajectory",IF(OR(C2&lt;Controls!$B$5,C2&gt;Controls!$B$6),"WOB outside preferred band","Normal operation"))))</f>
        <v>Normal operation</v>
      </c>
    </row>
    <row r="3" spans="1:20" x14ac:dyDescent="0.3">
      <c r="A3" s="7">
        <f>Raw_Data!A3</f>
        <v>3310</v>
      </c>
      <c r="B3" s="8">
        <f>Raw_Data!B3</f>
        <v>83492.293000000005</v>
      </c>
      <c r="C3" s="9">
        <f t="shared" si="0"/>
        <v>83.492293000000004</v>
      </c>
      <c r="D3" s="9">
        <f>ROUND(Controls!$B$8 + (Raw_Data!C3-Controls!$B$12)/MAX(0.000001,(Controls!$B$13-Controls!$B$12))*(Controls!$B$9-Controls!$B$8),1)</f>
        <v>90.9</v>
      </c>
      <c r="E3" s="9">
        <f>ROUND(Controls!$B$10 + (Raw_Data!D3-Controls!$B$14)/MAX(0.000001,(Controls!$B$15-Controls!$B$14))*(Controls!$B$11-Controls!$B$10),1)</f>
        <v>46</v>
      </c>
      <c r="F3" s="10">
        <f>Raw_Data!E3</f>
        <v>9.5208497586000002E-2</v>
      </c>
      <c r="G3" s="10">
        <f>Raw_Data!F3</f>
        <v>0.116548315173</v>
      </c>
      <c r="H3" s="10">
        <f>Raw_Data!G3</f>
        <v>1</v>
      </c>
      <c r="I3" s="10">
        <f>Raw_Data!H3</f>
        <v>1E-3</v>
      </c>
      <c r="J3" s="5" t="str">
        <f t="shared" si="1"/>
        <v>Cleaner sand</v>
      </c>
      <c r="K3" s="11">
        <f t="shared" si="2"/>
        <v>22</v>
      </c>
      <c r="L3" s="12">
        <f t="shared" si="3"/>
        <v>2.71</v>
      </c>
      <c r="M3" s="12">
        <f t="shared" si="4"/>
        <v>4.29</v>
      </c>
      <c r="N3" s="12">
        <f t="shared" ref="N3:N34" si="5">ROUND(MAX(0,MIN(90,N2 + (M3-4.5)*0.12)),2)</f>
        <v>19.97</v>
      </c>
      <c r="O3" s="12">
        <f t="shared" ref="O3:O34" si="6">ROUND(MOD(O2 + IF(OR(Q3="Turn Right",Q3="Build"),1.8,IF(Q3="Turn Left",-1.8,0.5)),360),2)</f>
        <v>180.5</v>
      </c>
      <c r="P3" s="5" t="str">
        <f>IF(M3&lt;=Controls!$B$2,"NORMAL",IF(M3&lt;=Controls!$B$3,"CAUTION","BLOCK"))</f>
        <v>NORMAL</v>
      </c>
      <c r="Q3" s="5" t="str">
        <f>IF(P3="BLOCK","Hold",IF(L3&gt;Controls!$B$4,"Hold",IF(P3="CAUTION","Drop",IF(G3&lt;0.25,IF(MOD(ROW(),13)=0,"Turn Left",IF(MOD(ROW(),9)=0,"Turn Right",IF(F3&lt;0.08,"Build","Hold"))),IF(F3&lt;0.08,"Build","Hold")))))</f>
        <v>Hold</v>
      </c>
      <c r="R3" s="12">
        <f>ROUND(MAX(0.35,MIN(0.95,0.92 - 0.06*MAX(0,M3-Controls!$B$2) - 0.05*MAX(0,L3-Controls!$B$4) - 0.01*ABS(C3-50) + 0.04*(1-G3))),2)</f>
        <v>0.62</v>
      </c>
      <c r="S3" s="5" t="str">
        <f>IF(P3="BLOCK","BLOCKED",IF(R3&lt;Controls!$B$7,"REDUCED","ACCEPTED"))</f>
        <v>ACCEPTED</v>
      </c>
      <c r="T3" s="5" t="str">
        <f>IF(P3="BLOCK","LIMIT_EXCEEDED - DLS above "&amp;TEXT(Controls!$B$3,"0.0")&amp;" deg/100ft",IF(P3="CAUTION","DLS above operating limit - reduce aggressiveness",IF(L3&gt;Controls!$B$4,"High vibration - hold trajectory",IF(OR(C3&lt;Controls!$B$5,C3&gt;Controls!$B$6),"WOB outside preferred band","Normal operation"))))</f>
        <v>WOB outside preferred band</v>
      </c>
    </row>
    <row r="4" spans="1:20" x14ac:dyDescent="0.3">
      <c r="A4" s="7">
        <f>Raw_Data!A4</f>
        <v>3315</v>
      </c>
      <c r="B4" s="8">
        <f>Raw_Data!B4</f>
        <v>97087.881999999998</v>
      </c>
      <c r="C4" s="9">
        <f t="shared" si="0"/>
        <v>97.087881999999993</v>
      </c>
      <c r="D4" s="9">
        <f>ROUND(Controls!$B$8 + (Raw_Data!C4-Controls!$B$12)/MAX(0.000001,(Controls!$B$13-Controls!$B$12))*(Controls!$B$9-Controls!$B$8),1)</f>
        <v>97.2</v>
      </c>
      <c r="E4" s="9">
        <f>ROUND(Controls!$B$10 + (Raw_Data!D4-Controls!$B$14)/MAX(0.000001,(Controls!$B$15-Controls!$B$14))*(Controls!$B$11-Controls!$B$10),1)</f>
        <v>51.2</v>
      </c>
      <c r="F4" s="10">
        <f>Raw_Data!E4</f>
        <v>6.1636098298E-2</v>
      </c>
      <c r="G4" s="10">
        <f>Raw_Data!F4</f>
        <v>0.104283234455</v>
      </c>
      <c r="H4" s="10">
        <f>Raw_Data!G4</f>
        <v>1</v>
      </c>
      <c r="I4" s="10">
        <f>Raw_Data!H4</f>
        <v>1E-3</v>
      </c>
      <c r="J4" s="5" t="str">
        <f t="shared" si="1"/>
        <v>Cleaner sand</v>
      </c>
      <c r="K4" s="11">
        <f t="shared" si="2"/>
        <v>24.1</v>
      </c>
      <c r="L4" s="12">
        <f t="shared" si="3"/>
        <v>2.83</v>
      </c>
      <c r="M4" s="12">
        <f t="shared" si="4"/>
        <v>4.58</v>
      </c>
      <c r="N4" s="12">
        <f t="shared" si="5"/>
        <v>19.98</v>
      </c>
      <c r="O4" s="12">
        <f t="shared" si="6"/>
        <v>182.3</v>
      </c>
      <c r="P4" s="5" t="str">
        <f>IF(M4&lt;=Controls!$B$2,"NORMAL",IF(M4&lt;=Controls!$B$3,"CAUTION","BLOCK"))</f>
        <v>NORMAL</v>
      </c>
      <c r="Q4" s="5" t="str">
        <f>IF(P4="BLOCK","Hold",IF(L4&gt;Controls!$B$4,"Hold",IF(P4="CAUTION","Drop",IF(G4&lt;0.25,IF(MOD(ROW(),13)=0,"Turn Left",IF(MOD(ROW(),9)=0,"Turn Right",IF(F4&lt;0.08,"Build","Hold"))),IF(F4&lt;0.08,"Build","Hold")))))</f>
        <v>Build</v>
      </c>
      <c r="R4" s="12">
        <f>ROUND(MAX(0.35,MIN(0.95,0.92 - 0.06*MAX(0,M4-Controls!$B$2) - 0.05*MAX(0,L4-Controls!$B$4) - 0.01*ABS(C4-50) + 0.04*(1-G4))),2)</f>
        <v>0.48</v>
      </c>
      <c r="S4" s="5" t="str">
        <f>IF(P4="BLOCK","BLOCKED",IF(R4&lt;Controls!$B$7,"REDUCED","ACCEPTED"))</f>
        <v>REDUCED</v>
      </c>
      <c r="T4" s="5" t="str">
        <f>IF(P4="BLOCK","LIMIT_EXCEEDED - DLS above "&amp;TEXT(Controls!$B$3,"0.0")&amp;" deg/100ft",IF(P4="CAUTION","DLS above operating limit - reduce aggressiveness",IF(L4&gt;Controls!$B$4,"High vibration - hold trajectory",IF(OR(C4&lt;Controls!$B$5,C4&gt;Controls!$B$6),"WOB outside preferred band","Normal operation"))))</f>
        <v>WOB outside preferred band</v>
      </c>
    </row>
    <row r="5" spans="1:20" x14ac:dyDescent="0.3">
      <c r="A5" s="7">
        <f>Raw_Data!A5</f>
        <v>3320</v>
      </c>
      <c r="B5" s="8">
        <f>Raw_Data!B5</f>
        <v>54793.205999999998</v>
      </c>
      <c r="C5" s="9">
        <f t="shared" si="0"/>
        <v>54.793205999999998</v>
      </c>
      <c r="D5" s="9">
        <f>ROUND(Controls!$B$8 + (Raw_Data!C5-Controls!$B$12)/MAX(0.000001,(Controls!$B$13-Controls!$B$12))*(Controls!$B$9-Controls!$B$8),1)</f>
        <v>109</v>
      </c>
      <c r="E5" s="9">
        <f>ROUND(Controls!$B$10 + (Raw_Data!D5-Controls!$B$14)/MAX(0.000001,(Controls!$B$15-Controls!$B$14))*(Controls!$B$11-Controls!$B$10),1)</f>
        <v>47.7</v>
      </c>
      <c r="F5" s="10">
        <f>Raw_Data!E5</f>
        <v>4.3497663737000002E-2</v>
      </c>
      <c r="G5" s="10">
        <f>Raw_Data!F5</f>
        <v>0.11003981104299999</v>
      </c>
      <c r="H5" s="10">
        <f>Raw_Data!G5</f>
        <v>1</v>
      </c>
      <c r="I5" s="10">
        <f>Raw_Data!H5</f>
        <v>1E-3</v>
      </c>
      <c r="J5" s="5" t="str">
        <f t="shared" si="1"/>
        <v>Cleaner sand</v>
      </c>
      <c r="K5" s="11">
        <f t="shared" si="2"/>
        <v>17.5</v>
      </c>
      <c r="L5" s="12">
        <f t="shared" si="3"/>
        <v>1.73</v>
      </c>
      <c r="M5" s="12">
        <f t="shared" si="4"/>
        <v>2.81</v>
      </c>
      <c r="N5" s="12">
        <f t="shared" si="5"/>
        <v>19.78</v>
      </c>
      <c r="O5" s="12">
        <f t="shared" si="6"/>
        <v>184.1</v>
      </c>
      <c r="P5" s="5" t="str">
        <f>IF(M5&lt;=Controls!$B$2,"NORMAL",IF(M5&lt;=Controls!$B$3,"CAUTION","BLOCK"))</f>
        <v>NORMAL</v>
      </c>
      <c r="Q5" s="5" t="str">
        <f>IF(P5="BLOCK","Hold",IF(L5&gt;Controls!$B$4,"Hold",IF(P5="CAUTION","Drop",IF(G5&lt;0.25,IF(MOD(ROW(),13)=0,"Turn Left",IF(MOD(ROW(),9)=0,"Turn Right",IF(F5&lt;0.08,"Build","Hold"))),IF(F5&lt;0.08,"Build","Hold")))))</f>
        <v>Build</v>
      </c>
      <c r="R5" s="12">
        <f>ROUND(MAX(0.35,MIN(0.95,0.92 - 0.06*MAX(0,M5-Controls!$B$2) - 0.05*MAX(0,L5-Controls!$B$4) - 0.01*ABS(C5-50) + 0.04*(1-G5))),2)</f>
        <v>0.91</v>
      </c>
      <c r="S5" s="5" t="str">
        <f>IF(P5="BLOCK","BLOCKED",IF(R5&lt;Controls!$B$7,"REDUCED","ACCEPTED"))</f>
        <v>ACCEPTED</v>
      </c>
      <c r="T5" s="5" t="str">
        <f>IF(P5="BLOCK","LIMIT_EXCEEDED - DLS above "&amp;TEXT(Controls!$B$3,"0.0")&amp;" deg/100ft",IF(P5="CAUTION","DLS above operating limit - reduce aggressiveness",IF(L5&gt;Controls!$B$4,"High vibration - hold trajectory",IF(OR(C5&lt;Controls!$B$5,C5&gt;Controls!$B$6),"WOB outside preferred band","Normal operation"))))</f>
        <v>Normal operation</v>
      </c>
    </row>
    <row r="6" spans="1:20" x14ac:dyDescent="0.3">
      <c r="A6" s="7">
        <f>Raw_Data!A6</f>
        <v>3325</v>
      </c>
      <c r="B6" s="8">
        <f>Raw_Data!B6</f>
        <v>50301.578999999998</v>
      </c>
      <c r="C6" s="9">
        <f t="shared" si="0"/>
        <v>50.301578999999997</v>
      </c>
      <c r="D6" s="9">
        <f>ROUND(Controls!$B$8 + (Raw_Data!C6-Controls!$B$12)/MAX(0.000001,(Controls!$B$13-Controls!$B$12))*(Controls!$B$9-Controls!$B$8),1)</f>
        <v>113</v>
      </c>
      <c r="E6" s="9">
        <f>ROUND(Controls!$B$10 + (Raw_Data!D6-Controls!$B$14)/MAX(0.000001,(Controls!$B$15-Controls!$B$14))*(Controls!$B$11-Controls!$B$10),1)</f>
        <v>47.8</v>
      </c>
      <c r="F6" s="10">
        <f>Raw_Data!E6</f>
        <v>3.5252240772000003E-2</v>
      </c>
      <c r="G6" s="10">
        <f>Raw_Data!F6</f>
        <v>0.12080770566600001</v>
      </c>
      <c r="H6" s="10">
        <f>Raw_Data!G6</f>
        <v>1</v>
      </c>
      <c r="I6" s="10">
        <f>Raw_Data!H6</f>
        <v>1E-3</v>
      </c>
      <c r="J6" s="5" t="str">
        <f t="shared" si="1"/>
        <v>Cleaner sand</v>
      </c>
      <c r="K6" s="11">
        <f t="shared" si="2"/>
        <v>16.8</v>
      </c>
      <c r="L6" s="12">
        <f t="shared" si="3"/>
        <v>1.66</v>
      </c>
      <c r="M6" s="12">
        <f t="shared" si="4"/>
        <v>2.74</v>
      </c>
      <c r="N6" s="12">
        <f t="shared" si="5"/>
        <v>19.57</v>
      </c>
      <c r="O6" s="12">
        <f t="shared" si="6"/>
        <v>185.9</v>
      </c>
      <c r="P6" s="5" t="str">
        <f>IF(M6&lt;=Controls!$B$2,"NORMAL",IF(M6&lt;=Controls!$B$3,"CAUTION","BLOCK"))</f>
        <v>NORMAL</v>
      </c>
      <c r="Q6" s="5" t="str">
        <f>IF(P6="BLOCK","Hold",IF(L6&gt;Controls!$B$4,"Hold",IF(P6="CAUTION","Drop",IF(G6&lt;0.25,IF(MOD(ROW(),13)=0,"Turn Left",IF(MOD(ROW(),9)=0,"Turn Right",IF(F6&lt;0.08,"Build","Hold"))),IF(F6&lt;0.08,"Build","Hold")))))</f>
        <v>Build</v>
      </c>
      <c r="R6" s="12">
        <f>ROUND(MAX(0.35,MIN(0.95,0.92 - 0.06*MAX(0,M6-Controls!$B$2) - 0.05*MAX(0,L6-Controls!$B$4) - 0.01*ABS(C6-50) + 0.04*(1-G6))),2)</f>
        <v>0.95</v>
      </c>
      <c r="S6" s="5" t="str">
        <f>IF(P6="BLOCK","BLOCKED",IF(R6&lt;Controls!$B$7,"REDUCED","ACCEPTED"))</f>
        <v>ACCEPTED</v>
      </c>
      <c r="T6" s="5" t="str">
        <f>IF(P6="BLOCK","LIMIT_EXCEEDED - DLS above "&amp;TEXT(Controls!$B$3,"0.0")&amp;" deg/100ft",IF(P6="CAUTION","DLS above operating limit - reduce aggressiveness",IF(L6&gt;Controls!$B$4,"High vibration - hold trajectory",IF(OR(C6&lt;Controls!$B$5,C6&gt;Controls!$B$6),"WOB outside preferred band","Normal operation"))))</f>
        <v>Normal operation</v>
      </c>
    </row>
    <row r="7" spans="1:20" x14ac:dyDescent="0.3">
      <c r="A7" s="7">
        <f>Raw_Data!A7</f>
        <v>3330</v>
      </c>
      <c r="B7" s="8">
        <f>Raw_Data!B7</f>
        <v>56835.194000000003</v>
      </c>
      <c r="C7" s="9">
        <f t="shared" si="0"/>
        <v>56.835194000000001</v>
      </c>
      <c r="D7" s="9">
        <f>ROUND(Controls!$B$8 + (Raw_Data!C7-Controls!$B$12)/MAX(0.000001,(Controls!$B$13-Controls!$B$12))*(Controls!$B$9-Controls!$B$8),1)</f>
        <v>113.3</v>
      </c>
      <c r="E7" s="9">
        <f>ROUND(Controls!$B$10 + (Raw_Data!D7-Controls!$B$14)/MAX(0.000001,(Controls!$B$15-Controls!$B$14))*(Controls!$B$11-Controls!$B$10),1)</f>
        <v>43.3</v>
      </c>
      <c r="F7" s="10">
        <f>Raw_Data!E7</f>
        <v>1.5965128094000001E-2</v>
      </c>
      <c r="G7" s="10">
        <f>Raw_Data!F7</f>
        <v>8.5564924968E-2</v>
      </c>
      <c r="H7" s="10">
        <f>Raw_Data!G7</f>
        <v>1</v>
      </c>
      <c r="I7" s="10">
        <f>Raw_Data!H7</f>
        <v>1E-3</v>
      </c>
      <c r="J7" s="5" t="str">
        <f t="shared" si="1"/>
        <v>Cleaner sand</v>
      </c>
      <c r="K7" s="11">
        <f t="shared" si="2"/>
        <v>17.7</v>
      </c>
      <c r="L7" s="12">
        <f t="shared" si="3"/>
        <v>1.64</v>
      </c>
      <c r="M7" s="12">
        <f t="shared" si="4"/>
        <v>2.6</v>
      </c>
      <c r="N7" s="12">
        <f t="shared" si="5"/>
        <v>19.34</v>
      </c>
      <c r="O7" s="12">
        <f t="shared" si="6"/>
        <v>187.7</v>
      </c>
      <c r="P7" s="5" t="str">
        <f>IF(M7&lt;=Controls!$B$2,"NORMAL",IF(M7&lt;=Controls!$B$3,"CAUTION","BLOCK"))</f>
        <v>NORMAL</v>
      </c>
      <c r="Q7" s="5" t="str">
        <f>IF(P7="BLOCK","Hold",IF(L7&gt;Controls!$B$4,"Hold",IF(P7="CAUTION","Drop",IF(G7&lt;0.25,IF(MOD(ROW(),13)=0,"Turn Left",IF(MOD(ROW(),9)=0,"Turn Right",IF(F7&lt;0.08,"Build","Hold"))),IF(F7&lt;0.08,"Build","Hold")))))</f>
        <v>Build</v>
      </c>
      <c r="R7" s="12">
        <f>ROUND(MAX(0.35,MIN(0.95,0.92 - 0.06*MAX(0,M7-Controls!$B$2) - 0.05*MAX(0,L7-Controls!$B$4) - 0.01*ABS(C7-50) + 0.04*(1-G7))),2)</f>
        <v>0.89</v>
      </c>
      <c r="S7" s="5" t="str">
        <f>IF(P7="BLOCK","BLOCKED",IF(R7&lt;Controls!$B$7,"REDUCED","ACCEPTED"))</f>
        <v>ACCEPTED</v>
      </c>
      <c r="T7" s="5" t="str">
        <f>IF(P7="BLOCK","LIMIT_EXCEEDED - DLS above "&amp;TEXT(Controls!$B$3,"0.0")&amp;" deg/100ft",IF(P7="CAUTION","DLS above operating limit - reduce aggressiveness",IF(L7&gt;Controls!$B$4,"High vibration - hold trajectory",IF(OR(C7&lt;Controls!$B$5,C7&gt;Controls!$B$6),"WOB outside preferred band","Normal operation"))))</f>
        <v>Normal operation</v>
      </c>
    </row>
    <row r="8" spans="1:20" x14ac:dyDescent="0.3">
      <c r="A8" s="7">
        <f>Raw_Data!A8</f>
        <v>3335</v>
      </c>
      <c r="B8" s="8">
        <f>Raw_Data!B8</f>
        <v>37638.027999999998</v>
      </c>
      <c r="C8" s="9">
        <f t="shared" si="0"/>
        <v>37.638027999999998</v>
      </c>
      <c r="D8" s="9">
        <f>ROUND(Controls!$B$8 + (Raw_Data!C8-Controls!$B$12)/MAX(0.000001,(Controls!$B$13-Controls!$B$12))*(Controls!$B$9-Controls!$B$8),1)</f>
        <v>146</v>
      </c>
      <c r="E8" s="9">
        <f>ROUND(Controls!$B$10 + (Raw_Data!D8-Controls!$B$14)/MAX(0.000001,(Controls!$B$15-Controls!$B$14))*(Controls!$B$11-Controls!$B$10),1)</f>
        <v>69.5</v>
      </c>
      <c r="F8" s="10">
        <f>Raw_Data!E8</f>
        <v>4.6243123376999998E-2</v>
      </c>
      <c r="G8" s="10">
        <f>Raw_Data!F8</f>
        <v>0.109858974537</v>
      </c>
      <c r="H8" s="10">
        <f>Raw_Data!G8</f>
        <v>1</v>
      </c>
      <c r="I8" s="10">
        <f>Raw_Data!H8</f>
        <v>1E-3</v>
      </c>
      <c r="J8" s="5" t="str">
        <f t="shared" si="1"/>
        <v>Cleaner sand</v>
      </c>
      <c r="K8" s="11">
        <f t="shared" si="2"/>
        <v>14.7</v>
      </c>
      <c r="L8" s="12">
        <f t="shared" si="3"/>
        <v>1.4</v>
      </c>
      <c r="M8" s="12">
        <f t="shared" si="4"/>
        <v>2.38</v>
      </c>
      <c r="N8" s="12">
        <f t="shared" si="5"/>
        <v>19.09</v>
      </c>
      <c r="O8" s="12">
        <f t="shared" si="6"/>
        <v>189.5</v>
      </c>
      <c r="P8" s="5" t="str">
        <f>IF(M8&lt;=Controls!$B$2,"NORMAL",IF(M8&lt;=Controls!$B$3,"CAUTION","BLOCK"))</f>
        <v>NORMAL</v>
      </c>
      <c r="Q8" s="5" t="str">
        <f>IF(P8="BLOCK","Hold",IF(L8&gt;Controls!$B$4,"Hold",IF(P8="CAUTION","Drop",IF(G8&lt;0.25,IF(MOD(ROW(),13)=0,"Turn Left",IF(MOD(ROW(),9)=0,"Turn Right",IF(F8&lt;0.08,"Build","Hold"))),IF(F8&lt;0.08,"Build","Hold")))))</f>
        <v>Build</v>
      </c>
      <c r="R8" s="12">
        <f>ROUND(MAX(0.35,MIN(0.95,0.92 - 0.06*MAX(0,M8-Controls!$B$2) - 0.05*MAX(0,L8-Controls!$B$4) - 0.01*ABS(C8-50) + 0.04*(1-G8))),2)</f>
        <v>0.83</v>
      </c>
      <c r="S8" s="5" t="str">
        <f>IF(P8="BLOCK","BLOCKED",IF(R8&lt;Controls!$B$7,"REDUCED","ACCEPTED"))</f>
        <v>ACCEPTED</v>
      </c>
      <c r="T8" s="5" t="str">
        <f>IF(P8="BLOCK","LIMIT_EXCEEDED - DLS above "&amp;TEXT(Controls!$B$3,"0.0")&amp;" deg/100ft",IF(P8="CAUTION","DLS above operating limit - reduce aggressiveness",IF(L8&gt;Controls!$B$4,"High vibration - hold trajectory",IF(OR(C8&lt;Controls!$B$5,C8&gt;Controls!$B$6),"WOB outside preferred band","Normal operation"))))</f>
        <v>Normal operation</v>
      </c>
    </row>
    <row r="9" spans="1:20" x14ac:dyDescent="0.3">
      <c r="A9" s="7">
        <f>Raw_Data!A9</f>
        <v>3340</v>
      </c>
      <c r="B9" s="8">
        <f>Raw_Data!B9</f>
        <v>37638.027999999998</v>
      </c>
      <c r="C9" s="9">
        <f t="shared" si="0"/>
        <v>37.638027999999998</v>
      </c>
      <c r="D9" s="9">
        <f>ROUND(Controls!$B$8 + (Raw_Data!C9-Controls!$B$12)/MAX(0.000001,(Controls!$B$13-Controls!$B$12))*(Controls!$B$9-Controls!$B$8),1)</f>
        <v>146</v>
      </c>
      <c r="E9" s="9">
        <f>ROUND(Controls!$B$10 + (Raw_Data!D9-Controls!$B$14)/MAX(0.000001,(Controls!$B$15-Controls!$B$14))*(Controls!$B$11-Controls!$B$10),1)</f>
        <v>69.5</v>
      </c>
      <c r="F9" s="10">
        <f>Raw_Data!E9</f>
        <v>4.1236564598E-2</v>
      </c>
      <c r="G9" s="10">
        <f>Raw_Data!F9</f>
        <v>7.1368258062999998E-2</v>
      </c>
      <c r="H9" s="10">
        <f>Raw_Data!G9</f>
        <v>1</v>
      </c>
      <c r="I9" s="10">
        <f>Raw_Data!H9</f>
        <v>1E-3</v>
      </c>
      <c r="J9" s="5" t="str">
        <f t="shared" si="1"/>
        <v>Cleaner sand</v>
      </c>
      <c r="K9" s="11">
        <f t="shared" si="2"/>
        <v>14.4</v>
      </c>
      <c r="L9" s="12">
        <f t="shared" si="3"/>
        <v>1.34</v>
      </c>
      <c r="M9" s="12">
        <f t="shared" si="4"/>
        <v>2.21</v>
      </c>
      <c r="N9" s="12">
        <f t="shared" si="5"/>
        <v>18.82</v>
      </c>
      <c r="O9" s="12">
        <f t="shared" si="6"/>
        <v>191.3</v>
      </c>
      <c r="P9" s="5" t="str">
        <f>IF(M9&lt;=Controls!$B$2,"NORMAL",IF(M9&lt;=Controls!$B$3,"CAUTION","BLOCK"))</f>
        <v>NORMAL</v>
      </c>
      <c r="Q9" s="5" t="str">
        <f>IF(P9="BLOCK","Hold",IF(L9&gt;Controls!$B$4,"Hold",IF(P9="CAUTION","Drop",IF(G9&lt;0.25,IF(MOD(ROW(),13)=0,"Turn Left",IF(MOD(ROW(),9)=0,"Turn Right",IF(F9&lt;0.08,"Build","Hold"))),IF(F9&lt;0.08,"Build","Hold")))))</f>
        <v>Turn Right</v>
      </c>
      <c r="R9" s="12">
        <f>ROUND(MAX(0.35,MIN(0.95,0.92 - 0.06*MAX(0,M9-Controls!$B$2) - 0.05*MAX(0,L9-Controls!$B$4) - 0.01*ABS(C9-50) + 0.04*(1-G9))),2)</f>
        <v>0.83</v>
      </c>
      <c r="S9" s="5" t="str">
        <f>IF(P9="BLOCK","BLOCKED",IF(R9&lt;Controls!$B$7,"REDUCED","ACCEPTED"))</f>
        <v>ACCEPTED</v>
      </c>
      <c r="T9" s="5" t="str">
        <f>IF(P9="BLOCK","LIMIT_EXCEEDED - DLS above "&amp;TEXT(Controls!$B$3,"0.0")&amp;" deg/100ft",IF(P9="CAUTION","DLS above operating limit - reduce aggressiveness",IF(L9&gt;Controls!$B$4,"High vibration - hold trajectory",IF(OR(C9&lt;Controls!$B$5,C9&gt;Controls!$B$6),"WOB outside preferred band","Normal operation"))))</f>
        <v>Normal operation</v>
      </c>
    </row>
    <row r="10" spans="1:20" x14ac:dyDescent="0.3">
      <c r="A10" s="7">
        <f>Raw_Data!A10</f>
        <v>3345</v>
      </c>
      <c r="B10" s="8">
        <f>Raw_Data!B10</f>
        <v>44564.582999999999</v>
      </c>
      <c r="C10" s="9">
        <f t="shared" si="0"/>
        <v>44.564582999999999</v>
      </c>
      <c r="D10" s="9">
        <f>ROUND(Controls!$B$8 + (Raw_Data!C10-Controls!$B$12)/MAX(0.000001,(Controls!$B$13-Controls!$B$12))*(Controls!$B$9-Controls!$B$8),1)</f>
        <v>134.9</v>
      </c>
      <c r="E10" s="9">
        <f>ROUND(Controls!$B$10 + (Raw_Data!D10-Controls!$B$14)/MAX(0.000001,(Controls!$B$15-Controls!$B$14))*(Controls!$B$11-Controls!$B$10),1)</f>
        <v>67.2</v>
      </c>
      <c r="F10" s="10">
        <f>Raw_Data!E10</f>
        <v>1.3781888835000001E-2</v>
      </c>
      <c r="G10" s="10">
        <f>Raw_Data!F10</f>
        <v>9.0755599032000006E-2</v>
      </c>
      <c r="H10" s="10">
        <f>Raw_Data!G10</f>
        <v>1</v>
      </c>
      <c r="I10" s="10">
        <f>Raw_Data!H10</f>
        <v>1E-3</v>
      </c>
      <c r="J10" s="5" t="str">
        <f t="shared" si="1"/>
        <v>Cleaner sand</v>
      </c>
      <c r="K10" s="11">
        <f t="shared" si="2"/>
        <v>15.7</v>
      </c>
      <c r="L10" s="12">
        <f t="shared" si="3"/>
        <v>1.1299999999999999</v>
      </c>
      <c r="M10" s="12">
        <f t="shared" si="4"/>
        <v>1.98</v>
      </c>
      <c r="N10" s="12">
        <f t="shared" si="5"/>
        <v>18.52</v>
      </c>
      <c r="O10" s="12">
        <f t="shared" si="6"/>
        <v>193.1</v>
      </c>
      <c r="P10" s="5" t="str">
        <f>IF(M10&lt;=Controls!$B$2,"NORMAL",IF(M10&lt;=Controls!$B$3,"CAUTION","BLOCK"))</f>
        <v>NORMAL</v>
      </c>
      <c r="Q10" s="5" t="str">
        <f>IF(P10="BLOCK","Hold",IF(L10&gt;Controls!$B$4,"Hold",IF(P10="CAUTION","Drop",IF(G10&lt;0.25,IF(MOD(ROW(),13)=0,"Turn Left",IF(MOD(ROW(),9)=0,"Turn Right",IF(F10&lt;0.08,"Build","Hold"))),IF(F10&lt;0.08,"Build","Hold")))))</f>
        <v>Build</v>
      </c>
      <c r="R10" s="12">
        <f>ROUND(MAX(0.35,MIN(0.95,0.92 - 0.06*MAX(0,M10-Controls!$B$2) - 0.05*MAX(0,L10-Controls!$B$4) - 0.01*ABS(C10-50) + 0.04*(1-G10))),2)</f>
        <v>0.9</v>
      </c>
      <c r="S10" s="5" t="str">
        <f>IF(P10="BLOCK","BLOCKED",IF(R10&lt;Controls!$B$7,"REDUCED","ACCEPTED"))</f>
        <v>ACCEPTED</v>
      </c>
      <c r="T10" s="5" t="str">
        <f>IF(P10="BLOCK","LIMIT_EXCEEDED - DLS above "&amp;TEXT(Controls!$B$3,"0.0")&amp;" deg/100ft",IF(P10="CAUTION","DLS above operating limit - reduce aggressiveness",IF(L10&gt;Controls!$B$4,"High vibration - hold trajectory",IF(OR(C10&lt;Controls!$B$5,C10&gt;Controls!$B$6),"WOB outside preferred band","Normal operation"))))</f>
        <v>Normal operation</v>
      </c>
    </row>
    <row r="11" spans="1:20" x14ac:dyDescent="0.3">
      <c r="A11" s="7">
        <f>Raw_Data!A11</f>
        <v>3350</v>
      </c>
      <c r="B11" s="8">
        <f>Raw_Data!B11</f>
        <v>60928.602999999901</v>
      </c>
      <c r="C11" s="9">
        <f t="shared" si="0"/>
        <v>60.928602999999903</v>
      </c>
      <c r="D11" s="9">
        <f>ROUND(Controls!$B$8 + (Raw_Data!C11-Controls!$B$12)/MAX(0.000001,(Controls!$B$13-Controls!$B$12))*(Controls!$B$9-Controls!$B$8),1)</f>
        <v>118.6</v>
      </c>
      <c r="E11" s="9">
        <f>ROUND(Controls!$B$10 + (Raw_Data!D11-Controls!$B$14)/MAX(0.000001,(Controls!$B$15-Controls!$B$14))*(Controls!$B$11-Controls!$B$10),1)</f>
        <v>60.4</v>
      </c>
      <c r="F11" s="10">
        <f>Raw_Data!E11</f>
        <v>1.7082658694999999E-2</v>
      </c>
      <c r="G11" s="10">
        <f>Raw_Data!F11</f>
        <v>9.7655747698999998E-2</v>
      </c>
      <c r="H11" s="10">
        <f>Raw_Data!G11</f>
        <v>1</v>
      </c>
      <c r="I11" s="10">
        <f>Raw_Data!H11</f>
        <v>1E-3</v>
      </c>
      <c r="J11" s="5" t="str">
        <f t="shared" si="1"/>
        <v>Cleaner sand</v>
      </c>
      <c r="K11" s="11">
        <f t="shared" si="2"/>
        <v>18.399999999999999</v>
      </c>
      <c r="L11" s="12">
        <f t="shared" si="3"/>
        <v>1.62</v>
      </c>
      <c r="M11" s="12">
        <f t="shared" si="4"/>
        <v>2.56</v>
      </c>
      <c r="N11" s="12">
        <f t="shared" si="5"/>
        <v>18.29</v>
      </c>
      <c r="O11" s="12">
        <f t="shared" si="6"/>
        <v>194.9</v>
      </c>
      <c r="P11" s="5" t="str">
        <f>IF(M11&lt;=Controls!$B$2,"NORMAL",IF(M11&lt;=Controls!$B$3,"CAUTION","BLOCK"))</f>
        <v>NORMAL</v>
      </c>
      <c r="Q11" s="5" t="str">
        <f>IF(P11="BLOCK","Hold",IF(L11&gt;Controls!$B$4,"Hold",IF(P11="CAUTION","Drop",IF(G11&lt;0.25,IF(MOD(ROW(),13)=0,"Turn Left",IF(MOD(ROW(),9)=0,"Turn Right",IF(F11&lt;0.08,"Build","Hold"))),IF(F11&lt;0.08,"Build","Hold")))))</f>
        <v>Build</v>
      </c>
      <c r="R11" s="12">
        <f>ROUND(MAX(0.35,MIN(0.95,0.92 - 0.06*MAX(0,M11-Controls!$B$2) - 0.05*MAX(0,L11-Controls!$B$4) - 0.01*ABS(C11-50) + 0.04*(1-G11))),2)</f>
        <v>0.85</v>
      </c>
      <c r="S11" s="5" t="str">
        <f>IF(P11="BLOCK","BLOCKED",IF(R11&lt;Controls!$B$7,"REDUCED","ACCEPTED"))</f>
        <v>ACCEPTED</v>
      </c>
      <c r="T11" s="5" t="str">
        <f>IF(P11="BLOCK","LIMIT_EXCEEDED - DLS above "&amp;TEXT(Controls!$B$3,"0.0")&amp;" deg/100ft",IF(P11="CAUTION","DLS above operating limit - reduce aggressiveness",IF(L11&gt;Controls!$B$4,"High vibration - hold trajectory",IF(OR(C11&lt;Controls!$B$5,C11&gt;Controls!$B$6),"WOB outside preferred band","Normal operation"))))</f>
        <v>Normal operation</v>
      </c>
    </row>
    <row r="12" spans="1:20" x14ac:dyDescent="0.3">
      <c r="A12" s="7">
        <f>Raw_Data!A12</f>
        <v>3355</v>
      </c>
      <c r="B12" s="8">
        <f>Raw_Data!B12</f>
        <v>40202.383999999998</v>
      </c>
      <c r="C12" s="9">
        <f t="shared" si="0"/>
        <v>40.202383999999995</v>
      </c>
      <c r="D12" s="9">
        <f>ROUND(Controls!$B$8 + (Raw_Data!C12-Controls!$B$12)/MAX(0.000001,(Controls!$B$13-Controls!$B$12))*(Controls!$B$9-Controls!$B$8),1)</f>
        <v>171.9</v>
      </c>
      <c r="E12" s="9">
        <f>ROUND(Controls!$B$10 + (Raw_Data!D12-Controls!$B$14)/MAX(0.000001,(Controls!$B$15-Controls!$B$14))*(Controls!$B$11-Controls!$B$10),1)</f>
        <v>56.5</v>
      </c>
      <c r="F12" s="10">
        <f>Raw_Data!E12</f>
        <v>1.4316008389999999E-2</v>
      </c>
      <c r="G12" s="10">
        <f>Raw_Data!F12</f>
        <v>8.9343110867000003E-2</v>
      </c>
      <c r="H12" s="10">
        <f>Raw_Data!G12</f>
        <v>1</v>
      </c>
      <c r="I12" s="10">
        <f>Raw_Data!H12</f>
        <v>1E-3</v>
      </c>
      <c r="J12" s="5" t="str">
        <f t="shared" si="1"/>
        <v>Cleaner sand</v>
      </c>
      <c r="K12" s="11">
        <f t="shared" si="2"/>
        <v>15</v>
      </c>
      <c r="L12" s="12">
        <f t="shared" si="3"/>
        <v>1.95</v>
      </c>
      <c r="M12" s="12">
        <f t="shared" si="4"/>
        <v>3.04</v>
      </c>
      <c r="N12" s="12">
        <f t="shared" si="5"/>
        <v>18.11</v>
      </c>
      <c r="O12" s="12">
        <f t="shared" si="6"/>
        <v>196.7</v>
      </c>
      <c r="P12" s="5" t="str">
        <f>IF(M12&lt;=Controls!$B$2,"NORMAL",IF(M12&lt;=Controls!$B$3,"CAUTION","BLOCK"))</f>
        <v>NORMAL</v>
      </c>
      <c r="Q12" s="5" t="str">
        <f>IF(P12="BLOCK","Hold",IF(L12&gt;Controls!$B$4,"Hold",IF(P12="CAUTION","Drop",IF(G12&lt;0.25,IF(MOD(ROW(),13)=0,"Turn Left",IF(MOD(ROW(),9)=0,"Turn Right",IF(F12&lt;0.08,"Build","Hold"))),IF(F12&lt;0.08,"Build","Hold")))))</f>
        <v>Build</v>
      </c>
      <c r="R12" s="12">
        <f>ROUND(MAX(0.35,MIN(0.95,0.92 - 0.06*MAX(0,M12-Controls!$B$2) - 0.05*MAX(0,L12-Controls!$B$4) - 0.01*ABS(C12-50) + 0.04*(1-G12))),2)</f>
        <v>0.86</v>
      </c>
      <c r="S12" s="5" t="str">
        <f>IF(P12="BLOCK","BLOCKED",IF(R12&lt;Controls!$B$7,"REDUCED","ACCEPTED"))</f>
        <v>ACCEPTED</v>
      </c>
      <c r="T12" s="5" t="str">
        <f>IF(P12="BLOCK","LIMIT_EXCEEDED - DLS above "&amp;TEXT(Controls!$B$3,"0.0")&amp;" deg/100ft",IF(P12="CAUTION","DLS above operating limit - reduce aggressiveness",IF(L12&gt;Controls!$B$4,"High vibration - hold trajectory",IF(OR(C12&lt;Controls!$B$5,C12&gt;Controls!$B$6),"WOB outside preferred band","Normal operation"))))</f>
        <v>Normal operation</v>
      </c>
    </row>
    <row r="13" spans="1:20" x14ac:dyDescent="0.3">
      <c r="A13" s="7">
        <f>Raw_Data!A13</f>
        <v>3360</v>
      </c>
      <c r="B13" s="8">
        <f>Raw_Data!B13</f>
        <v>43788.455000000002</v>
      </c>
      <c r="C13" s="9">
        <f t="shared" si="0"/>
        <v>43.788454999999999</v>
      </c>
      <c r="D13" s="9">
        <f>ROUND(Controls!$B$8 + (Raw_Data!C13-Controls!$B$12)/MAX(0.000001,(Controls!$B$13-Controls!$B$12))*(Controls!$B$9-Controls!$B$8),1)</f>
        <v>176.5</v>
      </c>
      <c r="E13" s="9">
        <f>ROUND(Controls!$B$10 + (Raw_Data!D13-Controls!$B$14)/MAX(0.000001,(Controls!$B$15-Controls!$B$14))*(Controls!$B$11-Controls!$B$10),1)</f>
        <v>56.4</v>
      </c>
      <c r="F13" s="10">
        <f>Raw_Data!E13</f>
        <v>5.3798958819999999E-2</v>
      </c>
      <c r="G13" s="10">
        <f>Raw_Data!F13</f>
        <v>9.6550292750000002E-2</v>
      </c>
      <c r="H13" s="10">
        <f>Raw_Data!G13</f>
        <v>1</v>
      </c>
      <c r="I13" s="10">
        <f>Raw_Data!H13</f>
        <v>1E-3</v>
      </c>
      <c r="J13" s="5" t="str">
        <f t="shared" si="1"/>
        <v>Cleaner sand</v>
      </c>
      <c r="K13" s="11">
        <f t="shared" si="2"/>
        <v>15.6</v>
      </c>
      <c r="L13" s="12">
        <f t="shared" si="3"/>
        <v>2.06</v>
      </c>
      <c r="M13" s="12">
        <f t="shared" si="4"/>
        <v>3.2</v>
      </c>
      <c r="N13" s="12">
        <f t="shared" si="5"/>
        <v>17.95</v>
      </c>
      <c r="O13" s="12">
        <f t="shared" si="6"/>
        <v>194.9</v>
      </c>
      <c r="P13" s="5" t="str">
        <f>IF(M13&lt;=Controls!$B$2,"NORMAL",IF(M13&lt;=Controls!$B$3,"CAUTION","BLOCK"))</f>
        <v>NORMAL</v>
      </c>
      <c r="Q13" s="5" t="str">
        <f>IF(P13="BLOCK","Hold",IF(L13&gt;Controls!$B$4,"Hold",IF(P13="CAUTION","Drop",IF(G13&lt;0.25,IF(MOD(ROW(),13)=0,"Turn Left",IF(MOD(ROW(),9)=0,"Turn Right",IF(F13&lt;0.08,"Build","Hold"))),IF(F13&lt;0.08,"Build","Hold")))))</f>
        <v>Turn Left</v>
      </c>
      <c r="R13" s="12">
        <f>ROUND(MAX(0.35,MIN(0.95,0.92 - 0.06*MAX(0,M13-Controls!$B$2) - 0.05*MAX(0,L13-Controls!$B$4) - 0.01*ABS(C13-50) + 0.04*(1-G13))),2)</f>
        <v>0.89</v>
      </c>
      <c r="S13" s="5" t="str">
        <f>IF(P13="BLOCK","BLOCKED",IF(R13&lt;Controls!$B$7,"REDUCED","ACCEPTED"))</f>
        <v>ACCEPTED</v>
      </c>
      <c r="T13" s="5" t="str">
        <f>IF(P13="BLOCK","LIMIT_EXCEEDED - DLS above "&amp;TEXT(Controls!$B$3,"0.0")&amp;" deg/100ft",IF(P13="CAUTION","DLS above operating limit - reduce aggressiveness",IF(L13&gt;Controls!$B$4,"High vibration - hold trajectory",IF(OR(C13&lt;Controls!$B$5,C13&gt;Controls!$B$6),"WOB outside preferred band","Normal operation"))))</f>
        <v>Normal operation</v>
      </c>
    </row>
    <row r="14" spans="1:20" x14ac:dyDescent="0.3">
      <c r="A14" s="7">
        <f>Raw_Data!A14</f>
        <v>3365</v>
      </c>
      <c r="B14" s="8">
        <f>Raw_Data!B14</f>
        <v>44938.123</v>
      </c>
      <c r="C14" s="9">
        <f t="shared" si="0"/>
        <v>44.938122999999997</v>
      </c>
      <c r="D14" s="9">
        <f>ROUND(Controls!$B$8 + (Raw_Data!C14-Controls!$B$12)/MAX(0.000001,(Controls!$B$13-Controls!$B$12))*(Controls!$B$9-Controls!$B$8),1)</f>
        <v>179.4</v>
      </c>
      <c r="E14" s="9">
        <f>ROUND(Controls!$B$10 + (Raw_Data!D14-Controls!$B$14)/MAX(0.000001,(Controls!$B$15-Controls!$B$14))*(Controls!$B$11-Controls!$B$10),1)</f>
        <v>56.5</v>
      </c>
      <c r="F14" s="10">
        <f>Raw_Data!E14</f>
        <v>3.779870146E-2</v>
      </c>
      <c r="G14" s="10">
        <f>Raw_Data!F14</f>
        <v>0.111597018839</v>
      </c>
      <c r="H14" s="10">
        <f>Raw_Data!G14</f>
        <v>1</v>
      </c>
      <c r="I14" s="10">
        <f>Raw_Data!H14</f>
        <v>1E-3</v>
      </c>
      <c r="J14" s="5" t="str">
        <f t="shared" si="1"/>
        <v>Cleaner sand</v>
      </c>
      <c r="K14" s="11">
        <f t="shared" si="2"/>
        <v>15.9</v>
      </c>
      <c r="L14" s="12">
        <f t="shared" si="3"/>
        <v>2.14</v>
      </c>
      <c r="M14" s="12">
        <f t="shared" si="4"/>
        <v>3.35</v>
      </c>
      <c r="N14" s="12">
        <f t="shared" si="5"/>
        <v>17.809999999999999</v>
      </c>
      <c r="O14" s="12">
        <f t="shared" si="6"/>
        <v>196.7</v>
      </c>
      <c r="P14" s="5" t="str">
        <f>IF(M14&lt;=Controls!$B$2,"NORMAL",IF(M14&lt;=Controls!$B$3,"CAUTION","BLOCK"))</f>
        <v>NORMAL</v>
      </c>
      <c r="Q14" s="5" t="str">
        <f>IF(P14="BLOCK","Hold",IF(L14&gt;Controls!$B$4,"Hold",IF(P14="CAUTION","Drop",IF(G14&lt;0.25,IF(MOD(ROW(),13)=0,"Turn Left",IF(MOD(ROW(),9)=0,"Turn Right",IF(F14&lt;0.08,"Build","Hold"))),IF(F14&lt;0.08,"Build","Hold")))))</f>
        <v>Build</v>
      </c>
      <c r="R14" s="12">
        <f>ROUND(MAX(0.35,MIN(0.95,0.92 - 0.06*MAX(0,M14-Controls!$B$2) - 0.05*MAX(0,L14-Controls!$B$4) - 0.01*ABS(C14-50) + 0.04*(1-G14))),2)</f>
        <v>0.9</v>
      </c>
      <c r="S14" s="5" t="str">
        <f>IF(P14="BLOCK","BLOCKED",IF(R14&lt;Controls!$B$7,"REDUCED","ACCEPTED"))</f>
        <v>ACCEPTED</v>
      </c>
      <c r="T14" s="5" t="str">
        <f>IF(P14="BLOCK","LIMIT_EXCEEDED - DLS above "&amp;TEXT(Controls!$B$3,"0.0")&amp;" deg/100ft",IF(P14="CAUTION","DLS above operating limit - reduce aggressiveness",IF(L14&gt;Controls!$B$4,"High vibration - hold trajectory",IF(OR(C14&lt;Controls!$B$5,C14&gt;Controls!$B$6),"WOB outside preferred band","Normal operation"))))</f>
        <v>Normal operation</v>
      </c>
    </row>
    <row r="15" spans="1:20" x14ac:dyDescent="0.3">
      <c r="A15" s="7">
        <f>Raw_Data!A15</f>
        <v>3370</v>
      </c>
      <c r="B15" s="8">
        <f>Raw_Data!B15</f>
        <v>45959.357000000004</v>
      </c>
      <c r="C15" s="9">
        <f t="shared" si="0"/>
        <v>45.959357000000004</v>
      </c>
      <c r="D15" s="9">
        <f>ROUND(Controls!$B$8 + (Raw_Data!C15-Controls!$B$12)/MAX(0.000001,(Controls!$B$13-Controls!$B$12))*(Controls!$B$9-Controls!$B$8),1)</f>
        <v>180</v>
      </c>
      <c r="E15" s="9">
        <f>ROUND(Controls!$B$10 + (Raw_Data!D15-Controls!$B$14)/MAX(0.000001,(Controls!$B$15-Controls!$B$14))*(Controls!$B$11-Controls!$B$10),1)</f>
        <v>34.700000000000003</v>
      </c>
      <c r="F15" s="10">
        <f>Raw_Data!E15</f>
        <v>3.652622573E-2</v>
      </c>
      <c r="G15" s="10">
        <f>Raw_Data!F15</f>
        <v>9.2511973472999998E-2</v>
      </c>
      <c r="H15" s="10">
        <f>Raw_Data!G15</f>
        <v>1</v>
      </c>
      <c r="I15" s="10">
        <f>Raw_Data!H15</f>
        <v>1E-3</v>
      </c>
      <c r="J15" s="5" t="str">
        <f t="shared" si="1"/>
        <v>Cleaner sand</v>
      </c>
      <c r="K15" s="11">
        <f t="shared" si="2"/>
        <v>15.9</v>
      </c>
      <c r="L15" s="12">
        <f t="shared" si="3"/>
        <v>2.13</v>
      </c>
      <c r="M15" s="12">
        <f t="shared" si="4"/>
        <v>3.29</v>
      </c>
      <c r="N15" s="12">
        <f t="shared" si="5"/>
        <v>17.66</v>
      </c>
      <c r="O15" s="12">
        <f t="shared" si="6"/>
        <v>198.5</v>
      </c>
      <c r="P15" s="5" t="str">
        <f>IF(M15&lt;=Controls!$B$2,"NORMAL",IF(M15&lt;=Controls!$B$3,"CAUTION","BLOCK"))</f>
        <v>NORMAL</v>
      </c>
      <c r="Q15" s="5" t="str">
        <f>IF(P15="BLOCK","Hold",IF(L15&gt;Controls!$B$4,"Hold",IF(P15="CAUTION","Drop",IF(G15&lt;0.25,IF(MOD(ROW(),13)=0,"Turn Left",IF(MOD(ROW(),9)=0,"Turn Right",IF(F15&lt;0.08,"Build","Hold"))),IF(F15&lt;0.08,"Build","Hold")))))</f>
        <v>Build</v>
      </c>
      <c r="R15" s="12">
        <f>ROUND(MAX(0.35,MIN(0.95,0.92 - 0.06*MAX(0,M15-Controls!$B$2) - 0.05*MAX(0,L15-Controls!$B$4) - 0.01*ABS(C15-50) + 0.04*(1-G15))),2)</f>
        <v>0.92</v>
      </c>
      <c r="S15" s="5" t="str">
        <f>IF(P15="BLOCK","BLOCKED",IF(R15&lt;Controls!$B$7,"REDUCED","ACCEPTED"))</f>
        <v>ACCEPTED</v>
      </c>
      <c r="T15" s="5" t="str">
        <f>IF(P15="BLOCK","LIMIT_EXCEEDED - DLS above "&amp;TEXT(Controls!$B$3,"0.0")&amp;" deg/100ft",IF(P15="CAUTION","DLS above operating limit - reduce aggressiveness",IF(L15&gt;Controls!$B$4,"High vibration - hold trajectory",IF(OR(C15&lt;Controls!$B$5,C15&gt;Controls!$B$6),"WOB outside preferred band","Normal operation"))))</f>
        <v>Normal operation</v>
      </c>
    </row>
    <row r="16" spans="1:20" x14ac:dyDescent="0.3">
      <c r="A16" s="7">
        <f>Raw_Data!A16</f>
        <v>3375</v>
      </c>
      <c r="B16" s="8">
        <f>Raw_Data!B16</f>
        <v>27652.132000000001</v>
      </c>
      <c r="C16" s="9">
        <f t="shared" si="0"/>
        <v>27.652132000000002</v>
      </c>
      <c r="D16" s="9">
        <f>ROUND(Controls!$B$8 + (Raw_Data!C16-Controls!$B$12)/MAX(0.000001,(Controls!$B$13-Controls!$B$12))*(Controls!$B$9-Controls!$B$8),1)</f>
        <v>176.9</v>
      </c>
      <c r="E16" s="9">
        <f>ROUND(Controls!$B$10 + (Raw_Data!D16-Controls!$B$14)/MAX(0.000001,(Controls!$B$15-Controls!$B$14))*(Controls!$B$11-Controls!$B$10),1)</f>
        <v>60.3</v>
      </c>
      <c r="F16" s="10">
        <f>Raw_Data!E16</f>
        <v>3.0479465314999999E-2</v>
      </c>
      <c r="G16" s="10">
        <f>Raw_Data!F16</f>
        <v>0.11383898299300001</v>
      </c>
      <c r="H16" s="10">
        <f>Raw_Data!G16</f>
        <v>1</v>
      </c>
      <c r="I16" s="10">
        <f>Raw_Data!H16</f>
        <v>1E-3</v>
      </c>
      <c r="J16" s="5" t="str">
        <f t="shared" si="1"/>
        <v>Cleaner sand</v>
      </c>
      <c r="K16" s="11">
        <f t="shared" si="2"/>
        <v>13.2</v>
      </c>
      <c r="L16" s="12">
        <f t="shared" si="3"/>
        <v>2.09</v>
      </c>
      <c r="M16" s="12">
        <f t="shared" si="4"/>
        <v>3.28</v>
      </c>
      <c r="N16" s="12">
        <f t="shared" si="5"/>
        <v>17.510000000000002</v>
      </c>
      <c r="O16" s="12">
        <f t="shared" si="6"/>
        <v>200.3</v>
      </c>
      <c r="P16" s="5" t="str">
        <f>IF(M16&lt;=Controls!$B$2,"NORMAL",IF(M16&lt;=Controls!$B$3,"CAUTION","BLOCK"))</f>
        <v>NORMAL</v>
      </c>
      <c r="Q16" s="5" t="str">
        <f>IF(P16="BLOCK","Hold",IF(L16&gt;Controls!$B$4,"Hold",IF(P16="CAUTION","Drop",IF(G16&lt;0.25,IF(MOD(ROW(),13)=0,"Turn Left",IF(MOD(ROW(),9)=0,"Turn Right",IF(F16&lt;0.08,"Build","Hold"))),IF(F16&lt;0.08,"Build","Hold")))))</f>
        <v>Build</v>
      </c>
      <c r="R16" s="12">
        <f>ROUND(MAX(0.35,MIN(0.95,0.92 - 0.06*MAX(0,M16-Controls!$B$2) - 0.05*MAX(0,L16-Controls!$B$4) - 0.01*ABS(C16-50) + 0.04*(1-G16))),2)</f>
        <v>0.73</v>
      </c>
      <c r="S16" s="5" t="str">
        <f>IF(P16="BLOCK","BLOCKED",IF(R16&lt;Controls!$B$7,"REDUCED","ACCEPTED"))</f>
        <v>ACCEPTED</v>
      </c>
      <c r="T16" s="5" t="str">
        <f>IF(P16="BLOCK","LIMIT_EXCEEDED - DLS above "&amp;TEXT(Controls!$B$3,"0.0")&amp;" deg/100ft",IF(P16="CAUTION","DLS above operating limit - reduce aggressiveness",IF(L16&gt;Controls!$B$4,"High vibration - hold trajectory",IF(OR(C16&lt;Controls!$B$5,C16&gt;Controls!$B$6),"WOB outside preferred band","Normal operation"))))</f>
        <v>Normal operation</v>
      </c>
    </row>
    <row r="17" spans="1:20" x14ac:dyDescent="0.3">
      <c r="A17" s="7">
        <f>Raw_Data!A17</f>
        <v>3380</v>
      </c>
      <c r="B17" s="8">
        <f>Raw_Data!B17</f>
        <v>29439.337</v>
      </c>
      <c r="C17" s="9">
        <f t="shared" si="0"/>
        <v>29.439336999999998</v>
      </c>
      <c r="D17" s="9">
        <f>ROUND(Controls!$B$8 + (Raw_Data!C17-Controls!$B$12)/MAX(0.000001,(Controls!$B$13-Controls!$B$12))*(Controls!$B$9-Controls!$B$8),1)</f>
        <v>173.7</v>
      </c>
      <c r="E17" s="9">
        <f>ROUND(Controls!$B$10 + (Raw_Data!D17-Controls!$B$14)/MAX(0.000001,(Controls!$B$15-Controls!$B$14))*(Controls!$B$11-Controls!$B$10),1)</f>
        <v>60.3</v>
      </c>
      <c r="F17" s="10">
        <f>Raw_Data!E17</f>
        <v>2.6482121187E-2</v>
      </c>
      <c r="G17" s="10">
        <f>Raw_Data!F17</f>
        <v>8.7976159425000006E-2</v>
      </c>
      <c r="H17" s="10">
        <f>Raw_Data!G17</f>
        <v>1</v>
      </c>
      <c r="I17" s="10">
        <f>Raw_Data!H17</f>
        <v>1E-3</v>
      </c>
      <c r="J17" s="5" t="str">
        <f t="shared" si="1"/>
        <v>Cleaner sand</v>
      </c>
      <c r="K17" s="11">
        <f t="shared" si="2"/>
        <v>13.3</v>
      </c>
      <c r="L17" s="12">
        <f t="shared" si="3"/>
        <v>2.48</v>
      </c>
      <c r="M17" s="12">
        <f t="shared" si="4"/>
        <v>3.28</v>
      </c>
      <c r="N17" s="12">
        <f t="shared" si="5"/>
        <v>17.36</v>
      </c>
      <c r="O17" s="12">
        <f t="shared" si="6"/>
        <v>202.1</v>
      </c>
      <c r="P17" s="5" t="str">
        <f>IF(M17&lt;=Controls!$B$2,"NORMAL",IF(M17&lt;=Controls!$B$3,"CAUTION","BLOCK"))</f>
        <v>NORMAL</v>
      </c>
      <c r="Q17" s="5" t="str">
        <f>IF(P17="BLOCK","Hold",IF(L17&gt;Controls!$B$4,"Hold",IF(P17="CAUTION","Drop",IF(G17&lt;0.25,IF(MOD(ROW(),13)=0,"Turn Left",IF(MOD(ROW(),9)=0,"Turn Right",IF(F17&lt;0.08,"Build","Hold"))),IF(F17&lt;0.08,"Build","Hold")))))</f>
        <v>Build</v>
      </c>
      <c r="R17" s="12">
        <f>ROUND(MAX(0.35,MIN(0.95,0.92 - 0.06*MAX(0,M17-Controls!$B$2) - 0.05*MAX(0,L17-Controls!$B$4) - 0.01*ABS(C17-50) + 0.04*(1-G17))),2)</f>
        <v>0.75</v>
      </c>
      <c r="S17" s="5" t="str">
        <f>IF(P17="BLOCK","BLOCKED",IF(R17&lt;Controls!$B$7,"REDUCED","ACCEPTED"))</f>
        <v>ACCEPTED</v>
      </c>
      <c r="T17" s="5" t="str">
        <f>IF(P17="BLOCK","LIMIT_EXCEEDED - DLS above "&amp;TEXT(Controls!$B$3,"0.0")&amp;" deg/100ft",IF(P17="CAUTION","DLS above operating limit - reduce aggressiveness",IF(L17&gt;Controls!$B$4,"High vibration - hold trajectory",IF(OR(C17&lt;Controls!$B$5,C17&gt;Controls!$B$6),"WOB outside preferred band","Normal operation"))))</f>
        <v>Normal operation</v>
      </c>
    </row>
    <row r="18" spans="1:20" x14ac:dyDescent="0.3">
      <c r="A18" s="7">
        <f>Raw_Data!A18</f>
        <v>3390</v>
      </c>
      <c r="B18" s="8">
        <f>Raw_Data!B18</f>
        <v>51058.512999999999</v>
      </c>
      <c r="C18" s="9">
        <f t="shared" si="0"/>
        <v>51.058512999999998</v>
      </c>
      <c r="D18" s="9">
        <f>ROUND(Controls!$B$8 + (Raw_Data!C18-Controls!$B$12)/MAX(0.000001,(Controls!$B$13-Controls!$B$12))*(Controls!$B$9-Controls!$B$8),1)</f>
        <v>176.4</v>
      </c>
      <c r="E18" s="9">
        <f>ROUND(Controls!$B$10 + (Raw_Data!D18-Controls!$B$14)/MAX(0.000001,(Controls!$B$15-Controls!$B$14))*(Controls!$B$11-Controls!$B$10),1)</f>
        <v>60.3</v>
      </c>
      <c r="F18" s="10">
        <f>Raw_Data!E18</f>
        <v>3.2047358025E-2</v>
      </c>
      <c r="G18" s="10">
        <f>Raw_Data!F18</f>
        <v>7.0752103794999993E-2</v>
      </c>
      <c r="H18" s="10">
        <f>Raw_Data!G18</f>
        <v>1</v>
      </c>
      <c r="I18" s="10">
        <f>Raw_Data!H18</f>
        <v>1E-3</v>
      </c>
      <c r="J18" s="5" t="str">
        <f t="shared" si="1"/>
        <v>Cleaner sand</v>
      </c>
      <c r="K18" s="11">
        <f t="shared" si="2"/>
        <v>16.600000000000001</v>
      </c>
      <c r="L18" s="12">
        <f t="shared" si="3"/>
        <v>2.02</v>
      </c>
      <c r="M18" s="12">
        <f t="shared" si="4"/>
        <v>3.09</v>
      </c>
      <c r="N18" s="12">
        <f t="shared" si="5"/>
        <v>17.190000000000001</v>
      </c>
      <c r="O18" s="12">
        <f t="shared" si="6"/>
        <v>203.9</v>
      </c>
      <c r="P18" s="5" t="str">
        <f>IF(M18&lt;=Controls!$B$2,"NORMAL",IF(M18&lt;=Controls!$B$3,"CAUTION","BLOCK"))</f>
        <v>NORMAL</v>
      </c>
      <c r="Q18" s="5" t="str">
        <f>IF(P18="BLOCK","Hold",IF(L18&gt;Controls!$B$4,"Hold",IF(P18="CAUTION","Drop",IF(G18&lt;0.25,IF(MOD(ROW(),13)=0,"Turn Left",IF(MOD(ROW(),9)=0,"Turn Right",IF(F18&lt;0.08,"Build","Hold"))),IF(F18&lt;0.08,"Build","Hold")))))</f>
        <v>Turn Right</v>
      </c>
      <c r="R18" s="12">
        <f>ROUND(MAX(0.35,MIN(0.95,0.92 - 0.06*MAX(0,M18-Controls!$B$2) - 0.05*MAX(0,L18-Controls!$B$4) - 0.01*ABS(C18-50) + 0.04*(1-G18))),2)</f>
        <v>0.95</v>
      </c>
      <c r="S18" s="5" t="str">
        <f>IF(P18="BLOCK","BLOCKED",IF(R18&lt;Controls!$B$7,"REDUCED","ACCEPTED"))</f>
        <v>ACCEPTED</v>
      </c>
      <c r="T18" s="5" t="str">
        <f>IF(P18="BLOCK","LIMIT_EXCEEDED - DLS above "&amp;TEXT(Controls!$B$3,"0.0")&amp;" deg/100ft",IF(P18="CAUTION","DLS above operating limit - reduce aggressiveness",IF(L18&gt;Controls!$B$4,"High vibration - hold trajectory",IF(OR(C18&lt;Controls!$B$5,C18&gt;Controls!$B$6),"WOB outside preferred band","Normal operation"))))</f>
        <v>Normal operation</v>
      </c>
    </row>
    <row r="19" spans="1:20" x14ac:dyDescent="0.3">
      <c r="A19" s="7">
        <f>Raw_Data!A19</f>
        <v>3395</v>
      </c>
      <c r="B19" s="8">
        <f>Raw_Data!B19</f>
        <v>54386.650999999998</v>
      </c>
      <c r="C19" s="9">
        <f t="shared" si="0"/>
        <v>54.386651000000001</v>
      </c>
      <c r="D19" s="9">
        <f>ROUND(Controls!$B$8 + (Raw_Data!C19-Controls!$B$12)/MAX(0.000001,(Controls!$B$13-Controls!$B$12))*(Controls!$B$9-Controls!$B$8),1)</f>
        <v>175.7</v>
      </c>
      <c r="E19" s="9">
        <f>ROUND(Controls!$B$10 + (Raw_Data!D19-Controls!$B$14)/MAX(0.000001,(Controls!$B$15-Controls!$B$14))*(Controls!$B$11-Controls!$B$10),1)</f>
        <v>58.6</v>
      </c>
      <c r="F19" s="10">
        <f>Raw_Data!E19</f>
        <v>2.4143295786E-2</v>
      </c>
      <c r="G19" s="10">
        <f>Raw_Data!F19</f>
        <v>0.111945171782</v>
      </c>
      <c r="H19" s="10">
        <f>Raw_Data!G19</f>
        <v>1</v>
      </c>
      <c r="I19" s="10">
        <f>Raw_Data!H19</f>
        <v>1E-3</v>
      </c>
      <c r="J19" s="5" t="str">
        <f t="shared" si="1"/>
        <v>Cleaner sand</v>
      </c>
      <c r="K19" s="11">
        <f t="shared" si="2"/>
        <v>17.399999999999999</v>
      </c>
      <c r="L19" s="12">
        <f t="shared" si="3"/>
        <v>2.06</v>
      </c>
      <c r="M19" s="12">
        <f t="shared" si="4"/>
        <v>3.24</v>
      </c>
      <c r="N19" s="12">
        <f t="shared" si="5"/>
        <v>17.04</v>
      </c>
      <c r="O19" s="12">
        <f t="shared" si="6"/>
        <v>205.7</v>
      </c>
      <c r="P19" s="5" t="str">
        <f>IF(M19&lt;=Controls!$B$2,"NORMAL",IF(M19&lt;=Controls!$B$3,"CAUTION","BLOCK"))</f>
        <v>NORMAL</v>
      </c>
      <c r="Q19" s="5" t="str">
        <f>IF(P19="BLOCK","Hold",IF(L19&gt;Controls!$B$4,"Hold",IF(P19="CAUTION","Drop",IF(G19&lt;0.25,IF(MOD(ROW(),13)=0,"Turn Left",IF(MOD(ROW(),9)=0,"Turn Right",IF(F19&lt;0.08,"Build","Hold"))),IF(F19&lt;0.08,"Build","Hold")))))</f>
        <v>Build</v>
      </c>
      <c r="R19" s="12">
        <f>ROUND(MAX(0.35,MIN(0.95,0.92 - 0.06*MAX(0,M19-Controls!$B$2) - 0.05*MAX(0,L19-Controls!$B$4) - 0.01*ABS(C19-50) + 0.04*(1-G19))),2)</f>
        <v>0.91</v>
      </c>
      <c r="S19" s="5" t="str">
        <f>IF(P19="BLOCK","BLOCKED",IF(R19&lt;Controls!$B$7,"REDUCED","ACCEPTED"))</f>
        <v>ACCEPTED</v>
      </c>
      <c r="T19" s="5" t="str">
        <f>IF(P19="BLOCK","LIMIT_EXCEEDED - DLS above "&amp;TEXT(Controls!$B$3,"0.0")&amp;" deg/100ft",IF(P19="CAUTION","DLS above operating limit - reduce aggressiveness",IF(L19&gt;Controls!$B$4,"High vibration - hold trajectory",IF(OR(C19&lt;Controls!$B$5,C19&gt;Controls!$B$6),"WOB outside preferred band","Normal operation"))))</f>
        <v>Normal operation</v>
      </c>
    </row>
    <row r="20" spans="1:20" x14ac:dyDescent="0.3">
      <c r="A20" s="7">
        <f>Raw_Data!A20</f>
        <v>3400</v>
      </c>
      <c r="B20" s="8">
        <f>Raw_Data!B20</f>
        <v>42902.547999999901</v>
      </c>
      <c r="C20" s="9">
        <f t="shared" si="0"/>
        <v>42.902547999999904</v>
      </c>
      <c r="D20" s="9">
        <f>ROUND(Controls!$B$8 + (Raw_Data!C20-Controls!$B$12)/MAX(0.000001,(Controls!$B$13-Controls!$B$12))*(Controls!$B$9-Controls!$B$8),1)</f>
        <v>174.9</v>
      </c>
      <c r="E20" s="9">
        <f>ROUND(Controls!$B$10 + (Raw_Data!D20-Controls!$B$14)/MAX(0.000001,(Controls!$B$15-Controls!$B$14))*(Controls!$B$11-Controls!$B$10),1)</f>
        <v>57.7</v>
      </c>
      <c r="F20" s="10">
        <f>Raw_Data!E20</f>
        <v>1.9745276629E-2</v>
      </c>
      <c r="G20" s="10">
        <f>Raw_Data!F20</f>
        <v>5.5927879061000003E-2</v>
      </c>
      <c r="H20" s="10">
        <f>Raw_Data!G20</f>
        <v>1</v>
      </c>
      <c r="I20" s="10">
        <f>Raw_Data!H20</f>
        <v>1E-3</v>
      </c>
      <c r="J20" s="5" t="str">
        <f t="shared" si="1"/>
        <v>Cleaner sand</v>
      </c>
      <c r="K20" s="11">
        <f t="shared" si="2"/>
        <v>15.2</v>
      </c>
      <c r="L20" s="12">
        <f t="shared" si="3"/>
        <v>1.96</v>
      </c>
      <c r="M20" s="12">
        <f t="shared" si="4"/>
        <v>2.98</v>
      </c>
      <c r="N20" s="12">
        <f t="shared" si="5"/>
        <v>16.86</v>
      </c>
      <c r="O20" s="12">
        <f t="shared" si="6"/>
        <v>207.5</v>
      </c>
      <c r="P20" s="5" t="str">
        <f>IF(M20&lt;=Controls!$B$2,"NORMAL",IF(M20&lt;=Controls!$B$3,"CAUTION","BLOCK"))</f>
        <v>NORMAL</v>
      </c>
      <c r="Q20" s="5" t="str">
        <f>IF(P20="BLOCK","Hold",IF(L20&gt;Controls!$B$4,"Hold",IF(P20="CAUTION","Drop",IF(G20&lt;0.25,IF(MOD(ROW(),13)=0,"Turn Left",IF(MOD(ROW(),9)=0,"Turn Right",IF(F20&lt;0.08,"Build","Hold"))),IF(F20&lt;0.08,"Build","Hold")))))</f>
        <v>Build</v>
      </c>
      <c r="R20" s="12">
        <f>ROUND(MAX(0.35,MIN(0.95,0.92 - 0.06*MAX(0,M20-Controls!$B$2) - 0.05*MAX(0,L20-Controls!$B$4) - 0.01*ABS(C20-50) + 0.04*(1-G20))),2)</f>
        <v>0.89</v>
      </c>
      <c r="S20" s="5" t="str">
        <f>IF(P20="BLOCK","BLOCKED",IF(R20&lt;Controls!$B$7,"REDUCED","ACCEPTED"))</f>
        <v>ACCEPTED</v>
      </c>
      <c r="T20" s="5" t="str">
        <f>IF(P20="BLOCK","LIMIT_EXCEEDED - DLS above "&amp;TEXT(Controls!$B$3,"0.0")&amp;" deg/100ft",IF(P20="CAUTION","DLS above operating limit - reduce aggressiveness",IF(L20&gt;Controls!$B$4,"High vibration - hold trajectory",IF(OR(C20&lt;Controls!$B$5,C20&gt;Controls!$B$6),"WOB outside preferred band","Normal operation"))))</f>
        <v>Normal operation</v>
      </c>
    </row>
    <row r="21" spans="1:20" x14ac:dyDescent="0.3">
      <c r="A21" s="7">
        <f>Raw_Data!A21</f>
        <v>3405</v>
      </c>
      <c r="B21" s="8">
        <f>Raw_Data!B21</f>
        <v>90190.589000000007</v>
      </c>
      <c r="C21" s="9">
        <f t="shared" si="0"/>
        <v>90.190589000000003</v>
      </c>
      <c r="D21" s="9">
        <f>ROUND(Controls!$B$8 + (Raw_Data!C21-Controls!$B$12)/MAX(0.000001,(Controls!$B$13-Controls!$B$12))*(Controls!$B$9-Controls!$B$8),1)</f>
        <v>177.6</v>
      </c>
      <c r="E21" s="9">
        <f>ROUND(Controls!$B$10 + (Raw_Data!D21-Controls!$B$14)/MAX(0.000001,(Controls!$B$15-Controls!$B$14))*(Controls!$B$11-Controls!$B$10),1)</f>
        <v>56.5</v>
      </c>
      <c r="F21" s="10">
        <f>Raw_Data!E21</f>
        <v>2.9681877209999999E-3</v>
      </c>
      <c r="G21" s="10">
        <f>Raw_Data!F21</f>
        <v>6.4927597862000003E-2</v>
      </c>
      <c r="H21" s="10">
        <f>Raw_Data!G21</f>
        <v>1</v>
      </c>
      <c r="I21" s="10">
        <f>Raw_Data!H21</f>
        <v>1E-3</v>
      </c>
      <c r="J21" s="5" t="str">
        <f t="shared" si="1"/>
        <v>Cleaner sand</v>
      </c>
      <c r="K21" s="11">
        <f t="shared" si="2"/>
        <v>22.9</v>
      </c>
      <c r="L21" s="12">
        <f t="shared" si="3"/>
        <v>2.74</v>
      </c>
      <c r="M21" s="12">
        <f t="shared" si="4"/>
        <v>4.29</v>
      </c>
      <c r="N21" s="12">
        <f t="shared" si="5"/>
        <v>16.829999999999998</v>
      </c>
      <c r="O21" s="12">
        <f t="shared" si="6"/>
        <v>209.3</v>
      </c>
      <c r="P21" s="5" t="str">
        <f>IF(M21&lt;=Controls!$B$2,"NORMAL",IF(M21&lt;=Controls!$B$3,"CAUTION","BLOCK"))</f>
        <v>NORMAL</v>
      </c>
      <c r="Q21" s="5" t="str">
        <f>IF(P21="BLOCK","Hold",IF(L21&gt;Controls!$B$4,"Hold",IF(P21="CAUTION","Drop",IF(G21&lt;0.25,IF(MOD(ROW(),13)=0,"Turn Left",IF(MOD(ROW(),9)=0,"Turn Right",IF(F21&lt;0.08,"Build","Hold"))),IF(F21&lt;0.08,"Build","Hold")))))</f>
        <v>Build</v>
      </c>
      <c r="R21" s="12">
        <f>ROUND(MAX(0.35,MIN(0.95,0.92 - 0.06*MAX(0,M21-Controls!$B$2) - 0.05*MAX(0,L21-Controls!$B$4) - 0.01*ABS(C21-50) + 0.04*(1-G21))),2)</f>
        <v>0.56000000000000005</v>
      </c>
      <c r="S21" s="5" t="str">
        <f>IF(P21="BLOCK","BLOCKED",IF(R21&lt;Controls!$B$7,"REDUCED","ACCEPTED"))</f>
        <v>REDUCED</v>
      </c>
      <c r="T21" s="5" t="str">
        <f>IF(P21="BLOCK","LIMIT_EXCEEDED - DLS above "&amp;TEXT(Controls!$B$3,"0.0")&amp;" deg/100ft",IF(P21="CAUTION","DLS above operating limit - reduce aggressiveness",IF(L21&gt;Controls!$B$4,"High vibration - hold trajectory",IF(OR(C21&lt;Controls!$B$5,C21&gt;Controls!$B$6),"WOB outside preferred band","Normal operation"))))</f>
        <v>WOB outside preferred band</v>
      </c>
    </row>
    <row r="22" spans="1:20" x14ac:dyDescent="0.3">
      <c r="A22" s="7">
        <f>Raw_Data!A22</f>
        <v>3415</v>
      </c>
      <c r="B22" s="8">
        <f>Raw_Data!B22</f>
        <v>32214.547999999999</v>
      </c>
      <c r="C22" s="9">
        <f t="shared" si="0"/>
        <v>32.214548000000001</v>
      </c>
      <c r="D22" s="9">
        <f>ROUND(Controls!$B$8 + (Raw_Data!C22-Controls!$B$12)/MAX(0.000001,(Controls!$B$13-Controls!$B$12))*(Controls!$B$9-Controls!$B$8),1)</f>
        <v>180</v>
      </c>
      <c r="E22" s="9">
        <f>ROUND(Controls!$B$10 + (Raw_Data!D22-Controls!$B$14)/MAX(0.000001,(Controls!$B$15-Controls!$B$14))*(Controls!$B$11-Controls!$B$10),1)</f>
        <v>60.3</v>
      </c>
      <c r="F22" s="10">
        <f>Raw_Data!E22</f>
        <v>3.6297619615999997E-2</v>
      </c>
      <c r="G22" s="10">
        <f>Raw_Data!F22</f>
        <v>6.7104465259000004E-2</v>
      </c>
      <c r="H22" s="10">
        <f>Raw_Data!G22</f>
        <v>1</v>
      </c>
      <c r="I22" s="10">
        <f>Raw_Data!H22</f>
        <v>1E-3</v>
      </c>
      <c r="J22" s="5" t="str">
        <f t="shared" si="1"/>
        <v>Cleaner sand</v>
      </c>
      <c r="K22" s="11">
        <f t="shared" si="2"/>
        <v>13.6</v>
      </c>
      <c r="L22" s="12">
        <f t="shared" si="3"/>
        <v>2.09</v>
      </c>
      <c r="M22" s="12">
        <f t="shared" si="4"/>
        <v>3.18</v>
      </c>
      <c r="N22" s="12">
        <f t="shared" si="5"/>
        <v>16.670000000000002</v>
      </c>
      <c r="O22" s="12">
        <f t="shared" si="6"/>
        <v>211.1</v>
      </c>
      <c r="P22" s="5" t="str">
        <f>IF(M22&lt;=Controls!$B$2,"NORMAL",IF(M22&lt;=Controls!$B$3,"CAUTION","BLOCK"))</f>
        <v>NORMAL</v>
      </c>
      <c r="Q22" s="5" t="str">
        <f>IF(P22="BLOCK","Hold",IF(L22&gt;Controls!$B$4,"Hold",IF(P22="CAUTION","Drop",IF(G22&lt;0.25,IF(MOD(ROW(),13)=0,"Turn Left",IF(MOD(ROW(),9)=0,"Turn Right",IF(F22&lt;0.08,"Build","Hold"))),IF(F22&lt;0.08,"Build","Hold")))))</f>
        <v>Build</v>
      </c>
      <c r="R22" s="12">
        <f>ROUND(MAX(0.35,MIN(0.95,0.92 - 0.06*MAX(0,M22-Controls!$B$2) - 0.05*MAX(0,L22-Controls!$B$4) - 0.01*ABS(C22-50) + 0.04*(1-G22))),2)</f>
        <v>0.78</v>
      </c>
      <c r="S22" s="5" t="str">
        <f>IF(P22="BLOCK","BLOCKED",IF(R22&lt;Controls!$B$7,"REDUCED","ACCEPTED"))</f>
        <v>ACCEPTED</v>
      </c>
      <c r="T22" s="5" t="str">
        <f>IF(P22="BLOCK","LIMIT_EXCEEDED - DLS above "&amp;TEXT(Controls!$B$3,"0.0")&amp;" deg/100ft",IF(P22="CAUTION","DLS above operating limit - reduce aggressiveness",IF(L22&gt;Controls!$B$4,"High vibration - hold trajectory",IF(OR(C22&lt;Controls!$B$5,C22&gt;Controls!$B$6),"WOB outside preferred band","Normal operation"))))</f>
        <v>Normal operation</v>
      </c>
    </row>
    <row r="23" spans="1:20" x14ac:dyDescent="0.3">
      <c r="A23" s="7">
        <f>Raw_Data!A23</f>
        <v>3420</v>
      </c>
      <c r="B23" s="8">
        <f>Raw_Data!B23</f>
        <v>47159.142</v>
      </c>
      <c r="C23" s="9">
        <f t="shared" si="0"/>
        <v>47.159142000000003</v>
      </c>
      <c r="D23" s="9">
        <f>ROUND(Controls!$B$8 + (Raw_Data!C23-Controls!$B$12)/MAX(0.000001,(Controls!$B$13-Controls!$B$12))*(Controls!$B$9-Controls!$B$8),1)</f>
        <v>178.5</v>
      </c>
      <c r="E23" s="9">
        <f>ROUND(Controls!$B$10 + (Raw_Data!D23-Controls!$B$14)/MAX(0.000001,(Controls!$B$15-Controls!$B$14))*(Controls!$B$11-Controls!$B$10),1)</f>
        <v>60.2</v>
      </c>
      <c r="F23" s="10">
        <f>Raw_Data!E23</f>
        <v>2.4594233207000001E-2</v>
      </c>
      <c r="G23" s="10">
        <f>Raw_Data!F23</f>
        <v>7.3955891647999997E-2</v>
      </c>
      <c r="H23" s="10">
        <f>Raw_Data!G23</f>
        <v>1</v>
      </c>
      <c r="I23" s="10">
        <f>Raw_Data!H23</f>
        <v>1E-3</v>
      </c>
      <c r="J23" s="5" t="str">
        <f t="shared" si="1"/>
        <v>Cleaner sand</v>
      </c>
      <c r="K23" s="11">
        <f t="shared" si="2"/>
        <v>16</v>
      </c>
      <c r="L23" s="12">
        <f t="shared" si="3"/>
        <v>2.0699999999999998</v>
      </c>
      <c r="M23" s="12">
        <f t="shared" si="4"/>
        <v>3.16</v>
      </c>
      <c r="N23" s="12">
        <f t="shared" si="5"/>
        <v>16.510000000000002</v>
      </c>
      <c r="O23" s="12">
        <f t="shared" si="6"/>
        <v>212.9</v>
      </c>
      <c r="P23" s="5" t="str">
        <f>IF(M23&lt;=Controls!$B$2,"NORMAL",IF(M23&lt;=Controls!$B$3,"CAUTION","BLOCK"))</f>
        <v>NORMAL</v>
      </c>
      <c r="Q23" s="5" t="str">
        <f>IF(P23="BLOCK","Hold",IF(L23&gt;Controls!$B$4,"Hold",IF(P23="CAUTION","Drop",IF(G23&lt;0.25,IF(MOD(ROW(),13)=0,"Turn Left",IF(MOD(ROW(),9)=0,"Turn Right",IF(F23&lt;0.08,"Build","Hold"))),IF(F23&lt;0.08,"Build","Hold")))))</f>
        <v>Build</v>
      </c>
      <c r="R23" s="12">
        <f>ROUND(MAX(0.35,MIN(0.95,0.92 - 0.06*MAX(0,M23-Controls!$B$2) - 0.05*MAX(0,L23-Controls!$B$4) - 0.01*ABS(C23-50) + 0.04*(1-G23))),2)</f>
        <v>0.93</v>
      </c>
      <c r="S23" s="5" t="str">
        <f>IF(P23="BLOCK","BLOCKED",IF(R23&lt;Controls!$B$7,"REDUCED","ACCEPTED"))</f>
        <v>ACCEPTED</v>
      </c>
      <c r="T23" s="5" t="str">
        <f>IF(P23="BLOCK","LIMIT_EXCEEDED - DLS above "&amp;TEXT(Controls!$B$3,"0.0")&amp;" deg/100ft",IF(P23="CAUTION","DLS above operating limit - reduce aggressiveness",IF(L23&gt;Controls!$B$4,"High vibration - hold trajectory",IF(OR(C23&lt;Controls!$B$5,C23&gt;Controls!$B$6),"WOB outside preferred band","Normal operation"))))</f>
        <v>Normal operation</v>
      </c>
    </row>
    <row r="24" spans="1:20" x14ac:dyDescent="0.3">
      <c r="A24" s="7">
        <f>Raw_Data!A24</f>
        <v>3425</v>
      </c>
      <c r="B24" s="8">
        <f>Raw_Data!B24</f>
        <v>60347.171999999999</v>
      </c>
      <c r="C24" s="9">
        <f t="shared" si="0"/>
        <v>60.347172</v>
      </c>
      <c r="D24" s="9">
        <f>ROUND(Controls!$B$8 + (Raw_Data!C24-Controls!$B$12)/MAX(0.000001,(Controls!$B$13-Controls!$B$12))*(Controls!$B$9-Controls!$B$8),1)</f>
        <v>162.30000000000001</v>
      </c>
      <c r="E24" s="9">
        <f>ROUND(Controls!$B$10 + (Raw_Data!D24-Controls!$B$14)/MAX(0.000001,(Controls!$B$15-Controls!$B$14))*(Controls!$B$11-Controls!$B$10),1)</f>
        <v>56</v>
      </c>
      <c r="F24" s="10">
        <f>Raw_Data!E24</f>
        <v>4.8633772095E-2</v>
      </c>
      <c r="G24" s="10">
        <f>Raw_Data!F24</f>
        <v>8.6399469155000005E-2</v>
      </c>
      <c r="H24" s="10">
        <f>Raw_Data!G24</f>
        <v>1</v>
      </c>
      <c r="I24" s="10">
        <f>Raw_Data!H24</f>
        <v>1E-3</v>
      </c>
      <c r="J24" s="5" t="str">
        <f t="shared" si="1"/>
        <v>Cleaner sand</v>
      </c>
      <c r="K24" s="11">
        <f t="shared" si="2"/>
        <v>18.2</v>
      </c>
      <c r="L24" s="12">
        <f t="shared" si="3"/>
        <v>1.83</v>
      </c>
      <c r="M24" s="12">
        <f t="shared" si="4"/>
        <v>2.8</v>
      </c>
      <c r="N24" s="12">
        <f t="shared" si="5"/>
        <v>16.309999999999999</v>
      </c>
      <c r="O24" s="12">
        <f t="shared" si="6"/>
        <v>214.7</v>
      </c>
      <c r="P24" s="5" t="str">
        <f>IF(M24&lt;=Controls!$B$2,"NORMAL",IF(M24&lt;=Controls!$B$3,"CAUTION","BLOCK"))</f>
        <v>NORMAL</v>
      </c>
      <c r="Q24" s="5" t="str">
        <f>IF(P24="BLOCK","Hold",IF(L24&gt;Controls!$B$4,"Hold",IF(P24="CAUTION","Drop",IF(G24&lt;0.25,IF(MOD(ROW(),13)=0,"Turn Left",IF(MOD(ROW(),9)=0,"Turn Right",IF(F24&lt;0.08,"Build","Hold"))),IF(F24&lt;0.08,"Build","Hold")))))</f>
        <v>Build</v>
      </c>
      <c r="R24" s="12">
        <f>ROUND(MAX(0.35,MIN(0.95,0.92 - 0.06*MAX(0,M24-Controls!$B$2) - 0.05*MAX(0,L24-Controls!$B$4) - 0.01*ABS(C24-50) + 0.04*(1-G24))),2)</f>
        <v>0.85</v>
      </c>
      <c r="S24" s="5" t="str">
        <f>IF(P24="BLOCK","BLOCKED",IF(R24&lt;Controls!$B$7,"REDUCED","ACCEPTED"))</f>
        <v>ACCEPTED</v>
      </c>
      <c r="T24" s="5" t="str">
        <f>IF(P24="BLOCK","LIMIT_EXCEEDED - DLS above "&amp;TEXT(Controls!$B$3,"0.0")&amp;" deg/100ft",IF(P24="CAUTION","DLS above operating limit - reduce aggressiveness",IF(L24&gt;Controls!$B$4,"High vibration - hold trajectory",IF(OR(C24&lt;Controls!$B$5,C24&gt;Controls!$B$6),"WOB outside preferred band","Normal operation"))))</f>
        <v>Normal operation</v>
      </c>
    </row>
    <row r="25" spans="1:20" x14ac:dyDescent="0.3">
      <c r="A25" s="7">
        <f>Raw_Data!A25</f>
        <v>3430</v>
      </c>
      <c r="B25" s="8">
        <f>Raw_Data!B25</f>
        <v>47047.4909999999</v>
      </c>
      <c r="C25" s="9">
        <f t="shared" si="0"/>
        <v>47.047490999999901</v>
      </c>
      <c r="D25" s="9">
        <f>ROUND(Controls!$B$8 + (Raw_Data!C25-Controls!$B$12)/MAX(0.000001,(Controls!$B$13-Controls!$B$12))*(Controls!$B$9-Controls!$B$8),1)</f>
        <v>136.5</v>
      </c>
      <c r="E25" s="9">
        <f>ROUND(Controls!$B$10 + (Raw_Data!D25-Controls!$B$14)/MAX(0.000001,(Controls!$B$15-Controls!$B$14))*(Controls!$B$11-Controls!$B$10),1)</f>
        <v>60.3</v>
      </c>
      <c r="F25" s="10">
        <f>Raw_Data!E25</f>
        <v>8.7484317938999995E-2</v>
      </c>
      <c r="G25" s="10">
        <f>Raw_Data!F25</f>
        <v>9.1781874888999998E-2</v>
      </c>
      <c r="H25" s="10">
        <f>Raw_Data!G25</f>
        <v>1</v>
      </c>
      <c r="I25" s="10">
        <f>Raw_Data!H25</f>
        <v>1E-3</v>
      </c>
      <c r="J25" s="5" t="str">
        <f t="shared" si="1"/>
        <v>Cleaner sand</v>
      </c>
      <c r="K25" s="11">
        <f t="shared" si="2"/>
        <v>16</v>
      </c>
      <c r="L25" s="12">
        <f t="shared" si="3"/>
        <v>1.1599999999999999</v>
      </c>
      <c r="M25" s="12">
        <f t="shared" si="4"/>
        <v>2.02</v>
      </c>
      <c r="N25" s="12">
        <f t="shared" si="5"/>
        <v>16.010000000000002</v>
      </c>
      <c r="O25" s="12">
        <f t="shared" si="6"/>
        <v>215.2</v>
      </c>
      <c r="P25" s="5" t="str">
        <f>IF(M25&lt;=Controls!$B$2,"NORMAL",IF(M25&lt;=Controls!$B$3,"CAUTION","BLOCK"))</f>
        <v>NORMAL</v>
      </c>
      <c r="Q25" s="5" t="str">
        <f>IF(P25="BLOCK","Hold",IF(L25&gt;Controls!$B$4,"Hold",IF(P25="CAUTION","Drop",IF(G25&lt;0.25,IF(MOD(ROW(),13)=0,"Turn Left",IF(MOD(ROW(),9)=0,"Turn Right",IF(F25&lt;0.08,"Build","Hold"))),IF(F25&lt;0.08,"Build","Hold")))))</f>
        <v>Hold</v>
      </c>
      <c r="R25" s="12">
        <f>ROUND(MAX(0.35,MIN(0.95,0.92 - 0.06*MAX(0,M25-Controls!$B$2) - 0.05*MAX(0,L25-Controls!$B$4) - 0.01*ABS(C25-50) + 0.04*(1-G25))),2)</f>
        <v>0.93</v>
      </c>
      <c r="S25" s="5" t="str">
        <f>IF(P25="BLOCK","BLOCKED",IF(R25&lt;Controls!$B$7,"REDUCED","ACCEPTED"))</f>
        <v>ACCEPTED</v>
      </c>
      <c r="T25" s="5" t="str">
        <f>IF(P25="BLOCK","LIMIT_EXCEEDED - DLS above "&amp;TEXT(Controls!$B$3,"0.0")&amp;" deg/100ft",IF(P25="CAUTION","DLS above operating limit - reduce aggressiveness",IF(L25&gt;Controls!$B$4,"High vibration - hold trajectory",IF(OR(C25&lt;Controls!$B$5,C25&gt;Controls!$B$6),"WOB outside preferred band","Normal operation"))))</f>
        <v>Normal operation</v>
      </c>
    </row>
    <row r="26" spans="1:20" x14ac:dyDescent="0.3">
      <c r="A26" s="7">
        <f>Raw_Data!A26</f>
        <v>3435</v>
      </c>
      <c r="B26" s="8">
        <f>Raw_Data!B26</f>
        <v>49582.124000000003</v>
      </c>
      <c r="C26" s="9">
        <f t="shared" si="0"/>
        <v>49.582124</v>
      </c>
      <c r="D26" s="9">
        <f>ROUND(Controls!$B$8 + (Raw_Data!C26-Controls!$B$12)/MAX(0.000001,(Controls!$B$13-Controls!$B$12))*(Controls!$B$9-Controls!$B$8),1)</f>
        <v>136.5</v>
      </c>
      <c r="E26" s="9">
        <f>ROUND(Controls!$B$10 + (Raw_Data!D26-Controls!$B$14)/MAX(0.000001,(Controls!$B$15-Controls!$B$14))*(Controls!$B$11-Controls!$B$10),1)</f>
        <v>58.9</v>
      </c>
      <c r="F26" s="10">
        <f>Raw_Data!E26</f>
        <v>5.4966144071999998E-2</v>
      </c>
      <c r="G26" s="10">
        <f>Raw_Data!F26</f>
        <v>6.7739423258000003E-2</v>
      </c>
      <c r="H26" s="10">
        <f>Raw_Data!G26</f>
        <v>1</v>
      </c>
      <c r="I26" s="10">
        <f>Raw_Data!H26</f>
        <v>1E-3</v>
      </c>
      <c r="J26" s="5" t="str">
        <f t="shared" si="1"/>
        <v>Cleaner sand</v>
      </c>
      <c r="K26" s="11">
        <f t="shared" si="2"/>
        <v>16.3</v>
      </c>
      <c r="L26" s="12">
        <f t="shared" si="3"/>
        <v>1.1299999999999999</v>
      </c>
      <c r="M26" s="12">
        <f t="shared" si="4"/>
        <v>1.93</v>
      </c>
      <c r="N26" s="12">
        <f t="shared" si="5"/>
        <v>15.7</v>
      </c>
      <c r="O26" s="12">
        <f t="shared" si="6"/>
        <v>213.4</v>
      </c>
      <c r="P26" s="5" t="str">
        <f>IF(M26&lt;=Controls!$B$2,"NORMAL",IF(M26&lt;=Controls!$B$3,"CAUTION","BLOCK"))</f>
        <v>NORMAL</v>
      </c>
      <c r="Q26" s="5" t="str">
        <f>IF(P26="BLOCK","Hold",IF(L26&gt;Controls!$B$4,"Hold",IF(P26="CAUTION","Drop",IF(G26&lt;0.25,IF(MOD(ROW(),13)=0,"Turn Left",IF(MOD(ROW(),9)=0,"Turn Right",IF(F26&lt;0.08,"Build","Hold"))),IF(F26&lt;0.08,"Build","Hold")))))</f>
        <v>Turn Left</v>
      </c>
      <c r="R26" s="12">
        <f>ROUND(MAX(0.35,MIN(0.95,0.92 - 0.06*MAX(0,M26-Controls!$B$2) - 0.05*MAX(0,L26-Controls!$B$4) - 0.01*ABS(C26-50) + 0.04*(1-G26))),2)</f>
        <v>0.95</v>
      </c>
      <c r="S26" s="5" t="str">
        <f>IF(P26="BLOCK","BLOCKED",IF(R26&lt;Controls!$B$7,"REDUCED","ACCEPTED"))</f>
        <v>ACCEPTED</v>
      </c>
      <c r="T26" s="5" t="str">
        <f>IF(P26="BLOCK","LIMIT_EXCEEDED - DLS above "&amp;TEXT(Controls!$B$3,"0.0")&amp;" deg/100ft",IF(P26="CAUTION","DLS above operating limit - reduce aggressiveness",IF(L26&gt;Controls!$B$4,"High vibration - hold trajectory",IF(OR(C26&lt;Controls!$B$5,C26&gt;Controls!$B$6),"WOB outside preferred band","Normal operation"))))</f>
        <v>Normal operation</v>
      </c>
    </row>
    <row r="27" spans="1:20" x14ac:dyDescent="0.3">
      <c r="A27" s="7">
        <f>Raw_Data!A27</f>
        <v>3440</v>
      </c>
      <c r="B27" s="8">
        <f>Raw_Data!B27</f>
        <v>41336.436000000002</v>
      </c>
      <c r="C27" s="9">
        <f t="shared" si="0"/>
        <v>41.336435999999999</v>
      </c>
      <c r="D27" s="9">
        <f>ROUND(Controls!$B$8 + (Raw_Data!C27-Controls!$B$12)/MAX(0.000001,(Controls!$B$13-Controls!$B$12))*(Controls!$B$9-Controls!$B$8),1)</f>
        <v>136.6</v>
      </c>
      <c r="E27" s="9">
        <f>ROUND(Controls!$B$10 + (Raw_Data!D27-Controls!$B$14)/MAX(0.000001,(Controls!$B$15-Controls!$B$14))*(Controls!$B$11-Controls!$B$10),1)</f>
        <v>56.5</v>
      </c>
      <c r="F27" s="10">
        <f>Raw_Data!E27</f>
        <v>9.8985089944999993E-2</v>
      </c>
      <c r="G27" s="10">
        <f>Raw_Data!F27</f>
        <v>6.7067307756000005E-2</v>
      </c>
      <c r="H27" s="10">
        <f>Raw_Data!G27</f>
        <v>1.007839057113</v>
      </c>
      <c r="I27" s="10">
        <f>Raw_Data!H27</f>
        <v>1E-3</v>
      </c>
      <c r="J27" s="5" t="str">
        <f t="shared" si="1"/>
        <v>Cleaner sand</v>
      </c>
      <c r="K27" s="11">
        <f t="shared" si="2"/>
        <v>14.9</v>
      </c>
      <c r="L27" s="12">
        <f t="shared" si="3"/>
        <v>1.1299999999999999</v>
      </c>
      <c r="M27" s="12">
        <f t="shared" si="4"/>
        <v>1.93</v>
      </c>
      <c r="N27" s="12">
        <f t="shared" si="5"/>
        <v>15.39</v>
      </c>
      <c r="O27" s="12">
        <f t="shared" si="6"/>
        <v>215.2</v>
      </c>
      <c r="P27" s="5" t="str">
        <f>IF(M27&lt;=Controls!$B$2,"NORMAL",IF(M27&lt;=Controls!$B$3,"CAUTION","BLOCK"))</f>
        <v>NORMAL</v>
      </c>
      <c r="Q27" s="5" t="str">
        <f>IF(P27="BLOCK","Hold",IF(L27&gt;Controls!$B$4,"Hold",IF(P27="CAUTION","Drop",IF(G27&lt;0.25,IF(MOD(ROW(),13)=0,"Turn Left",IF(MOD(ROW(),9)=0,"Turn Right",IF(F27&lt;0.08,"Build","Hold"))),IF(F27&lt;0.08,"Build","Hold")))))</f>
        <v>Turn Right</v>
      </c>
      <c r="R27" s="12">
        <f>ROUND(MAX(0.35,MIN(0.95,0.92 - 0.06*MAX(0,M27-Controls!$B$2) - 0.05*MAX(0,L27-Controls!$B$4) - 0.01*ABS(C27-50) + 0.04*(1-G27))),2)</f>
        <v>0.87</v>
      </c>
      <c r="S27" s="5" t="str">
        <f>IF(P27="BLOCK","BLOCKED",IF(R27&lt;Controls!$B$7,"REDUCED","ACCEPTED"))</f>
        <v>ACCEPTED</v>
      </c>
      <c r="T27" s="5" t="str">
        <f>IF(P27="BLOCK","LIMIT_EXCEEDED - DLS above "&amp;TEXT(Controls!$B$3,"0.0")&amp;" deg/100ft",IF(P27="CAUTION","DLS above operating limit - reduce aggressiveness",IF(L27&gt;Controls!$B$4,"High vibration - hold trajectory",IF(OR(C27&lt;Controls!$B$5,C27&gt;Controls!$B$6),"WOB outside preferred band","Normal operation"))))</f>
        <v>Normal operation</v>
      </c>
    </row>
    <row r="28" spans="1:20" x14ac:dyDescent="0.3">
      <c r="A28" s="7">
        <f>Raw_Data!A28</f>
        <v>3445</v>
      </c>
      <c r="B28" s="8">
        <f>Raw_Data!B28</f>
        <v>60644.639000000003</v>
      </c>
      <c r="C28" s="9">
        <f t="shared" si="0"/>
        <v>60.644639000000005</v>
      </c>
      <c r="D28" s="9">
        <f>ROUND(Controls!$B$8 + (Raw_Data!C28-Controls!$B$12)/MAX(0.000001,(Controls!$B$13-Controls!$B$12))*(Controls!$B$9-Controls!$B$8),1)</f>
        <v>134.5</v>
      </c>
      <c r="E28" s="9">
        <f>ROUND(Controls!$B$10 + (Raw_Data!D28-Controls!$B$14)/MAX(0.000001,(Controls!$B$15-Controls!$B$14))*(Controls!$B$11-Controls!$B$10),1)</f>
        <v>56.4</v>
      </c>
      <c r="F28" s="10">
        <f>Raw_Data!E28</f>
        <v>7.8905269547000001E-2</v>
      </c>
      <c r="G28" s="10">
        <f>Raw_Data!F28</f>
        <v>6.2588588205000004E-2</v>
      </c>
      <c r="H28" s="10">
        <f>Raw_Data!G28</f>
        <v>0.99999180571299995</v>
      </c>
      <c r="I28" s="10">
        <f>Raw_Data!H28</f>
        <v>1E-3</v>
      </c>
      <c r="J28" s="5" t="str">
        <f t="shared" si="1"/>
        <v>Cleaner sand</v>
      </c>
      <c r="K28" s="11">
        <f t="shared" si="2"/>
        <v>18</v>
      </c>
      <c r="L28" s="12">
        <f t="shared" si="3"/>
        <v>1.21</v>
      </c>
      <c r="M28" s="12">
        <f t="shared" si="4"/>
        <v>1.94</v>
      </c>
      <c r="N28" s="12">
        <f t="shared" si="5"/>
        <v>15.08</v>
      </c>
      <c r="O28" s="12">
        <f t="shared" si="6"/>
        <v>217</v>
      </c>
      <c r="P28" s="5" t="str">
        <f>IF(M28&lt;=Controls!$B$2,"NORMAL",IF(M28&lt;=Controls!$B$3,"CAUTION","BLOCK"))</f>
        <v>NORMAL</v>
      </c>
      <c r="Q28" s="5" t="str">
        <f>IF(P28="BLOCK","Hold",IF(L28&gt;Controls!$B$4,"Hold",IF(P28="CAUTION","Drop",IF(G28&lt;0.25,IF(MOD(ROW(),13)=0,"Turn Left",IF(MOD(ROW(),9)=0,"Turn Right",IF(F28&lt;0.08,"Build","Hold"))),IF(F28&lt;0.08,"Build","Hold")))))</f>
        <v>Build</v>
      </c>
      <c r="R28" s="12">
        <f>ROUND(MAX(0.35,MIN(0.95,0.92 - 0.06*MAX(0,M28-Controls!$B$2) - 0.05*MAX(0,L28-Controls!$B$4) - 0.01*ABS(C28-50) + 0.04*(1-G28))),2)</f>
        <v>0.85</v>
      </c>
      <c r="S28" s="5" t="str">
        <f>IF(P28="BLOCK","BLOCKED",IF(R28&lt;Controls!$B$7,"REDUCED","ACCEPTED"))</f>
        <v>ACCEPTED</v>
      </c>
      <c r="T28" s="5" t="str">
        <f>IF(P28="BLOCK","LIMIT_EXCEEDED - DLS above "&amp;TEXT(Controls!$B$3,"0.0")&amp;" deg/100ft",IF(P28="CAUTION","DLS above operating limit - reduce aggressiveness",IF(L28&gt;Controls!$B$4,"High vibration - hold trajectory",IF(OR(C28&lt;Controls!$B$5,C28&gt;Controls!$B$6),"WOB outside preferred band","Normal operation"))))</f>
        <v>Normal operation</v>
      </c>
    </row>
    <row r="29" spans="1:20" x14ac:dyDescent="0.3">
      <c r="A29" s="7">
        <f>Raw_Data!A29</f>
        <v>3450</v>
      </c>
      <c r="B29" s="8">
        <f>Raw_Data!B29</f>
        <v>52260.515999999901</v>
      </c>
      <c r="C29" s="9">
        <f t="shared" si="0"/>
        <v>52.260515999999903</v>
      </c>
      <c r="D29" s="9">
        <f>ROUND(Controls!$B$8 + (Raw_Data!C29-Controls!$B$12)/MAX(0.000001,(Controls!$B$13-Controls!$B$12))*(Controls!$B$9-Controls!$B$8),1)</f>
        <v>136.1</v>
      </c>
      <c r="E29" s="9">
        <f>ROUND(Controls!$B$10 + (Raw_Data!D29-Controls!$B$14)/MAX(0.000001,(Controls!$B$15-Controls!$B$14))*(Controls!$B$11-Controls!$B$10),1)</f>
        <v>56.5</v>
      </c>
      <c r="F29" s="10">
        <f>Raw_Data!E29</f>
        <v>9.5700091611000002E-2</v>
      </c>
      <c r="G29" s="10">
        <f>Raw_Data!F29</f>
        <v>8.9433020712000003E-2</v>
      </c>
      <c r="H29" s="10">
        <f>Raw_Data!G29</f>
        <v>1</v>
      </c>
      <c r="I29" s="10">
        <f>Raw_Data!H29</f>
        <v>1E-3</v>
      </c>
      <c r="J29" s="5" t="str">
        <f t="shared" si="1"/>
        <v>Cleaner sand</v>
      </c>
      <c r="K29" s="11">
        <f t="shared" si="2"/>
        <v>16.8</v>
      </c>
      <c r="L29" s="12">
        <f t="shared" si="3"/>
        <v>1.1499999999999999</v>
      </c>
      <c r="M29" s="12">
        <f t="shared" si="4"/>
        <v>2</v>
      </c>
      <c r="N29" s="12">
        <f t="shared" si="5"/>
        <v>14.78</v>
      </c>
      <c r="O29" s="12">
        <f t="shared" si="6"/>
        <v>217.5</v>
      </c>
      <c r="P29" s="5" t="str">
        <f>IF(M29&lt;=Controls!$B$2,"NORMAL",IF(M29&lt;=Controls!$B$3,"CAUTION","BLOCK"))</f>
        <v>NORMAL</v>
      </c>
      <c r="Q29" s="5" t="str">
        <f>IF(P29="BLOCK","Hold",IF(L29&gt;Controls!$B$4,"Hold",IF(P29="CAUTION","Drop",IF(G29&lt;0.25,IF(MOD(ROW(),13)=0,"Turn Left",IF(MOD(ROW(),9)=0,"Turn Right",IF(F29&lt;0.08,"Build","Hold"))),IF(F29&lt;0.08,"Build","Hold")))))</f>
        <v>Hold</v>
      </c>
      <c r="R29" s="12">
        <f>ROUND(MAX(0.35,MIN(0.95,0.92 - 0.06*MAX(0,M29-Controls!$B$2) - 0.05*MAX(0,L29-Controls!$B$4) - 0.01*ABS(C29-50) + 0.04*(1-G29))),2)</f>
        <v>0.93</v>
      </c>
      <c r="S29" s="5" t="str">
        <f>IF(P29="BLOCK","BLOCKED",IF(R29&lt;Controls!$B$7,"REDUCED","ACCEPTED"))</f>
        <v>ACCEPTED</v>
      </c>
      <c r="T29" s="5" t="str">
        <f>IF(P29="BLOCK","LIMIT_EXCEEDED - DLS above "&amp;TEXT(Controls!$B$3,"0.0")&amp;" deg/100ft",IF(P29="CAUTION","DLS above operating limit - reduce aggressiveness",IF(L29&gt;Controls!$B$4,"High vibration - hold trajectory",IF(OR(C29&lt;Controls!$B$5,C29&gt;Controls!$B$6),"WOB outside preferred band","Normal operation"))))</f>
        <v>Normal operation</v>
      </c>
    </row>
    <row r="30" spans="1:20" x14ac:dyDescent="0.3">
      <c r="A30" s="7">
        <f>Raw_Data!A30</f>
        <v>3455</v>
      </c>
      <c r="B30" s="8">
        <f>Raw_Data!B30</f>
        <v>21961.022999999899</v>
      </c>
      <c r="C30" s="9">
        <f t="shared" si="0"/>
        <v>21.961022999999898</v>
      </c>
      <c r="D30" s="9">
        <f>ROUND(Controls!$B$8 + (Raw_Data!C30-Controls!$B$12)/MAX(0.000001,(Controls!$B$13-Controls!$B$12))*(Controls!$B$9-Controls!$B$8),1)</f>
        <v>136.6</v>
      </c>
      <c r="E30" s="9">
        <f>ROUND(Controls!$B$10 + (Raw_Data!D30-Controls!$B$14)/MAX(0.000001,(Controls!$B$15-Controls!$B$14))*(Controls!$B$11-Controls!$B$10),1)</f>
        <v>60.2</v>
      </c>
      <c r="F30" s="10">
        <f>Raw_Data!E30</f>
        <v>9.4331718376000004E-2</v>
      </c>
      <c r="G30" s="10">
        <f>Raw_Data!F30</f>
        <v>0.10233250223400001</v>
      </c>
      <c r="H30" s="10">
        <f>Raw_Data!G30</f>
        <v>1</v>
      </c>
      <c r="I30" s="10">
        <f>Raw_Data!H30</f>
        <v>1E-3</v>
      </c>
      <c r="J30" s="5" t="str">
        <f t="shared" si="1"/>
        <v>Cleaner sand</v>
      </c>
      <c r="K30" s="11">
        <f t="shared" si="2"/>
        <v>12</v>
      </c>
      <c r="L30" s="12">
        <f t="shared" si="3"/>
        <v>1.18</v>
      </c>
      <c r="M30" s="12">
        <f t="shared" si="4"/>
        <v>2.0699999999999998</v>
      </c>
      <c r="N30" s="12">
        <f t="shared" si="5"/>
        <v>14.49</v>
      </c>
      <c r="O30" s="12">
        <f t="shared" si="6"/>
        <v>218</v>
      </c>
      <c r="P30" s="5" t="str">
        <f>IF(M30&lt;=Controls!$B$2,"NORMAL",IF(M30&lt;=Controls!$B$3,"CAUTION","BLOCK"))</f>
        <v>NORMAL</v>
      </c>
      <c r="Q30" s="5" t="str">
        <f>IF(P30="BLOCK","Hold",IF(L30&gt;Controls!$B$4,"Hold",IF(P30="CAUTION","Drop",IF(G30&lt;0.25,IF(MOD(ROW(),13)=0,"Turn Left",IF(MOD(ROW(),9)=0,"Turn Right",IF(F30&lt;0.08,"Build","Hold"))),IF(F30&lt;0.08,"Build","Hold")))))</f>
        <v>Hold</v>
      </c>
      <c r="R30" s="12">
        <f>ROUND(MAX(0.35,MIN(0.95,0.92 - 0.06*MAX(0,M30-Controls!$B$2) - 0.05*MAX(0,L30-Controls!$B$4) - 0.01*ABS(C30-50) + 0.04*(1-G30))),2)</f>
        <v>0.68</v>
      </c>
      <c r="S30" s="5" t="str">
        <f>IF(P30="BLOCK","BLOCKED",IF(R30&lt;Controls!$B$7,"REDUCED","ACCEPTED"))</f>
        <v>ACCEPTED</v>
      </c>
      <c r="T30" s="5" t="str">
        <f>IF(P30="BLOCK","LIMIT_EXCEEDED - DLS above "&amp;TEXT(Controls!$B$3,"0.0")&amp;" deg/100ft",IF(P30="CAUTION","DLS above operating limit - reduce aggressiveness",IF(L30&gt;Controls!$B$4,"High vibration - hold trajectory",IF(OR(C30&lt;Controls!$B$5,C30&gt;Controls!$B$6),"WOB outside preferred band","Normal operation"))))</f>
        <v>Normal operation</v>
      </c>
    </row>
    <row r="31" spans="1:20" x14ac:dyDescent="0.3">
      <c r="A31" s="7">
        <f>Raw_Data!A31</f>
        <v>3460</v>
      </c>
      <c r="B31" s="8">
        <f>Raw_Data!B31</f>
        <v>25584.315999999999</v>
      </c>
      <c r="C31" s="9">
        <f t="shared" si="0"/>
        <v>25.584315999999998</v>
      </c>
      <c r="D31" s="9">
        <f>ROUND(Controls!$B$8 + (Raw_Data!C31-Controls!$B$12)/MAX(0.000001,(Controls!$B$13-Controls!$B$12))*(Controls!$B$9-Controls!$B$8),1)</f>
        <v>136.69999999999999</v>
      </c>
      <c r="E31" s="9">
        <f>ROUND(Controls!$B$10 + (Raw_Data!D31-Controls!$B$14)/MAX(0.000001,(Controls!$B$15-Controls!$B$14))*(Controls!$B$11-Controls!$B$10),1)</f>
        <v>60.2</v>
      </c>
      <c r="F31" s="10">
        <f>Raw_Data!E31</f>
        <v>8.7120268636999995E-2</v>
      </c>
      <c r="G31" s="10">
        <f>Raw_Data!F31</f>
        <v>0.12462050475600001</v>
      </c>
      <c r="H31" s="10">
        <f>Raw_Data!G31</f>
        <v>1</v>
      </c>
      <c r="I31" s="10">
        <f>Raw_Data!H31</f>
        <v>1E-3</v>
      </c>
      <c r="J31" s="5" t="str">
        <f t="shared" si="1"/>
        <v>Cleaner sand</v>
      </c>
      <c r="K31" s="11">
        <f t="shared" si="2"/>
        <v>12.8</v>
      </c>
      <c r="L31" s="12">
        <f t="shared" si="3"/>
        <v>1.21</v>
      </c>
      <c r="M31" s="12">
        <f t="shared" si="4"/>
        <v>2.17</v>
      </c>
      <c r="N31" s="12">
        <f t="shared" si="5"/>
        <v>14.21</v>
      </c>
      <c r="O31" s="12">
        <f t="shared" si="6"/>
        <v>218.5</v>
      </c>
      <c r="P31" s="5" t="str">
        <f>IF(M31&lt;=Controls!$B$2,"NORMAL",IF(M31&lt;=Controls!$B$3,"CAUTION","BLOCK"))</f>
        <v>NORMAL</v>
      </c>
      <c r="Q31" s="5" t="str">
        <f>IF(P31="BLOCK","Hold",IF(L31&gt;Controls!$B$4,"Hold",IF(P31="CAUTION","Drop",IF(G31&lt;0.25,IF(MOD(ROW(),13)=0,"Turn Left",IF(MOD(ROW(),9)=0,"Turn Right",IF(F31&lt;0.08,"Build","Hold"))),IF(F31&lt;0.08,"Build","Hold")))))</f>
        <v>Hold</v>
      </c>
      <c r="R31" s="12">
        <f>ROUND(MAX(0.35,MIN(0.95,0.92 - 0.06*MAX(0,M31-Controls!$B$2) - 0.05*MAX(0,L31-Controls!$B$4) - 0.01*ABS(C31-50) + 0.04*(1-G31))),2)</f>
        <v>0.71</v>
      </c>
      <c r="S31" s="5" t="str">
        <f>IF(P31="BLOCK","BLOCKED",IF(R31&lt;Controls!$B$7,"REDUCED","ACCEPTED"))</f>
        <v>ACCEPTED</v>
      </c>
      <c r="T31" s="5" t="str">
        <f>IF(P31="BLOCK","LIMIT_EXCEEDED - DLS above "&amp;TEXT(Controls!$B$3,"0.0")&amp;" deg/100ft",IF(P31="CAUTION","DLS above operating limit - reduce aggressiveness",IF(L31&gt;Controls!$B$4,"High vibration - hold trajectory",IF(OR(C31&lt;Controls!$B$5,C31&gt;Controls!$B$6),"WOB outside preferred band","Normal operation"))))</f>
        <v>Normal operation</v>
      </c>
    </row>
    <row r="32" spans="1:20" x14ac:dyDescent="0.3">
      <c r="A32" s="7">
        <f>Raw_Data!A32</f>
        <v>3465</v>
      </c>
      <c r="B32" s="8">
        <f>Raw_Data!B32</f>
        <v>19615.561000000002</v>
      </c>
      <c r="C32" s="9">
        <f t="shared" si="0"/>
        <v>19.615561000000003</v>
      </c>
      <c r="D32" s="9">
        <f>ROUND(Controls!$B$8 + (Raw_Data!C32-Controls!$B$12)/MAX(0.000001,(Controls!$B$13-Controls!$B$12))*(Controls!$B$9-Controls!$B$8),1)</f>
        <v>136.5</v>
      </c>
      <c r="E32" s="9">
        <f>ROUND(Controls!$B$10 + (Raw_Data!D32-Controls!$B$14)/MAX(0.000001,(Controls!$B$15-Controls!$B$14))*(Controls!$B$11-Controls!$B$10),1)</f>
        <v>60.3</v>
      </c>
      <c r="F32" s="10">
        <f>Raw_Data!E32</f>
        <v>0.123971971047</v>
      </c>
      <c r="G32" s="10">
        <f>Raw_Data!F32</f>
        <v>8.2058336891999997E-2</v>
      </c>
      <c r="H32" s="10">
        <f>Raw_Data!G32</f>
        <v>1</v>
      </c>
      <c r="I32" s="10">
        <f>Raw_Data!H32</f>
        <v>1E-3</v>
      </c>
      <c r="J32" s="5" t="str">
        <f t="shared" si="1"/>
        <v>Cleaner sand</v>
      </c>
      <c r="K32" s="11">
        <f t="shared" si="2"/>
        <v>11.5</v>
      </c>
      <c r="L32" s="12">
        <f t="shared" si="3"/>
        <v>1.1499999999999999</v>
      </c>
      <c r="M32" s="12">
        <f t="shared" si="4"/>
        <v>1.99</v>
      </c>
      <c r="N32" s="12">
        <f t="shared" si="5"/>
        <v>13.91</v>
      </c>
      <c r="O32" s="12">
        <f t="shared" si="6"/>
        <v>219</v>
      </c>
      <c r="P32" s="5" t="str">
        <f>IF(M32&lt;=Controls!$B$2,"NORMAL",IF(M32&lt;=Controls!$B$3,"CAUTION","BLOCK"))</f>
        <v>NORMAL</v>
      </c>
      <c r="Q32" s="5" t="str">
        <f>IF(P32="BLOCK","Hold",IF(L32&gt;Controls!$B$4,"Hold",IF(P32="CAUTION","Drop",IF(G32&lt;0.25,IF(MOD(ROW(),13)=0,"Turn Left",IF(MOD(ROW(),9)=0,"Turn Right",IF(F32&lt;0.08,"Build","Hold"))),IF(F32&lt;0.08,"Build","Hold")))))</f>
        <v>Hold</v>
      </c>
      <c r="R32" s="12">
        <f>ROUND(MAX(0.35,MIN(0.95,0.92 - 0.06*MAX(0,M32-Controls!$B$2) - 0.05*MAX(0,L32-Controls!$B$4) - 0.01*ABS(C32-50) + 0.04*(1-G32))),2)</f>
        <v>0.65</v>
      </c>
      <c r="S32" s="5" t="str">
        <f>IF(P32="BLOCK","BLOCKED",IF(R32&lt;Controls!$B$7,"REDUCED","ACCEPTED"))</f>
        <v>ACCEPTED</v>
      </c>
      <c r="T32" s="5" t="str">
        <f>IF(P32="BLOCK","LIMIT_EXCEEDED - DLS above "&amp;TEXT(Controls!$B$3,"0.0")&amp;" deg/100ft",IF(P32="CAUTION","DLS above operating limit - reduce aggressiveness",IF(L32&gt;Controls!$B$4,"High vibration - hold trajectory",IF(OR(C32&lt;Controls!$B$5,C32&gt;Controls!$B$6),"WOB outside preferred band","Normal operation"))))</f>
        <v>WOB outside preferred band</v>
      </c>
    </row>
    <row r="33" spans="1:20" x14ac:dyDescent="0.3">
      <c r="A33" s="7">
        <f>Raw_Data!A33</f>
        <v>3470</v>
      </c>
      <c r="B33" s="8">
        <f>Raw_Data!B33</f>
        <v>46578.190999999999</v>
      </c>
      <c r="C33" s="9">
        <f t="shared" si="0"/>
        <v>46.578190999999997</v>
      </c>
      <c r="D33" s="9">
        <f>ROUND(Controls!$B$8 + (Raw_Data!C33-Controls!$B$12)/MAX(0.000001,(Controls!$B$13-Controls!$B$12))*(Controls!$B$9-Controls!$B$8),1)</f>
        <v>136.30000000000001</v>
      </c>
      <c r="E33" s="9">
        <f>ROUND(Controls!$B$10 + (Raw_Data!D33-Controls!$B$14)/MAX(0.000001,(Controls!$B$15-Controls!$B$14))*(Controls!$B$11-Controls!$B$10),1)</f>
        <v>60.2</v>
      </c>
      <c r="F33" s="10">
        <f>Raw_Data!E33</f>
        <v>0.105504189311</v>
      </c>
      <c r="G33" s="10">
        <f>Raw_Data!F33</f>
        <v>0.103100923089</v>
      </c>
      <c r="H33" s="10">
        <f>Raw_Data!G33</f>
        <v>1</v>
      </c>
      <c r="I33" s="10">
        <f>Raw_Data!H33</f>
        <v>1E-3</v>
      </c>
      <c r="J33" s="5" t="str">
        <f t="shared" si="1"/>
        <v>Cleaner sand</v>
      </c>
      <c r="K33" s="11">
        <f t="shared" si="2"/>
        <v>16</v>
      </c>
      <c r="L33" s="12">
        <f t="shared" si="3"/>
        <v>1.17</v>
      </c>
      <c r="M33" s="12">
        <f t="shared" si="4"/>
        <v>2.0699999999999998</v>
      </c>
      <c r="N33" s="12">
        <f t="shared" si="5"/>
        <v>13.62</v>
      </c>
      <c r="O33" s="12">
        <f t="shared" si="6"/>
        <v>219.5</v>
      </c>
      <c r="P33" s="5" t="str">
        <f>IF(M33&lt;=Controls!$B$2,"NORMAL",IF(M33&lt;=Controls!$B$3,"CAUTION","BLOCK"))</f>
        <v>NORMAL</v>
      </c>
      <c r="Q33" s="5" t="str">
        <f>IF(P33="BLOCK","Hold",IF(L33&gt;Controls!$B$4,"Hold",IF(P33="CAUTION","Drop",IF(G33&lt;0.25,IF(MOD(ROW(),13)=0,"Turn Left",IF(MOD(ROW(),9)=0,"Turn Right",IF(F33&lt;0.08,"Build","Hold"))),IF(F33&lt;0.08,"Build","Hold")))))</f>
        <v>Hold</v>
      </c>
      <c r="R33" s="12">
        <f>ROUND(MAX(0.35,MIN(0.95,0.92 - 0.06*MAX(0,M33-Controls!$B$2) - 0.05*MAX(0,L33-Controls!$B$4) - 0.01*ABS(C33-50) + 0.04*(1-G33))),2)</f>
        <v>0.92</v>
      </c>
      <c r="S33" s="5" t="str">
        <f>IF(P33="BLOCK","BLOCKED",IF(R33&lt;Controls!$B$7,"REDUCED","ACCEPTED"))</f>
        <v>ACCEPTED</v>
      </c>
      <c r="T33" s="5" t="str">
        <f>IF(P33="BLOCK","LIMIT_EXCEEDED - DLS above "&amp;TEXT(Controls!$B$3,"0.0")&amp;" deg/100ft",IF(P33="CAUTION","DLS above operating limit - reduce aggressiveness",IF(L33&gt;Controls!$B$4,"High vibration - hold trajectory",IF(OR(C33&lt;Controls!$B$5,C33&gt;Controls!$B$6),"WOB outside preferred band","Normal operation"))))</f>
        <v>Normal operation</v>
      </c>
    </row>
    <row r="34" spans="1:20" x14ac:dyDescent="0.3">
      <c r="A34" s="7">
        <f>Raw_Data!A34</f>
        <v>3475</v>
      </c>
      <c r="B34" s="8">
        <f>Raw_Data!B34</f>
        <v>43748.485000000001</v>
      </c>
      <c r="C34" s="9">
        <f t="shared" ref="C34:C65" si="7">B34/1000</f>
        <v>43.748485000000002</v>
      </c>
      <c r="D34" s="9">
        <f>ROUND(Controls!$B$8 + (Raw_Data!C34-Controls!$B$12)/MAX(0.000001,(Controls!$B$13-Controls!$B$12))*(Controls!$B$9-Controls!$B$8),1)</f>
        <v>136.69999999999999</v>
      </c>
      <c r="E34" s="9">
        <f>ROUND(Controls!$B$10 + (Raw_Data!D34-Controls!$B$14)/MAX(0.000001,(Controls!$B$15-Controls!$B$14))*(Controls!$B$11-Controls!$B$10),1)</f>
        <v>31.9</v>
      </c>
      <c r="F34" s="10">
        <f>Raw_Data!E34</f>
        <v>0.10398322737600001</v>
      </c>
      <c r="G34" s="10">
        <f>Raw_Data!F34</f>
        <v>8.0596944160999995E-2</v>
      </c>
      <c r="H34" s="10">
        <f>Raw_Data!G34</f>
        <v>1</v>
      </c>
      <c r="I34" s="10">
        <f>Raw_Data!H34</f>
        <v>1E-3</v>
      </c>
      <c r="J34" s="5" t="str">
        <f t="shared" ref="J34:J65" si="8">IF(G34&gt;=0.45,"Shale-prone",IF(G34&gt;=0.25,"Transition","Cleaner sand"))</f>
        <v>Cleaner sand</v>
      </c>
      <c r="K34" s="11">
        <f t="shared" ref="K34:K65" si="9">ROUND(6 + 0.16*C34 + 7*G34 + 2*(1-F34),1)</f>
        <v>15.4</v>
      </c>
      <c r="L34" s="12">
        <f t="shared" ref="L34:L65" si="10">ROUND(MIN(4.8,1 + ABS(D34-135)/45 + 1.4*G34 + 0.2*MAX(0,C34-55)/10 + IF(MOD(ROW(),17)=0,0.5,0)),2)</f>
        <v>1.65</v>
      </c>
      <c r="M34" s="12">
        <f t="shared" ref="M34:M65" si="11">ROUND(MIN(9.2,1.2 + 3.6*G34 + ABS(D34-135)/50 + 0.4*L34 + 0.3*MAX(0,C34-60)/10 + IF(A34&gt;=3700,1.6,0) + IF(A34&gt;=3860,1.1,0)),2)</f>
        <v>2.1800000000000002</v>
      </c>
      <c r="N34" s="12">
        <f t="shared" si="5"/>
        <v>13.34</v>
      </c>
      <c r="O34" s="12">
        <f t="shared" si="6"/>
        <v>220</v>
      </c>
      <c r="P34" s="5" t="str">
        <f>IF(M34&lt;=Controls!$B$2,"NORMAL",IF(M34&lt;=Controls!$B$3,"CAUTION","BLOCK"))</f>
        <v>NORMAL</v>
      </c>
      <c r="Q34" s="5" t="str">
        <f>IF(P34="BLOCK","Hold",IF(L34&gt;Controls!$B$4,"Hold",IF(P34="CAUTION","Drop",IF(G34&lt;0.25,IF(MOD(ROW(),13)=0,"Turn Left",IF(MOD(ROW(),9)=0,"Turn Right",IF(F34&lt;0.08,"Build","Hold"))),IF(F34&lt;0.08,"Build","Hold")))))</f>
        <v>Hold</v>
      </c>
      <c r="R34" s="12">
        <f>ROUND(MAX(0.35,MIN(0.95,0.92 - 0.06*MAX(0,M34-Controls!$B$2) - 0.05*MAX(0,L34-Controls!$B$4) - 0.01*ABS(C34-50) + 0.04*(1-G34))),2)</f>
        <v>0.89</v>
      </c>
      <c r="S34" s="5" t="str">
        <f>IF(P34="BLOCK","BLOCKED",IF(R34&lt;Controls!$B$7,"REDUCED","ACCEPTED"))</f>
        <v>ACCEPTED</v>
      </c>
      <c r="T34" s="5" t="str">
        <f>IF(P34="BLOCK","LIMIT_EXCEEDED - DLS above "&amp;TEXT(Controls!$B$3,"0.0")&amp;" deg/100ft",IF(P34="CAUTION","DLS above operating limit - reduce aggressiveness",IF(L34&gt;Controls!$B$4,"High vibration - hold trajectory",IF(OR(C34&lt;Controls!$B$5,C34&gt;Controls!$B$6),"WOB outside preferred band","Normal operation"))))</f>
        <v>Normal operation</v>
      </c>
    </row>
    <row r="35" spans="1:20" x14ac:dyDescent="0.3">
      <c r="A35" s="7">
        <f>Raw_Data!A35</f>
        <v>3480</v>
      </c>
      <c r="B35" s="8">
        <f>Raw_Data!B35</f>
        <v>31236.811000000002</v>
      </c>
      <c r="C35" s="9">
        <f t="shared" si="7"/>
        <v>31.236811000000003</v>
      </c>
      <c r="D35" s="9">
        <f>ROUND(Controls!$B$8 + (Raw_Data!C35-Controls!$B$12)/MAX(0.000001,(Controls!$B$13-Controls!$B$12))*(Controls!$B$9-Controls!$B$8),1)</f>
        <v>136.5</v>
      </c>
      <c r="E35" s="9">
        <f>ROUND(Controls!$B$10 + (Raw_Data!D35-Controls!$B$14)/MAX(0.000001,(Controls!$B$15-Controls!$B$14))*(Controls!$B$11-Controls!$B$10),1)</f>
        <v>30.3</v>
      </c>
      <c r="F35" s="10">
        <f>Raw_Data!E35</f>
        <v>8.6571257493000001E-2</v>
      </c>
      <c r="G35" s="10">
        <f>Raw_Data!F35</f>
        <v>0.13969478517</v>
      </c>
      <c r="H35" s="10">
        <f>Raw_Data!G35</f>
        <v>1</v>
      </c>
      <c r="I35" s="10">
        <f>Raw_Data!H35</f>
        <v>1E-3</v>
      </c>
      <c r="J35" s="5" t="str">
        <f t="shared" si="8"/>
        <v>Cleaner sand</v>
      </c>
      <c r="K35" s="11">
        <f t="shared" si="9"/>
        <v>13.8</v>
      </c>
      <c r="L35" s="12">
        <f t="shared" si="10"/>
        <v>1.23</v>
      </c>
      <c r="M35" s="12">
        <f t="shared" si="11"/>
        <v>2.2200000000000002</v>
      </c>
      <c r="N35" s="12">
        <f t="shared" ref="N35:N66" si="12">ROUND(MAX(0,MIN(90,N34 + (M35-4.5)*0.12)),2)</f>
        <v>13.07</v>
      </c>
      <c r="O35" s="12">
        <f t="shared" ref="O35:O66" si="13">ROUND(MOD(O34 + IF(OR(Q35="Turn Right",Q35="Build"),1.8,IF(Q35="Turn Left",-1.8,0.5)),360),2)</f>
        <v>220.5</v>
      </c>
      <c r="P35" s="5" t="str">
        <f>IF(M35&lt;=Controls!$B$2,"NORMAL",IF(M35&lt;=Controls!$B$3,"CAUTION","BLOCK"))</f>
        <v>NORMAL</v>
      </c>
      <c r="Q35" s="5" t="str">
        <f>IF(P35="BLOCK","Hold",IF(L35&gt;Controls!$B$4,"Hold",IF(P35="CAUTION","Drop",IF(G35&lt;0.25,IF(MOD(ROW(),13)=0,"Turn Left",IF(MOD(ROW(),9)=0,"Turn Right",IF(F35&lt;0.08,"Build","Hold"))),IF(F35&lt;0.08,"Build","Hold")))))</f>
        <v>Hold</v>
      </c>
      <c r="R35" s="12">
        <f>ROUND(MAX(0.35,MIN(0.95,0.92 - 0.06*MAX(0,M35-Controls!$B$2) - 0.05*MAX(0,L35-Controls!$B$4) - 0.01*ABS(C35-50) + 0.04*(1-G35))),2)</f>
        <v>0.77</v>
      </c>
      <c r="S35" s="5" t="str">
        <f>IF(P35="BLOCK","BLOCKED",IF(R35&lt;Controls!$B$7,"REDUCED","ACCEPTED"))</f>
        <v>ACCEPTED</v>
      </c>
      <c r="T35" s="5" t="str">
        <f>IF(P35="BLOCK","LIMIT_EXCEEDED - DLS above "&amp;TEXT(Controls!$B$3,"0.0")&amp;" deg/100ft",IF(P35="CAUTION","DLS above operating limit - reduce aggressiveness",IF(L35&gt;Controls!$B$4,"High vibration - hold trajectory",IF(OR(C35&lt;Controls!$B$5,C35&gt;Controls!$B$6),"WOB outside preferred band","Normal operation"))))</f>
        <v>Normal operation</v>
      </c>
    </row>
    <row r="36" spans="1:20" x14ac:dyDescent="0.3">
      <c r="A36" s="7">
        <f>Raw_Data!A36</f>
        <v>3485</v>
      </c>
      <c r="B36" s="8">
        <f>Raw_Data!B36</f>
        <v>30930.061000000002</v>
      </c>
      <c r="C36" s="9">
        <f t="shared" si="7"/>
        <v>30.930061000000002</v>
      </c>
      <c r="D36" s="9">
        <f>ROUND(Controls!$B$8 + (Raw_Data!C36-Controls!$B$12)/MAX(0.000001,(Controls!$B$13-Controls!$B$12))*(Controls!$B$9-Controls!$B$8),1)</f>
        <v>136.6</v>
      </c>
      <c r="E36" s="9">
        <f>ROUND(Controls!$B$10 + (Raw_Data!D36-Controls!$B$14)/MAX(0.000001,(Controls!$B$15-Controls!$B$14))*(Controls!$B$11-Controls!$B$10),1)</f>
        <v>30.3</v>
      </c>
      <c r="F36" s="10">
        <f>Raw_Data!E36</f>
        <v>8.6426790197000003E-2</v>
      </c>
      <c r="G36" s="10">
        <f>Raw_Data!F36</f>
        <v>0.11457675803800001</v>
      </c>
      <c r="H36" s="10">
        <f>Raw_Data!G36</f>
        <v>1</v>
      </c>
      <c r="I36" s="10">
        <f>Raw_Data!H36</f>
        <v>1E-3</v>
      </c>
      <c r="J36" s="5" t="str">
        <f t="shared" si="8"/>
        <v>Cleaner sand</v>
      </c>
      <c r="K36" s="11">
        <f t="shared" si="9"/>
        <v>13.6</v>
      </c>
      <c r="L36" s="12">
        <f t="shared" si="10"/>
        <v>1.2</v>
      </c>
      <c r="M36" s="12">
        <f t="shared" si="11"/>
        <v>2.12</v>
      </c>
      <c r="N36" s="12">
        <f t="shared" si="12"/>
        <v>12.78</v>
      </c>
      <c r="O36" s="12">
        <f t="shared" si="13"/>
        <v>222.3</v>
      </c>
      <c r="P36" s="5" t="str">
        <f>IF(M36&lt;=Controls!$B$2,"NORMAL",IF(M36&lt;=Controls!$B$3,"CAUTION","BLOCK"))</f>
        <v>NORMAL</v>
      </c>
      <c r="Q36" s="5" t="str">
        <f>IF(P36="BLOCK","Hold",IF(L36&gt;Controls!$B$4,"Hold",IF(P36="CAUTION","Drop",IF(G36&lt;0.25,IF(MOD(ROW(),13)=0,"Turn Left",IF(MOD(ROW(),9)=0,"Turn Right",IF(F36&lt;0.08,"Build","Hold"))),IF(F36&lt;0.08,"Build","Hold")))))</f>
        <v>Turn Right</v>
      </c>
      <c r="R36" s="12">
        <f>ROUND(MAX(0.35,MIN(0.95,0.92 - 0.06*MAX(0,M36-Controls!$B$2) - 0.05*MAX(0,L36-Controls!$B$4) - 0.01*ABS(C36-50) + 0.04*(1-G36))),2)</f>
        <v>0.76</v>
      </c>
      <c r="S36" s="5" t="str">
        <f>IF(P36="BLOCK","BLOCKED",IF(R36&lt;Controls!$B$7,"REDUCED","ACCEPTED"))</f>
        <v>ACCEPTED</v>
      </c>
      <c r="T36" s="5" t="str">
        <f>IF(P36="BLOCK","LIMIT_EXCEEDED - DLS above "&amp;TEXT(Controls!$B$3,"0.0")&amp;" deg/100ft",IF(P36="CAUTION","DLS above operating limit - reduce aggressiveness",IF(L36&gt;Controls!$B$4,"High vibration - hold trajectory",IF(OR(C36&lt;Controls!$B$5,C36&gt;Controls!$B$6),"WOB outside preferred band","Normal operation"))))</f>
        <v>Normal operation</v>
      </c>
    </row>
    <row r="37" spans="1:20" x14ac:dyDescent="0.3">
      <c r="A37" s="7">
        <f>Raw_Data!A37</f>
        <v>3490</v>
      </c>
      <c r="B37" s="8">
        <f>Raw_Data!B37</f>
        <v>28597.028999999999</v>
      </c>
      <c r="C37" s="9">
        <f t="shared" si="7"/>
        <v>28.597028999999999</v>
      </c>
      <c r="D37" s="9">
        <f>ROUND(Controls!$B$8 + (Raw_Data!C37-Controls!$B$12)/MAX(0.000001,(Controls!$B$13-Controls!$B$12))*(Controls!$B$9-Controls!$B$8),1)</f>
        <v>136.5</v>
      </c>
      <c r="E37" s="9">
        <f>ROUND(Controls!$B$10 + (Raw_Data!D37-Controls!$B$14)/MAX(0.000001,(Controls!$B$15-Controls!$B$14))*(Controls!$B$11-Controls!$B$10),1)</f>
        <v>30.3</v>
      </c>
      <c r="F37" s="10">
        <f>Raw_Data!E37</f>
        <v>9.0819492345000002E-2</v>
      </c>
      <c r="G37" s="10">
        <f>Raw_Data!F37</f>
        <v>0.10859971722300001</v>
      </c>
      <c r="H37" s="10">
        <f>Raw_Data!G37</f>
        <v>1</v>
      </c>
      <c r="I37" s="10">
        <f>Raw_Data!H37</f>
        <v>1E-3</v>
      </c>
      <c r="J37" s="5" t="str">
        <f t="shared" si="8"/>
        <v>Cleaner sand</v>
      </c>
      <c r="K37" s="11">
        <f t="shared" si="9"/>
        <v>13.2</v>
      </c>
      <c r="L37" s="12">
        <f t="shared" si="10"/>
        <v>1.19</v>
      </c>
      <c r="M37" s="12">
        <f t="shared" si="11"/>
        <v>2.1</v>
      </c>
      <c r="N37" s="12">
        <f t="shared" si="12"/>
        <v>12.49</v>
      </c>
      <c r="O37" s="12">
        <f t="shared" si="13"/>
        <v>222.8</v>
      </c>
      <c r="P37" s="5" t="str">
        <f>IF(M37&lt;=Controls!$B$2,"NORMAL",IF(M37&lt;=Controls!$B$3,"CAUTION","BLOCK"))</f>
        <v>NORMAL</v>
      </c>
      <c r="Q37" s="5" t="str">
        <f>IF(P37="BLOCK","Hold",IF(L37&gt;Controls!$B$4,"Hold",IF(P37="CAUTION","Drop",IF(G37&lt;0.25,IF(MOD(ROW(),13)=0,"Turn Left",IF(MOD(ROW(),9)=0,"Turn Right",IF(F37&lt;0.08,"Build","Hold"))),IF(F37&lt;0.08,"Build","Hold")))))</f>
        <v>Hold</v>
      </c>
      <c r="R37" s="12">
        <f>ROUND(MAX(0.35,MIN(0.95,0.92 - 0.06*MAX(0,M37-Controls!$B$2) - 0.05*MAX(0,L37-Controls!$B$4) - 0.01*ABS(C37-50) + 0.04*(1-G37))),2)</f>
        <v>0.74</v>
      </c>
      <c r="S37" s="5" t="str">
        <f>IF(P37="BLOCK","BLOCKED",IF(R37&lt;Controls!$B$7,"REDUCED","ACCEPTED"))</f>
        <v>ACCEPTED</v>
      </c>
      <c r="T37" s="5" t="str">
        <f>IF(P37="BLOCK","LIMIT_EXCEEDED - DLS above "&amp;TEXT(Controls!$B$3,"0.0")&amp;" deg/100ft",IF(P37="CAUTION","DLS above operating limit - reduce aggressiveness",IF(L37&gt;Controls!$B$4,"High vibration - hold trajectory",IF(OR(C37&lt;Controls!$B$5,C37&gt;Controls!$B$6),"WOB outside preferred band","Normal operation"))))</f>
        <v>Normal operation</v>
      </c>
    </row>
    <row r="38" spans="1:20" x14ac:dyDescent="0.3">
      <c r="A38" s="7">
        <f>Raw_Data!A38</f>
        <v>3495</v>
      </c>
      <c r="B38" s="8">
        <f>Raw_Data!B38</f>
        <v>17397.72</v>
      </c>
      <c r="C38" s="9">
        <f t="shared" si="7"/>
        <v>17.39772</v>
      </c>
      <c r="D38" s="9">
        <f>ROUND(Controls!$B$8 + (Raw_Data!C38-Controls!$B$12)/MAX(0.000001,(Controls!$B$13-Controls!$B$12))*(Controls!$B$9-Controls!$B$8),1)</f>
        <v>136.6</v>
      </c>
      <c r="E38" s="9">
        <f>ROUND(Controls!$B$10 + (Raw_Data!D38-Controls!$B$14)/MAX(0.000001,(Controls!$B$15-Controls!$B$14))*(Controls!$B$11-Controls!$B$10),1)</f>
        <v>32</v>
      </c>
      <c r="F38" s="10">
        <f>Raw_Data!E38</f>
        <v>6.4107145330000004E-2</v>
      </c>
      <c r="G38" s="10">
        <f>Raw_Data!F38</f>
        <v>0.128194534222</v>
      </c>
      <c r="H38" s="10">
        <f>Raw_Data!G38</f>
        <v>1</v>
      </c>
      <c r="I38" s="10">
        <f>Raw_Data!H38</f>
        <v>1E-3</v>
      </c>
      <c r="J38" s="5" t="str">
        <f t="shared" si="8"/>
        <v>Cleaner sand</v>
      </c>
      <c r="K38" s="11">
        <f t="shared" si="9"/>
        <v>11.6</v>
      </c>
      <c r="L38" s="12">
        <f t="shared" si="10"/>
        <v>1.22</v>
      </c>
      <c r="M38" s="12">
        <f t="shared" si="11"/>
        <v>2.1800000000000002</v>
      </c>
      <c r="N38" s="12">
        <f t="shared" si="12"/>
        <v>12.21</v>
      </c>
      <c r="O38" s="12">
        <f t="shared" si="13"/>
        <v>224.6</v>
      </c>
      <c r="P38" s="5" t="str">
        <f>IF(M38&lt;=Controls!$B$2,"NORMAL",IF(M38&lt;=Controls!$B$3,"CAUTION","BLOCK"))</f>
        <v>NORMAL</v>
      </c>
      <c r="Q38" s="5" t="str">
        <f>IF(P38="BLOCK","Hold",IF(L38&gt;Controls!$B$4,"Hold",IF(P38="CAUTION","Drop",IF(G38&lt;0.25,IF(MOD(ROW(),13)=0,"Turn Left",IF(MOD(ROW(),9)=0,"Turn Right",IF(F38&lt;0.08,"Build","Hold"))),IF(F38&lt;0.08,"Build","Hold")))))</f>
        <v>Build</v>
      </c>
      <c r="R38" s="12">
        <f>ROUND(MAX(0.35,MIN(0.95,0.92 - 0.06*MAX(0,M38-Controls!$B$2) - 0.05*MAX(0,L38-Controls!$B$4) - 0.01*ABS(C38-50) + 0.04*(1-G38))),2)</f>
        <v>0.63</v>
      </c>
      <c r="S38" s="5" t="str">
        <f>IF(P38="BLOCK","BLOCKED",IF(R38&lt;Controls!$B$7,"REDUCED","ACCEPTED"))</f>
        <v>ACCEPTED</v>
      </c>
      <c r="T38" s="5" t="str">
        <f>IF(P38="BLOCK","LIMIT_EXCEEDED - DLS above "&amp;TEXT(Controls!$B$3,"0.0")&amp;" deg/100ft",IF(P38="CAUTION","DLS above operating limit - reduce aggressiveness",IF(L38&gt;Controls!$B$4,"High vibration - hold trajectory",IF(OR(C38&lt;Controls!$B$5,C38&gt;Controls!$B$6),"WOB outside preferred band","Normal operation"))))</f>
        <v>WOB outside preferred band</v>
      </c>
    </row>
    <row r="39" spans="1:20" x14ac:dyDescent="0.3">
      <c r="A39" s="7">
        <f>Raw_Data!A39</f>
        <v>3500</v>
      </c>
      <c r="B39" s="8">
        <f>Raw_Data!B39</f>
        <v>16961.916000000001</v>
      </c>
      <c r="C39" s="9">
        <f t="shared" si="7"/>
        <v>16.961916000000002</v>
      </c>
      <c r="D39" s="9">
        <f>ROUND(Controls!$B$8 + (Raw_Data!C39-Controls!$B$12)/MAX(0.000001,(Controls!$B$13-Controls!$B$12))*(Controls!$B$9-Controls!$B$8),1)</f>
        <v>136.6</v>
      </c>
      <c r="E39" s="9">
        <f>ROUND(Controls!$B$10 + (Raw_Data!D39-Controls!$B$14)/MAX(0.000001,(Controls!$B$15-Controls!$B$14))*(Controls!$B$11-Controls!$B$10),1)</f>
        <v>50.3</v>
      </c>
      <c r="F39" s="10">
        <f>Raw_Data!E39</f>
        <v>3.7509364913999997E-2</v>
      </c>
      <c r="G39" s="10">
        <f>Raw_Data!F39</f>
        <v>0.11632042628100001</v>
      </c>
      <c r="H39" s="10">
        <f>Raw_Data!G39</f>
        <v>1</v>
      </c>
      <c r="I39" s="10">
        <f>Raw_Data!H39</f>
        <v>1E-3</v>
      </c>
      <c r="J39" s="5" t="str">
        <f t="shared" si="8"/>
        <v>Cleaner sand</v>
      </c>
      <c r="K39" s="11">
        <f t="shared" si="9"/>
        <v>11.5</v>
      </c>
      <c r="L39" s="12">
        <f t="shared" si="10"/>
        <v>1.2</v>
      </c>
      <c r="M39" s="12">
        <f t="shared" si="11"/>
        <v>2.13</v>
      </c>
      <c r="N39" s="12">
        <f t="shared" si="12"/>
        <v>11.93</v>
      </c>
      <c r="O39" s="12">
        <f t="shared" si="13"/>
        <v>222.8</v>
      </c>
      <c r="P39" s="5" t="str">
        <f>IF(M39&lt;=Controls!$B$2,"NORMAL",IF(M39&lt;=Controls!$B$3,"CAUTION","BLOCK"))</f>
        <v>NORMAL</v>
      </c>
      <c r="Q39" s="5" t="str">
        <f>IF(P39="BLOCK","Hold",IF(L39&gt;Controls!$B$4,"Hold",IF(P39="CAUTION","Drop",IF(G39&lt;0.25,IF(MOD(ROW(),13)=0,"Turn Left",IF(MOD(ROW(),9)=0,"Turn Right",IF(F39&lt;0.08,"Build","Hold"))),IF(F39&lt;0.08,"Build","Hold")))))</f>
        <v>Turn Left</v>
      </c>
      <c r="R39" s="12">
        <f>ROUND(MAX(0.35,MIN(0.95,0.92 - 0.06*MAX(0,M39-Controls!$B$2) - 0.05*MAX(0,L39-Controls!$B$4) - 0.01*ABS(C39-50) + 0.04*(1-G39))),2)</f>
        <v>0.62</v>
      </c>
      <c r="S39" s="5" t="str">
        <f>IF(P39="BLOCK","BLOCKED",IF(R39&lt;Controls!$B$7,"REDUCED","ACCEPTED"))</f>
        <v>ACCEPTED</v>
      </c>
      <c r="T39" s="5" t="str">
        <f>IF(P39="BLOCK","LIMIT_EXCEEDED - DLS above "&amp;TEXT(Controls!$B$3,"0.0")&amp;" deg/100ft",IF(P39="CAUTION","DLS above operating limit - reduce aggressiveness",IF(L39&gt;Controls!$B$4,"High vibration - hold trajectory",IF(OR(C39&lt;Controls!$B$5,C39&gt;Controls!$B$6),"WOB outside preferred band","Normal operation"))))</f>
        <v>WOB outside preferred band</v>
      </c>
    </row>
    <row r="40" spans="1:20" x14ac:dyDescent="0.3">
      <c r="A40" s="7">
        <f>Raw_Data!A40</f>
        <v>3505</v>
      </c>
      <c r="B40" s="8">
        <f>Raw_Data!B40</f>
        <v>27492.81</v>
      </c>
      <c r="C40" s="9">
        <f t="shared" si="7"/>
        <v>27.492810000000002</v>
      </c>
      <c r="D40" s="9">
        <f>ROUND(Controls!$B$8 + (Raw_Data!C40-Controls!$B$12)/MAX(0.000001,(Controls!$B$13-Controls!$B$12))*(Controls!$B$9-Controls!$B$8),1)</f>
        <v>136.5</v>
      </c>
      <c r="E40" s="9">
        <f>ROUND(Controls!$B$10 + (Raw_Data!D40-Controls!$B$14)/MAX(0.000001,(Controls!$B$15-Controls!$B$14))*(Controls!$B$11-Controls!$B$10),1)</f>
        <v>60.2</v>
      </c>
      <c r="F40" s="10">
        <f>Raw_Data!E40</f>
        <v>7.4408956829999998E-2</v>
      </c>
      <c r="G40" s="10">
        <f>Raw_Data!F40</f>
        <v>0.14479012801400001</v>
      </c>
      <c r="H40" s="10">
        <f>Raw_Data!G40</f>
        <v>1.000007899199</v>
      </c>
      <c r="I40" s="10">
        <f>Raw_Data!H40</f>
        <v>1E-3</v>
      </c>
      <c r="J40" s="5" t="str">
        <f t="shared" si="8"/>
        <v>Cleaner sand</v>
      </c>
      <c r="K40" s="11">
        <f t="shared" si="9"/>
        <v>13.3</v>
      </c>
      <c r="L40" s="12">
        <f t="shared" si="10"/>
        <v>1.24</v>
      </c>
      <c r="M40" s="12">
        <f t="shared" si="11"/>
        <v>2.25</v>
      </c>
      <c r="N40" s="12">
        <f t="shared" si="12"/>
        <v>11.66</v>
      </c>
      <c r="O40" s="12">
        <f t="shared" si="13"/>
        <v>224.6</v>
      </c>
      <c r="P40" s="5" t="str">
        <f>IF(M40&lt;=Controls!$B$2,"NORMAL",IF(M40&lt;=Controls!$B$3,"CAUTION","BLOCK"))</f>
        <v>NORMAL</v>
      </c>
      <c r="Q40" s="5" t="str">
        <f>IF(P40="BLOCK","Hold",IF(L40&gt;Controls!$B$4,"Hold",IF(P40="CAUTION","Drop",IF(G40&lt;0.25,IF(MOD(ROW(),13)=0,"Turn Left",IF(MOD(ROW(),9)=0,"Turn Right",IF(F40&lt;0.08,"Build","Hold"))),IF(F40&lt;0.08,"Build","Hold")))))</f>
        <v>Build</v>
      </c>
      <c r="R40" s="12">
        <f>ROUND(MAX(0.35,MIN(0.95,0.92 - 0.06*MAX(0,M40-Controls!$B$2) - 0.05*MAX(0,L40-Controls!$B$4) - 0.01*ABS(C40-50) + 0.04*(1-G40))),2)</f>
        <v>0.73</v>
      </c>
      <c r="S40" s="5" t="str">
        <f>IF(P40="BLOCK","BLOCKED",IF(R40&lt;Controls!$B$7,"REDUCED","ACCEPTED"))</f>
        <v>ACCEPTED</v>
      </c>
      <c r="T40" s="5" t="str">
        <f>IF(P40="BLOCK","LIMIT_EXCEEDED - DLS above "&amp;TEXT(Controls!$B$3,"0.0")&amp;" deg/100ft",IF(P40="CAUTION","DLS above operating limit - reduce aggressiveness",IF(L40&gt;Controls!$B$4,"High vibration - hold trajectory",IF(OR(C40&lt;Controls!$B$5,C40&gt;Controls!$B$6),"WOB outside preferred band","Normal operation"))))</f>
        <v>Normal operation</v>
      </c>
    </row>
    <row r="41" spans="1:20" x14ac:dyDescent="0.3">
      <c r="A41" s="7">
        <f>Raw_Data!A41</f>
        <v>3510</v>
      </c>
      <c r="B41" s="8">
        <f>Raw_Data!B41</f>
        <v>36827.998</v>
      </c>
      <c r="C41" s="9">
        <f t="shared" si="7"/>
        <v>36.827998000000001</v>
      </c>
      <c r="D41" s="9">
        <f>ROUND(Controls!$B$8 + (Raw_Data!C41-Controls!$B$12)/MAX(0.000001,(Controls!$B$13-Controls!$B$12))*(Controls!$B$9-Controls!$B$8),1)</f>
        <v>136.5</v>
      </c>
      <c r="E41" s="9">
        <f>ROUND(Controls!$B$10 + (Raw_Data!D41-Controls!$B$14)/MAX(0.000001,(Controls!$B$15-Controls!$B$14))*(Controls!$B$11-Controls!$B$10),1)</f>
        <v>60.4</v>
      </c>
      <c r="F41" s="10">
        <f>Raw_Data!E41</f>
        <v>9.8724562759999995E-2</v>
      </c>
      <c r="G41" s="10">
        <f>Raw_Data!F41</f>
        <v>9.4706889803000002E-2</v>
      </c>
      <c r="H41" s="10">
        <f>Raw_Data!G41</f>
        <v>1</v>
      </c>
      <c r="I41" s="10">
        <f>Raw_Data!H41</f>
        <v>1E-3</v>
      </c>
      <c r="J41" s="5" t="str">
        <f t="shared" si="8"/>
        <v>Cleaner sand</v>
      </c>
      <c r="K41" s="11">
        <f t="shared" si="9"/>
        <v>14.4</v>
      </c>
      <c r="L41" s="12">
        <f t="shared" si="10"/>
        <v>1.17</v>
      </c>
      <c r="M41" s="12">
        <f t="shared" si="11"/>
        <v>2.04</v>
      </c>
      <c r="N41" s="12">
        <f t="shared" si="12"/>
        <v>11.36</v>
      </c>
      <c r="O41" s="12">
        <f t="shared" si="13"/>
        <v>225.1</v>
      </c>
      <c r="P41" s="5" t="str">
        <f>IF(M41&lt;=Controls!$B$2,"NORMAL",IF(M41&lt;=Controls!$B$3,"CAUTION","BLOCK"))</f>
        <v>NORMAL</v>
      </c>
      <c r="Q41" s="5" t="str">
        <f>IF(P41="BLOCK","Hold",IF(L41&gt;Controls!$B$4,"Hold",IF(P41="CAUTION","Drop",IF(G41&lt;0.25,IF(MOD(ROW(),13)=0,"Turn Left",IF(MOD(ROW(),9)=0,"Turn Right",IF(F41&lt;0.08,"Build","Hold"))),IF(F41&lt;0.08,"Build","Hold")))))</f>
        <v>Hold</v>
      </c>
      <c r="R41" s="12">
        <f>ROUND(MAX(0.35,MIN(0.95,0.92 - 0.06*MAX(0,M41-Controls!$B$2) - 0.05*MAX(0,L41-Controls!$B$4) - 0.01*ABS(C41-50) + 0.04*(1-G41))),2)</f>
        <v>0.82</v>
      </c>
      <c r="S41" s="5" t="str">
        <f>IF(P41="BLOCK","BLOCKED",IF(R41&lt;Controls!$B$7,"REDUCED","ACCEPTED"))</f>
        <v>ACCEPTED</v>
      </c>
      <c r="T41" s="5" t="str">
        <f>IF(P41="BLOCK","LIMIT_EXCEEDED - DLS above "&amp;TEXT(Controls!$B$3,"0.0")&amp;" deg/100ft",IF(P41="CAUTION","DLS above operating limit - reduce aggressiveness",IF(L41&gt;Controls!$B$4,"High vibration - hold trajectory",IF(OR(C41&lt;Controls!$B$5,C41&gt;Controls!$B$6),"WOB outside preferred band","Normal operation"))))</f>
        <v>Normal operation</v>
      </c>
    </row>
    <row r="42" spans="1:20" x14ac:dyDescent="0.3">
      <c r="A42" s="7">
        <f>Raw_Data!A42</f>
        <v>3515</v>
      </c>
      <c r="B42" s="8">
        <f>Raw_Data!B42</f>
        <v>38973.616999999998</v>
      </c>
      <c r="C42" s="9">
        <f t="shared" si="7"/>
        <v>38.973616999999997</v>
      </c>
      <c r="D42" s="9">
        <f>ROUND(Controls!$B$8 + (Raw_Data!C42-Controls!$B$12)/MAX(0.000001,(Controls!$B$13-Controls!$B$12))*(Controls!$B$9-Controls!$B$8),1)</f>
        <v>136.6</v>
      </c>
      <c r="E42" s="9">
        <f>ROUND(Controls!$B$10 + (Raw_Data!D42-Controls!$B$14)/MAX(0.000001,(Controls!$B$15-Controls!$B$14))*(Controls!$B$11-Controls!$B$10),1)</f>
        <v>60.2</v>
      </c>
      <c r="F42" s="10">
        <f>Raw_Data!E42</f>
        <v>8.6612015050999996E-2</v>
      </c>
      <c r="G42" s="10">
        <f>Raw_Data!F42</f>
        <v>0.10847901817900001</v>
      </c>
      <c r="H42" s="10">
        <f>Raw_Data!G42</f>
        <v>1</v>
      </c>
      <c r="I42" s="10">
        <f>Raw_Data!H42</f>
        <v>1E-3</v>
      </c>
      <c r="J42" s="5" t="str">
        <f t="shared" si="8"/>
        <v>Cleaner sand</v>
      </c>
      <c r="K42" s="11">
        <f t="shared" si="9"/>
        <v>14.8</v>
      </c>
      <c r="L42" s="12">
        <f t="shared" si="10"/>
        <v>1.19</v>
      </c>
      <c r="M42" s="12">
        <f t="shared" si="11"/>
        <v>2.1</v>
      </c>
      <c r="N42" s="12">
        <f t="shared" si="12"/>
        <v>11.07</v>
      </c>
      <c r="O42" s="12">
        <f t="shared" si="13"/>
        <v>225.6</v>
      </c>
      <c r="P42" s="5" t="str">
        <f>IF(M42&lt;=Controls!$B$2,"NORMAL",IF(M42&lt;=Controls!$B$3,"CAUTION","BLOCK"))</f>
        <v>NORMAL</v>
      </c>
      <c r="Q42" s="5" t="str">
        <f>IF(P42="BLOCK","Hold",IF(L42&gt;Controls!$B$4,"Hold",IF(P42="CAUTION","Drop",IF(G42&lt;0.25,IF(MOD(ROW(),13)=0,"Turn Left",IF(MOD(ROW(),9)=0,"Turn Right",IF(F42&lt;0.08,"Build","Hold"))),IF(F42&lt;0.08,"Build","Hold")))))</f>
        <v>Hold</v>
      </c>
      <c r="R42" s="12">
        <f>ROUND(MAX(0.35,MIN(0.95,0.92 - 0.06*MAX(0,M42-Controls!$B$2) - 0.05*MAX(0,L42-Controls!$B$4) - 0.01*ABS(C42-50) + 0.04*(1-G42))),2)</f>
        <v>0.85</v>
      </c>
      <c r="S42" s="5" t="str">
        <f>IF(P42="BLOCK","BLOCKED",IF(R42&lt;Controls!$B$7,"REDUCED","ACCEPTED"))</f>
        <v>ACCEPTED</v>
      </c>
      <c r="T42" s="5" t="str">
        <f>IF(P42="BLOCK","LIMIT_EXCEEDED - DLS above "&amp;TEXT(Controls!$B$3,"0.0")&amp;" deg/100ft",IF(P42="CAUTION","DLS above operating limit - reduce aggressiveness",IF(L42&gt;Controls!$B$4,"High vibration - hold trajectory",IF(OR(C42&lt;Controls!$B$5,C42&gt;Controls!$B$6),"WOB outside preferred band","Normal operation"))))</f>
        <v>Normal operation</v>
      </c>
    </row>
    <row r="43" spans="1:20" x14ac:dyDescent="0.3">
      <c r="A43" s="7">
        <f>Raw_Data!A43</f>
        <v>3520</v>
      </c>
      <c r="B43" s="8">
        <f>Raw_Data!B43</f>
        <v>42748.817000000003</v>
      </c>
      <c r="C43" s="9">
        <f t="shared" si="7"/>
        <v>42.748817000000003</v>
      </c>
      <c r="D43" s="9">
        <f>ROUND(Controls!$B$8 + (Raw_Data!C43-Controls!$B$12)/MAX(0.000001,(Controls!$B$13-Controls!$B$12))*(Controls!$B$9-Controls!$B$8),1)</f>
        <v>136.69999999999999</v>
      </c>
      <c r="E43" s="9">
        <f>ROUND(Controls!$B$10 + (Raw_Data!D43-Controls!$B$14)/MAX(0.000001,(Controls!$B$15-Controls!$B$14))*(Controls!$B$11-Controls!$B$10),1)</f>
        <v>56.5</v>
      </c>
      <c r="F43" s="10">
        <f>Raw_Data!E43</f>
        <v>6.0490959466999998E-2</v>
      </c>
      <c r="G43" s="10">
        <f>Raw_Data!F43</f>
        <v>0.19310016059400001</v>
      </c>
      <c r="H43" s="10">
        <f>Raw_Data!G43</f>
        <v>1</v>
      </c>
      <c r="I43" s="10">
        <f>Raw_Data!H43</f>
        <v>1E-3</v>
      </c>
      <c r="J43" s="5" t="str">
        <f t="shared" si="8"/>
        <v>Cleaner sand</v>
      </c>
      <c r="K43" s="11">
        <f t="shared" si="9"/>
        <v>16.100000000000001</v>
      </c>
      <c r="L43" s="12">
        <f t="shared" si="10"/>
        <v>1.31</v>
      </c>
      <c r="M43" s="12">
        <f t="shared" si="11"/>
        <v>2.4500000000000002</v>
      </c>
      <c r="N43" s="12">
        <f t="shared" si="12"/>
        <v>10.82</v>
      </c>
      <c r="O43" s="12">
        <f t="shared" si="13"/>
        <v>227.4</v>
      </c>
      <c r="P43" s="5" t="str">
        <f>IF(M43&lt;=Controls!$B$2,"NORMAL",IF(M43&lt;=Controls!$B$3,"CAUTION","BLOCK"))</f>
        <v>NORMAL</v>
      </c>
      <c r="Q43" s="5" t="str">
        <f>IF(P43="BLOCK","Hold",IF(L43&gt;Controls!$B$4,"Hold",IF(P43="CAUTION","Drop",IF(G43&lt;0.25,IF(MOD(ROW(),13)=0,"Turn Left",IF(MOD(ROW(),9)=0,"Turn Right",IF(F43&lt;0.08,"Build","Hold"))),IF(F43&lt;0.08,"Build","Hold")))))</f>
        <v>Build</v>
      </c>
      <c r="R43" s="12">
        <f>ROUND(MAX(0.35,MIN(0.95,0.92 - 0.06*MAX(0,M43-Controls!$B$2) - 0.05*MAX(0,L43-Controls!$B$4) - 0.01*ABS(C43-50) + 0.04*(1-G43))),2)</f>
        <v>0.88</v>
      </c>
      <c r="S43" s="5" t="str">
        <f>IF(P43="BLOCK","BLOCKED",IF(R43&lt;Controls!$B$7,"REDUCED","ACCEPTED"))</f>
        <v>ACCEPTED</v>
      </c>
      <c r="T43" s="5" t="str">
        <f>IF(P43="BLOCK","LIMIT_EXCEEDED - DLS above "&amp;TEXT(Controls!$B$3,"0.0")&amp;" deg/100ft",IF(P43="CAUTION","DLS above operating limit - reduce aggressiveness",IF(L43&gt;Controls!$B$4,"High vibration - hold trajectory",IF(OR(C43&lt;Controls!$B$5,C43&gt;Controls!$B$6),"WOB outside preferred band","Normal operation"))))</f>
        <v>Normal operation</v>
      </c>
    </row>
    <row r="44" spans="1:20" x14ac:dyDescent="0.3">
      <c r="A44" s="7">
        <f>Raw_Data!A44</f>
        <v>3525</v>
      </c>
      <c r="B44" s="8">
        <f>Raw_Data!B44</f>
        <v>49323.529000000002</v>
      </c>
      <c r="C44" s="9">
        <f t="shared" si="7"/>
        <v>49.323529000000001</v>
      </c>
      <c r="D44" s="9">
        <f>ROUND(Controls!$B$8 + (Raw_Data!C44-Controls!$B$12)/MAX(0.000001,(Controls!$B$13-Controls!$B$12))*(Controls!$B$9-Controls!$B$8),1)</f>
        <v>136.6</v>
      </c>
      <c r="E44" s="9">
        <f>ROUND(Controls!$B$10 + (Raw_Data!D44-Controls!$B$14)/MAX(0.000001,(Controls!$B$15-Controls!$B$14))*(Controls!$B$11-Controls!$B$10),1)</f>
        <v>56.6</v>
      </c>
      <c r="F44" s="10">
        <f>Raw_Data!E44</f>
        <v>7.7220248426000004E-2</v>
      </c>
      <c r="G44" s="10">
        <f>Raw_Data!F44</f>
        <v>0.15345021186900001</v>
      </c>
      <c r="H44" s="10">
        <f>Raw_Data!G44</f>
        <v>1</v>
      </c>
      <c r="I44" s="10">
        <f>Raw_Data!H44</f>
        <v>1E-3</v>
      </c>
      <c r="J44" s="5" t="str">
        <f t="shared" si="8"/>
        <v>Cleaner sand</v>
      </c>
      <c r="K44" s="11">
        <f t="shared" si="9"/>
        <v>16.8</v>
      </c>
      <c r="L44" s="12">
        <f t="shared" si="10"/>
        <v>1.25</v>
      </c>
      <c r="M44" s="12">
        <f t="shared" si="11"/>
        <v>2.2799999999999998</v>
      </c>
      <c r="N44" s="12">
        <f t="shared" si="12"/>
        <v>10.55</v>
      </c>
      <c r="O44" s="12">
        <f t="shared" si="13"/>
        <v>229.2</v>
      </c>
      <c r="P44" s="5" t="str">
        <f>IF(M44&lt;=Controls!$B$2,"NORMAL",IF(M44&lt;=Controls!$B$3,"CAUTION","BLOCK"))</f>
        <v>NORMAL</v>
      </c>
      <c r="Q44" s="5" t="str">
        <f>IF(P44="BLOCK","Hold",IF(L44&gt;Controls!$B$4,"Hold",IF(P44="CAUTION","Drop",IF(G44&lt;0.25,IF(MOD(ROW(),13)=0,"Turn Left",IF(MOD(ROW(),9)=0,"Turn Right",IF(F44&lt;0.08,"Build","Hold"))),IF(F44&lt;0.08,"Build","Hold")))))</f>
        <v>Build</v>
      </c>
      <c r="R44" s="12">
        <f>ROUND(MAX(0.35,MIN(0.95,0.92 - 0.06*MAX(0,M44-Controls!$B$2) - 0.05*MAX(0,L44-Controls!$B$4) - 0.01*ABS(C44-50) + 0.04*(1-G44))),2)</f>
        <v>0.95</v>
      </c>
      <c r="S44" s="5" t="str">
        <f>IF(P44="BLOCK","BLOCKED",IF(R44&lt;Controls!$B$7,"REDUCED","ACCEPTED"))</f>
        <v>ACCEPTED</v>
      </c>
      <c r="T44" s="5" t="str">
        <f>IF(P44="BLOCK","LIMIT_EXCEEDED - DLS above "&amp;TEXT(Controls!$B$3,"0.0")&amp;" deg/100ft",IF(P44="CAUTION","DLS above operating limit - reduce aggressiveness",IF(L44&gt;Controls!$B$4,"High vibration - hold trajectory",IF(OR(C44&lt;Controls!$B$5,C44&gt;Controls!$B$6),"WOB outside preferred band","Normal operation"))))</f>
        <v>Normal operation</v>
      </c>
    </row>
    <row r="45" spans="1:20" x14ac:dyDescent="0.3">
      <c r="A45" s="7">
        <f>Raw_Data!A45</f>
        <v>3530</v>
      </c>
      <c r="B45" s="8">
        <f>Raw_Data!B45</f>
        <v>52143.352999999901</v>
      </c>
      <c r="C45" s="9">
        <f t="shared" si="7"/>
        <v>52.143352999999898</v>
      </c>
      <c r="D45" s="9">
        <f>ROUND(Controls!$B$8 + (Raw_Data!C45-Controls!$B$12)/MAX(0.000001,(Controls!$B$13-Controls!$B$12))*(Controls!$B$9-Controls!$B$8),1)</f>
        <v>136.6</v>
      </c>
      <c r="E45" s="9">
        <f>ROUND(Controls!$B$10 + (Raw_Data!D45-Controls!$B$14)/MAX(0.000001,(Controls!$B$15-Controls!$B$14))*(Controls!$B$11-Controls!$B$10),1)</f>
        <v>56.5</v>
      </c>
      <c r="F45" s="10">
        <f>Raw_Data!E45</f>
        <v>7.5330780257000005E-2</v>
      </c>
      <c r="G45" s="10">
        <f>Raw_Data!F45</f>
        <v>0.124592334294</v>
      </c>
      <c r="H45" s="10">
        <f>Raw_Data!G45</f>
        <v>1</v>
      </c>
      <c r="I45" s="10">
        <f>Raw_Data!H45</f>
        <v>1E-3</v>
      </c>
      <c r="J45" s="5" t="str">
        <f t="shared" si="8"/>
        <v>Cleaner sand</v>
      </c>
      <c r="K45" s="11">
        <f t="shared" si="9"/>
        <v>17.100000000000001</v>
      </c>
      <c r="L45" s="12">
        <f t="shared" si="10"/>
        <v>1.21</v>
      </c>
      <c r="M45" s="12">
        <f t="shared" si="11"/>
        <v>2.16</v>
      </c>
      <c r="N45" s="12">
        <f t="shared" si="12"/>
        <v>10.27</v>
      </c>
      <c r="O45" s="12">
        <f t="shared" si="13"/>
        <v>231</v>
      </c>
      <c r="P45" s="5" t="str">
        <f>IF(M45&lt;=Controls!$B$2,"NORMAL",IF(M45&lt;=Controls!$B$3,"CAUTION","BLOCK"))</f>
        <v>NORMAL</v>
      </c>
      <c r="Q45" s="5" t="str">
        <f>IF(P45="BLOCK","Hold",IF(L45&gt;Controls!$B$4,"Hold",IF(P45="CAUTION","Drop",IF(G45&lt;0.25,IF(MOD(ROW(),13)=0,"Turn Left",IF(MOD(ROW(),9)=0,"Turn Right",IF(F45&lt;0.08,"Build","Hold"))),IF(F45&lt;0.08,"Build","Hold")))))</f>
        <v>Turn Right</v>
      </c>
      <c r="R45" s="12">
        <f>ROUND(MAX(0.35,MIN(0.95,0.92 - 0.06*MAX(0,M45-Controls!$B$2) - 0.05*MAX(0,L45-Controls!$B$4) - 0.01*ABS(C45-50) + 0.04*(1-G45))),2)</f>
        <v>0.93</v>
      </c>
      <c r="S45" s="5" t="str">
        <f>IF(P45="BLOCK","BLOCKED",IF(R45&lt;Controls!$B$7,"REDUCED","ACCEPTED"))</f>
        <v>ACCEPTED</v>
      </c>
      <c r="T45" s="5" t="str">
        <f>IF(P45="BLOCK","LIMIT_EXCEEDED - DLS above "&amp;TEXT(Controls!$B$3,"0.0")&amp;" deg/100ft",IF(P45="CAUTION","DLS above operating limit - reduce aggressiveness",IF(L45&gt;Controls!$B$4,"High vibration - hold trajectory",IF(OR(C45&lt;Controls!$B$5,C45&gt;Controls!$B$6),"WOB outside preferred band","Normal operation"))))</f>
        <v>Normal operation</v>
      </c>
    </row>
    <row r="46" spans="1:20" x14ac:dyDescent="0.3">
      <c r="A46" s="7">
        <f>Raw_Data!A46</f>
        <v>3535</v>
      </c>
      <c r="B46" s="8">
        <f>Raw_Data!B46</f>
        <v>47116.200999999899</v>
      </c>
      <c r="C46" s="9">
        <f t="shared" si="7"/>
        <v>47.116200999999897</v>
      </c>
      <c r="D46" s="9">
        <f>ROUND(Controls!$B$8 + (Raw_Data!C46-Controls!$B$12)/MAX(0.000001,(Controls!$B$13-Controls!$B$12))*(Controls!$B$9-Controls!$B$8),1)</f>
        <v>136.6</v>
      </c>
      <c r="E46" s="9">
        <f>ROUND(Controls!$B$10 + (Raw_Data!D46-Controls!$B$14)/MAX(0.000001,(Controls!$B$15-Controls!$B$14))*(Controls!$B$11-Controls!$B$10),1)</f>
        <v>60.6</v>
      </c>
      <c r="F46" s="10">
        <f>Raw_Data!E46</f>
        <v>5.0825771786E-2</v>
      </c>
      <c r="G46" s="10">
        <f>Raw_Data!F46</f>
        <v>8.5855181252999999E-2</v>
      </c>
      <c r="H46" s="10">
        <f>Raw_Data!G46</f>
        <v>1</v>
      </c>
      <c r="I46" s="10">
        <f>Raw_Data!H46</f>
        <v>1E-3</v>
      </c>
      <c r="J46" s="5" t="str">
        <f t="shared" si="8"/>
        <v>Cleaner sand</v>
      </c>
      <c r="K46" s="11">
        <f t="shared" si="9"/>
        <v>16</v>
      </c>
      <c r="L46" s="12">
        <f t="shared" si="10"/>
        <v>1.1599999999999999</v>
      </c>
      <c r="M46" s="12">
        <f t="shared" si="11"/>
        <v>2.0099999999999998</v>
      </c>
      <c r="N46" s="12">
        <f t="shared" si="12"/>
        <v>9.9700000000000006</v>
      </c>
      <c r="O46" s="12">
        <f t="shared" si="13"/>
        <v>232.8</v>
      </c>
      <c r="P46" s="5" t="str">
        <f>IF(M46&lt;=Controls!$B$2,"NORMAL",IF(M46&lt;=Controls!$B$3,"CAUTION","BLOCK"))</f>
        <v>NORMAL</v>
      </c>
      <c r="Q46" s="5" t="str">
        <f>IF(P46="BLOCK","Hold",IF(L46&gt;Controls!$B$4,"Hold",IF(P46="CAUTION","Drop",IF(G46&lt;0.25,IF(MOD(ROW(),13)=0,"Turn Left",IF(MOD(ROW(),9)=0,"Turn Right",IF(F46&lt;0.08,"Build","Hold"))),IF(F46&lt;0.08,"Build","Hold")))))</f>
        <v>Build</v>
      </c>
      <c r="R46" s="12">
        <f>ROUND(MAX(0.35,MIN(0.95,0.92 - 0.06*MAX(0,M46-Controls!$B$2) - 0.05*MAX(0,L46-Controls!$B$4) - 0.01*ABS(C46-50) + 0.04*(1-G46))),2)</f>
        <v>0.93</v>
      </c>
      <c r="S46" s="5" t="str">
        <f>IF(P46="BLOCK","BLOCKED",IF(R46&lt;Controls!$B$7,"REDUCED","ACCEPTED"))</f>
        <v>ACCEPTED</v>
      </c>
      <c r="T46" s="5" t="str">
        <f>IF(P46="BLOCK","LIMIT_EXCEEDED - DLS above "&amp;TEXT(Controls!$B$3,"0.0")&amp;" deg/100ft",IF(P46="CAUTION","DLS above operating limit - reduce aggressiveness",IF(L46&gt;Controls!$B$4,"High vibration - hold trajectory",IF(OR(C46&lt;Controls!$B$5,C46&gt;Controls!$B$6),"WOB outside preferred band","Normal operation"))))</f>
        <v>Normal operation</v>
      </c>
    </row>
    <row r="47" spans="1:20" x14ac:dyDescent="0.3">
      <c r="A47" s="7">
        <f>Raw_Data!A47</f>
        <v>3540</v>
      </c>
      <c r="B47" s="8">
        <f>Raw_Data!B47</f>
        <v>45256.052000000003</v>
      </c>
      <c r="C47" s="9">
        <f t="shared" si="7"/>
        <v>45.256052000000004</v>
      </c>
      <c r="D47" s="9">
        <f>ROUND(Controls!$B$8 + (Raw_Data!C47-Controls!$B$12)/MAX(0.000001,(Controls!$B$13-Controls!$B$12))*(Controls!$B$9-Controls!$B$8),1)</f>
        <v>136.6</v>
      </c>
      <c r="E47" s="9">
        <f>ROUND(Controls!$B$10 + (Raw_Data!D47-Controls!$B$14)/MAX(0.000001,(Controls!$B$15-Controls!$B$14))*(Controls!$B$11-Controls!$B$10),1)</f>
        <v>69.599999999999994</v>
      </c>
      <c r="F47" s="10">
        <f>Raw_Data!E47</f>
        <v>6.6195214451999995E-2</v>
      </c>
      <c r="G47" s="10">
        <f>Raw_Data!F47</f>
        <v>9.6113033570999998E-2</v>
      </c>
      <c r="H47" s="10">
        <f>Raw_Data!G47</f>
        <v>1</v>
      </c>
      <c r="I47" s="10">
        <f>Raw_Data!H47</f>
        <v>1E-3</v>
      </c>
      <c r="J47" s="5" t="str">
        <f t="shared" si="8"/>
        <v>Cleaner sand</v>
      </c>
      <c r="K47" s="11">
        <f t="shared" si="9"/>
        <v>15.8</v>
      </c>
      <c r="L47" s="12">
        <f t="shared" si="10"/>
        <v>1.17</v>
      </c>
      <c r="M47" s="12">
        <f t="shared" si="11"/>
        <v>2.0499999999999998</v>
      </c>
      <c r="N47" s="12">
        <f t="shared" si="12"/>
        <v>9.68</v>
      </c>
      <c r="O47" s="12">
        <f t="shared" si="13"/>
        <v>234.6</v>
      </c>
      <c r="P47" s="5" t="str">
        <f>IF(M47&lt;=Controls!$B$2,"NORMAL",IF(M47&lt;=Controls!$B$3,"CAUTION","BLOCK"))</f>
        <v>NORMAL</v>
      </c>
      <c r="Q47" s="5" t="str">
        <f>IF(P47="BLOCK","Hold",IF(L47&gt;Controls!$B$4,"Hold",IF(P47="CAUTION","Drop",IF(G47&lt;0.25,IF(MOD(ROW(),13)=0,"Turn Left",IF(MOD(ROW(),9)=0,"Turn Right",IF(F47&lt;0.08,"Build","Hold"))),IF(F47&lt;0.08,"Build","Hold")))))</f>
        <v>Build</v>
      </c>
      <c r="R47" s="12">
        <f>ROUND(MAX(0.35,MIN(0.95,0.92 - 0.06*MAX(0,M47-Controls!$B$2) - 0.05*MAX(0,L47-Controls!$B$4) - 0.01*ABS(C47-50) + 0.04*(1-G47))),2)</f>
        <v>0.91</v>
      </c>
      <c r="S47" s="5" t="str">
        <f>IF(P47="BLOCK","BLOCKED",IF(R47&lt;Controls!$B$7,"REDUCED","ACCEPTED"))</f>
        <v>ACCEPTED</v>
      </c>
      <c r="T47" s="5" t="str">
        <f>IF(P47="BLOCK","LIMIT_EXCEEDED - DLS above "&amp;TEXT(Controls!$B$3,"0.0")&amp;" deg/100ft",IF(P47="CAUTION","DLS above operating limit - reduce aggressiveness",IF(L47&gt;Controls!$B$4,"High vibration - hold trajectory",IF(OR(C47&lt;Controls!$B$5,C47&gt;Controls!$B$6),"WOB outside preferred band","Normal operation"))))</f>
        <v>Normal operation</v>
      </c>
    </row>
    <row r="48" spans="1:20" x14ac:dyDescent="0.3">
      <c r="A48" s="7">
        <f>Raw_Data!A48</f>
        <v>3545</v>
      </c>
      <c r="B48" s="8">
        <f>Raw_Data!B48</f>
        <v>24169.525000000001</v>
      </c>
      <c r="C48" s="9">
        <f t="shared" si="7"/>
        <v>24.169525</v>
      </c>
      <c r="D48" s="9">
        <f>ROUND(Controls!$B$8 + (Raw_Data!C48-Controls!$B$12)/MAX(0.000001,(Controls!$B$13-Controls!$B$12))*(Controls!$B$9-Controls!$B$8),1)</f>
        <v>136.5</v>
      </c>
      <c r="E48" s="9">
        <f>ROUND(Controls!$B$10 + (Raw_Data!D48-Controls!$B$14)/MAX(0.000001,(Controls!$B$15-Controls!$B$14))*(Controls!$B$11-Controls!$B$10),1)</f>
        <v>69.5</v>
      </c>
      <c r="F48" s="10">
        <f>Raw_Data!E48</f>
        <v>9.3641539309000002E-2</v>
      </c>
      <c r="G48" s="10">
        <f>Raw_Data!F48</f>
        <v>7.4818295406000004E-2</v>
      </c>
      <c r="H48" s="10">
        <f>Raw_Data!G48</f>
        <v>0.99995851113599998</v>
      </c>
      <c r="I48" s="10">
        <f>Raw_Data!H48</f>
        <v>1E-3</v>
      </c>
      <c r="J48" s="5" t="str">
        <f t="shared" si="8"/>
        <v>Cleaner sand</v>
      </c>
      <c r="K48" s="11">
        <f t="shared" si="9"/>
        <v>12.2</v>
      </c>
      <c r="L48" s="12">
        <f t="shared" si="10"/>
        <v>1.1399999999999999</v>
      </c>
      <c r="M48" s="12">
        <f t="shared" si="11"/>
        <v>1.96</v>
      </c>
      <c r="N48" s="12">
        <f t="shared" si="12"/>
        <v>9.3800000000000008</v>
      </c>
      <c r="O48" s="12">
        <f t="shared" si="13"/>
        <v>235.1</v>
      </c>
      <c r="P48" s="5" t="str">
        <f>IF(M48&lt;=Controls!$B$2,"NORMAL",IF(M48&lt;=Controls!$B$3,"CAUTION","BLOCK"))</f>
        <v>NORMAL</v>
      </c>
      <c r="Q48" s="5" t="str">
        <f>IF(P48="BLOCK","Hold",IF(L48&gt;Controls!$B$4,"Hold",IF(P48="CAUTION","Drop",IF(G48&lt;0.25,IF(MOD(ROW(),13)=0,"Turn Left",IF(MOD(ROW(),9)=0,"Turn Right",IF(F48&lt;0.08,"Build","Hold"))),IF(F48&lt;0.08,"Build","Hold")))))</f>
        <v>Hold</v>
      </c>
      <c r="R48" s="12">
        <f>ROUND(MAX(0.35,MIN(0.95,0.92 - 0.06*MAX(0,M48-Controls!$B$2) - 0.05*MAX(0,L48-Controls!$B$4) - 0.01*ABS(C48-50) + 0.04*(1-G48))),2)</f>
        <v>0.7</v>
      </c>
      <c r="S48" s="5" t="str">
        <f>IF(P48="BLOCK","BLOCKED",IF(R48&lt;Controls!$B$7,"REDUCED","ACCEPTED"))</f>
        <v>ACCEPTED</v>
      </c>
      <c r="T48" s="5" t="str">
        <f>IF(P48="BLOCK","LIMIT_EXCEEDED - DLS above "&amp;TEXT(Controls!$B$3,"0.0")&amp;" deg/100ft",IF(P48="CAUTION","DLS above operating limit - reduce aggressiveness",IF(L48&gt;Controls!$B$4,"High vibration - hold trajectory",IF(OR(C48&lt;Controls!$B$5,C48&gt;Controls!$B$6),"WOB outside preferred band","Normal operation"))))</f>
        <v>Normal operation</v>
      </c>
    </row>
    <row r="49" spans="1:20" x14ac:dyDescent="0.3">
      <c r="A49" s="7">
        <f>Raw_Data!A49</f>
        <v>3550</v>
      </c>
      <c r="B49" s="8">
        <f>Raw_Data!B49</f>
        <v>25216.4179999999</v>
      </c>
      <c r="C49" s="9">
        <f t="shared" si="7"/>
        <v>25.216417999999898</v>
      </c>
      <c r="D49" s="9">
        <f>ROUND(Controls!$B$8 + (Raw_Data!C49-Controls!$B$12)/MAX(0.000001,(Controls!$B$13-Controls!$B$12))*(Controls!$B$9-Controls!$B$8),1)</f>
        <v>136.69999999999999</v>
      </c>
      <c r="E49" s="9">
        <f>ROUND(Controls!$B$10 + (Raw_Data!D49-Controls!$B$14)/MAX(0.000001,(Controls!$B$15-Controls!$B$14))*(Controls!$B$11-Controls!$B$10),1)</f>
        <v>69.5</v>
      </c>
      <c r="F49" s="10">
        <f>Raw_Data!E49</f>
        <v>6.6022211957000004E-2</v>
      </c>
      <c r="G49" s="10">
        <f>Raw_Data!F49</f>
        <v>0.15184274166799999</v>
      </c>
      <c r="H49" s="10">
        <f>Raw_Data!G49</f>
        <v>1</v>
      </c>
      <c r="I49" s="10">
        <f>Raw_Data!H49</f>
        <v>1E-3</v>
      </c>
      <c r="J49" s="5" t="str">
        <f t="shared" si="8"/>
        <v>Cleaner sand</v>
      </c>
      <c r="K49" s="11">
        <f t="shared" si="9"/>
        <v>13</v>
      </c>
      <c r="L49" s="12">
        <f t="shared" si="10"/>
        <v>1.25</v>
      </c>
      <c r="M49" s="12">
        <f t="shared" si="11"/>
        <v>2.2799999999999998</v>
      </c>
      <c r="N49" s="12">
        <f t="shared" si="12"/>
        <v>9.11</v>
      </c>
      <c r="O49" s="12">
        <f t="shared" si="13"/>
        <v>236.9</v>
      </c>
      <c r="P49" s="5" t="str">
        <f>IF(M49&lt;=Controls!$B$2,"NORMAL",IF(M49&lt;=Controls!$B$3,"CAUTION","BLOCK"))</f>
        <v>NORMAL</v>
      </c>
      <c r="Q49" s="5" t="str">
        <f>IF(P49="BLOCK","Hold",IF(L49&gt;Controls!$B$4,"Hold",IF(P49="CAUTION","Drop",IF(G49&lt;0.25,IF(MOD(ROW(),13)=0,"Turn Left",IF(MOD(ROW(),9)=0,"Turn Right",IF(F49&lt;0.08,"Build","Hold"))),IF(F49&lt;0.08,"Build","Hold")))))</f>
        <v>Build</v>
      </c>
      <c r="R49" s="12">
        <f>ROUND(MAX(0.35,MIN(0.95,0.92 - 0.06*MAX(0,M49-Controls!$B$2) - 0.05*MAX(0,L49-Controls!$B$4) - 0.01*ABS(C49-50) + 0.04*(1-G49))),2)</f>
        <v>0.71</v>
      </c>
      <c r="S49" s="5" t="str">
        <f>IF(P49="BLOCK","BLOCKED",IF(R49&lt;Controls!$B$7,"REDUCED","ACCEPTED"))</f>
        <v>ACCEPTED</v>
      </c>
      <c r="T49" s="5" t="str">
        <f>IF(P49="BLOCK","LIMIT_EXCEEDED - DLS above "&amp;TEXT(Controls!$B$3,"0.0")&amp;" deg/100ft",IF(P49="CAUTION","DLS above operating limit - reduce aggressiveness",IF(L49&gt;Controls!$B$4,"High vibration - hold trajectory",IF(OR(C49&lt;Controls!$B$5,C49&gt;Controls!$B$6),"WOB outside preferred band","Normal operation"))))</f>
        <v>Normal operation</v>
      </c>
    </row>
    <row r="50" spans="1:20" x14ac:dyDescent="0.3">
      <c r="A50" s="7">
        <f>Raw_Data!A50</f>
        <v>3555</v>
      </c>
      <c r="B50" s="8">
        <f>Raw_Data!B50</f>
        <v>35156.044000000002</v>
      </c>
      <c r="C50" s="9">
        <f t="shared" si="7"/>
        <v>35.156044000000001</v>
      </c>
      <c r="D50" s="9">
        <f>ROUND(Controls!$B$8 + (Raw_Data!C50-Controls!$B$12)/MAX(0.000001,(Controls!$B$13-Controls!$B$12))*(Controls!$B$9-Controls!$B$8),1)</f>
        <v>136.30000000000001</v>
      </c>
      <c r="E50" s="9">
        <f>ROUND(Controls!$B$10 + (Raw_Data!D50-Controls!$B$14)/MAX(0.000001,(Controls!$B$15-Controls!$B$14))*(Controls!$B$11-Controls!$B$10),1)</f>
        <v>69.5</v>
      </c>
      <c r="F50" s="10">
        <f>Raw_Data!E50</f>
        <v>7.0435349132000002E-2</v>
      </c>
      <c r="G50" s="10">
        <f>Raw_Data!F50</f>
        <v>0.18363266683500001</v>
      </c>
      <c r="H50" s="10">
        <f>Raw_Data!G50</f>
        <v>1</v>
      </c>
      <c r="I50" s="10">
        <f>Raw_Data!H50</f>
        <v>1E-3</v>
      </c>
      <c r="J50" s="5" t="str">
        <f t="shared" si="8"/>
        <v>Cleaner sand</v>
      </c>
      <c r="K50" s="11">
        <f t="shared" si="9"/>
        <v>14.8</v>
      </c>
      <c r="L50" s="12">
        <f t="shared" si="10"/>
        <v>1.29</v>
      </c>
      <c r="M50" s="12">
        <f t="shared" si="11"/>
        <v>2.4</v>
      </c>
      <c r="N50" s="12">
        <f t="shared" si="12"/>
        <v>8.86</v>
      </c>
      <c r="O50" s="12">
        <f t="shared" si="13"/>
        <v>238.7</v>
      </c>
      <c r="P50" s="5" t="str">
        <f>IF(M50&lt;=Controls!$B$2,"NORMAL",IF(M50&lt;=Controls!$B$3,"CAUTION","BLOCK"))</f>
        <v>NORMAL</v>
      </c>
      <c r="Q50" s="5" t="str">
        <f>IF(P50="BLOCK","Hold",IF(L50&gt;Controls!$B$4,"Hold",IF(P50="CAUTION","Drop",IF(G50&lt;0.25,IF(MOD(ROW(),13)=0,"Turn Left",IF(MOD(ROW(),9)=0,"Turn Right",IF(F50&lt;0.08,"Build","Hold"))),IF(F50&lt;0.08,"Build","Hold")))))</f>
        <v>Build</v>
      </c>
      <c r="R50" s="12">
        <f>ROUND(MAX(0.35,MIN(0.95,0.92 - 0.06*MAX(0,M50-Controls!$B$2) - 0.05*MAX(0,L50-Controls!$B$4) - 0.01*ABS(C50-50) + 0.04*(1-G50))),2)</f>
        <v>0.8</v>
      </c>
      <c r="S50" s="5" t="str">
        <f>IF(P50="BLOCK","BLOCKED",IF(R50&lt;Controls!$B$7,"REDUCED","ACCEPTED"))</f>
        <v>ACCEPTED</v>
      </c>
      <c r="T50" s="5" t="str">
        <f>IF(P50="BLOCK","LIMIT_EXCEEDED - DLS above "&amp;TEXT(Controls!$B$3,"0.0")&amp;" deg/100ft",IF(P50="CAUTION","DLS above operating limit - reduce aggressiveness",IF(L50&gt;Controls!$B$4,"High vibration - hold trajectory",IF(OR(C50&lt;Controls!$B$5,C50&gt;Controls!$B$6),"WOB outside preferred band","Normal operation"))))</f>
        <v>Normal operation</v>
      </c>
    </row>
    <row r="51" spans="1:20" x14ac:dyDescent="0.3">
      <c r="A51" s="7">
        <f>Raw_Data!A51</f>
        <v>3560</v>
      </c>
      <c r="B51" s="8">
        <f>Raw_Data!B51</f>
        <v>38720.898000000001</v>
      </c>
      <c r="C51" s="9">
        <f t="shared" si="7"/>
        <v>38.720897999999998</v>
      </c>
      <c r="D51" s="9">
        <f>ROUND(Controls!$B$8 + (Raw_Data!C51-Controls!$B$12)/MAX(0.000001,(Controls!$B$13-Controls!$B$12))*(Controls!$B$9-Controls!$B$8),1)</f>
        <v>136.6</v>
      </c>
      <c r="E51" s="9">
        <f>ROUND(Controls!$B$10 + (Raw_Data!D51-Controls!$B$14)/MAX(0.000001,(Controls!$B$15-Controls!$B$14))*(Controls!$B$11-Controls!$B$10),1)</f>
        <v>65.400000000000006</v>
      </c>
      <c r="F51" s="10">
        <f>Raw_Data!E51</f>
        <v>5.7836556677000002E-2</v>
      </c>
      <c r="G51" s="10">
        <f>Raw_Data!F51</f>
        <v>0.15562490250200001</v>
      </c>
      <c r="H51" s="10">
        <f>Raw_Data!G51</f>
        <v>1</v>
      </c>
      <c r="I51" s="10">
        <f>Raw_Data!H51</f>
        <v>1E-3</v>
      </c>
      <c r="J51" s="5" t="str">
        <f t="shared" si="8"/>
        <v>Cleaner sand</v>
      </c>
      <c r="K51" s="11">
        <f t="shared" si="9"/>
        <v>15.2</v>
      </c>
      <c r="L51" s="12">
        <f t="shared" si="10"/>
        <v>1.75</v>
      </c>
      <c r="M51" s="12">
        <f t="shared" si="11"/>
        <v>2.4900000000000002</v>
      </c>
      <c r="N51" s="12">
        <f t="shared" si="12"/>
        <v>8.6199999999999992</v>
      </c>
      <c r="O51" s="12">
        <f t="shared" si="13"/>
        <v>240.5</v>
      </c>
      <c r="P51" s="5" t="str">
        <f>IF(M51&lt;=Controls!$B$2,"NORMAL",IF(M51&lt;=Controls!$B$3,"CAUTION","BLOCK"))</f>
        <v>NORMAL</v>
      </c>
      <c r="Q51" s="5" t="str">
        <f>IF(P51="BLOCK","Hold",IF(L51&gt;Controls!$B$4,"Hold",IF(P51="CAUTION","Drop",IF(G51&lt;0.25,IF(MOD(ROW(),13)=0,"Turn Left",IF(MOD(ROW(),9)=0,"Turn Right",IF(F51&lt;0.08,"Build","Hold"))),IF(F51&lt;0.08,"Build","Hold")))))</f>
        <v>Build</v>
      </c>
      <c r="R51" s="12">
        <f>ROUND(MAX(0.35,MIN(0.95,0.92 - 0.06*MAX(0,M51-Controls!$B$2) - 0.05*MAX(0,L51-Controls!$B$4) - 0.01*ABS(C51-50) + 0.04*(1-G51))),2)</f>
        <v>0.84</v>
      </c>
      <c r="S51" s="5" t="str">
        <f>IF(P51="BLOCK","BLOCKED",IF(R51&lt;Controls!$B$7,"REDUCED","ACCEPTED"))</f>
        <v>ACCEPTED</v>
      </c>
      <c r="T51" s="5" t="str">
        <f>IF(P51="BLOCK","LIMIT_EXCEEDED - DLS above "&amp;TEXT(Controls!$B$3,"0.0")&amp;" deg/100ft",IF(P51="CAUTION","DLS above operating limit - reduce aggressiveness",IF(L51&gt;Controls!$B$4,"High vibration - hold trajectory",IF(OR(C51&lt;Controls!$B$5,C51&gt;Controls!$B$6),"WOB outside preferred band","Normal operation"))))</f>
        <v>Normal operation</v>
      </c>
    </row>
    <row r="52" spans="1:20" x14ac:dyDescent="0.3">
      <c r="A52" s="7">
        <f>Raw_Data!A52</f>
        <v>3565</v>
      </c>
      <c r="B52" s="8">
        <f>Raw_Data!B52</f>
        <v>50070.0629999999</v>
      </c>
      <c r="C52" s="9">
        <f t="shared" si="7"/>
        <v>50.070062999999898</v>
      </c>
      <c r="D52" s="9">
        <f>ROUND(Controls!$B$8 + (Raw_Data!C52-Controls!$B$12)/MAX(0.000001,(Controls!$B$13-Controls!$B$12))*(Controls!$B$9-Controls!$B$8),1)</f>
        <v>136.6</v>
      </c>
      <c r="E52" s="9">
        <f>ROUND(Controls!$B$10 + (Raw_Data!D52-Controls!$B$14)/MAX(0.000001,(Controls!$B$15-Controls!$B$14))*(Controls!$B$11-Controls!$B$10),1)</f>
        <v>65.3</v>
      </c>
      <c r="F52" s="10">
        <f>Raw_Data!E52</f>
        <v>4.6429117834E-2</v>
      </c>
      <c r="G52" s="10">
        <f>Raw_Data!F52</f>
        <v>0.24154043503700001</v>
      </c>
      <c r="H52" s="10">
        <f>Raw_Data!G52</f>
        <v>0.99512027429899996</v>
      </c>
      <c r="I52" s="10">
        <f>Raw_Data!H52</f>
        <v>1E-3</v>
      </c>
      <c r="J52" s="5" t="str">
        <f t="shared" si="8"/>
        <v>Cleaner sand</v>
      </c>
      <c r="K52" s="11">
        <f t="shared" si="9"/>
        <v>17.600000000000001</v>
      </c>
      <c r="L52" s="12">
        <f t="shared" si="10"/>
        <v>1.37</v>
      </c>
      <c r="M52" s="12">
        <f t="shared" si="11"/>
        <v>2.65</v>
      </c>
      <c r="N52" s="12">
        <f t="shared" si="12"/>
        <v>8.4</v>
      </c>
      <c r="O52" s="12">
        <f t="shared" si="13"/>
        <v>238.7</v>
      </c>
      <c r="P52" s="5" t="str">
        <f>IF(M52&lt;=Controls!$B$2,"NORMAL",IF(M52&lt;=Controls!$B$3,"CAUTION","BLOCK"))</f>
        <v>NORMAL</v>
      </c>
      <c r="Q52" s="5" t="str">
        <f>IF(P52="BLOCK","Hold",IF(L52&gt;Controls!$B$4,"Hold",IF(P52="CAUTION","Drop",IF(G52&lt;0.25,IF(MOD(ROW(),13)=0,"Turn Left",IF(MOD(ROW(),9)=0,"Turn Right",IF(F52&lt;0.08,"Build","Hold"))),IF(F52&lt;0.08,"Build","Hold")))))</f>
        <v>Turn Left</v>
      </c>
      <c r="R52" s="12">
        <f>ROUND(MAX(0.35,MIN(0.95,0.92 - 0.06*MAX(0,M52-Controls!$B$2) - 0.05*MAX(0,L52-Controls!$B$4) - 0.01*ABS(C52-50) + 0.04*(1-G52))),2)</f>
        <v>0.95</v>
      </c>
      <c r="S52" s="5" t="str">
        <f>IF(P52="BLOCK","BLOCKED",IF(R52&lt;Controls!$B$7,"REDUCED","ACCEPTED"))</f>
        <v>ACCEPTED</v>
      </c>
      <c r="T52" s="5" t="str">
        <f>IF(P52="BLOCK","LIMIT_EXCEEDED - DLS above "&amp;TEXT(Controls!$B$3,"0.0")&amp;" deg/100ft",IF(P52="CAUTION","DLS above operating limit - reduce aggressiveness",IF(L52&gt;Controls!$B$4,"High vibration - hold trajectory",IF(OR(C52&lt;Controls!$B$5,C52&gt;Controls!$B$6),"WOB outside preferred band","Normal operation"))))</f>
        <v>Normal operation</v>
      </c>
    </row>
    <row r="53" spans="1:20" x14ac:dyDescent="0.3">
      <c r="A53" s="7">
        <f>Raw_Data!A53</f>
        <v>3580</v>
      </c>
      <c r="B53" s="8">
        <f>Raw_Data!B53</f>
        <v>35255.786</v>
      </c>
      <c r="C53" s="9">
        <f t="shared" si="7"/>
        <v>35.255786000000001</v>
      </c>
      <c r="D53" s="9">
        <f>ROUND(Controls!$B$8 + (Raw_Data!C53-Controls!$B$12)/MAX(0.000001,(Controls!$B$13-Controls!$B$12))*(Controls!$B$9-Controls!$B$8),1)</f>
        <v>136.5</v>
      </c>
      <c r="E53" s="9">
        <f>ROUND(Controls!$B$10 + (Raw_Data!D53-Controls!$B$14)/MAX(0.000001,(Controls!$B$15-Controls!$B$14))*(Controls!$B$11-Controls!$B$10),1)</f>
        <v>69.5</v>
      </c>
      <c r="F53" s="10">
        <f>Raw_Data!E53</f>
        <v>5.0159946556E-2</v>
      </c>
      <c r="G53" s="10">
        <f>Raw_Data!F53</f>
        <v>0.208637022452</v>
      </c>
      <c r="H53" s="10">
        <f>Raw_Data!G53</f>
        <v>1.000395106382</v>
      </c>
      <c r="I53" s="10">
        <f>Raw_Data!H53</f>
        <v>1E-3</v>
      </c>
      <c r="J53" s="5" t="str">
        <f t="shared" si="8"/>
        <v>Cleaner sand</v>
      </c>
      <c r="K53" s="11">
        <f t="shared" si="9"/>
        <v>15</v>
      </c>
      <c r="L53" s="12">
        <f t="shared" si="10"/>
        <v>1.33</v>
      </c>
      <c r="M53" s="12">
        <f t="shared" si="11"/>
        <v>2.5099999999999998</v>
      </c>
      <c r="N53" s="12">
        <f t="shared" si="12"/>
        <v>8.16</v>
      </c>
      <c r="O53" s="12">
        <f t="shared" si="13"/>
        <v>240.5</v>
      </c>
      <c r="P53" s="5" t="str">
        <f>IF(M53&lt;=Controls!$B$2,"NORMAL",IF(M53&lt;=Controls!$B$3,"CAUTION","BLOCK"))</f>
        <v>NORMAL</v>
      </c>
      <c r="Q53" s="5" t="str">
        <f>IF(P53="BLOCK","Hold",IF(L53&gt;Controls!$B$4,"Hold",IF(P53="CAUTION","Drop",IF(G53&lt;0.25,IF(MOD(ROW(),13)=0,"Turn Left",IF(MOD(ROW(),9)=0,"Turn Right",IF(F53&lt;0.08,"Build","Hold"))),IF(F53&lt;0.08,"Build","Hold")))))</f>
        <v>Build</v>
      </c>
      <c r="R53" s="12">
        <f>ROUND(MAX(0.35,MIN(0.95,0.92 - 0.06*MAX(0,M53-Controls!$B$2) - 0.05*MAX(0,L53-Controls!$B$4) - 0.01*ABS(C53-50) + 0.04*(1-G53))),2)</f>
        <v>0.8</v>
      </c>
      <c r="S53" s="5" t="str">
        <f>IF(P53="BLOCK","BLOCKED",IF(R53&lt;Controls!$B$7,"REDUCED","ACCEPTED"))</f>
        <v>ACCEPTED</v>
      </c>
      <c r="T53" s="5" t="str">
        <f>IF(P53="BLOCK","LIMIT_EXCEEDED - DLS above "&amp;TEXT(Controls!$B$3,"0.0")&amp;" deg/100ft",IF(P53="CAUTION","DLS above operating limit - reduce aggressiveness",IF(L53&gt;Controls!$B$4,"High vibration - hold trajectory",IF(OR(C53&lt;Controls!$B$5,C53&gt;Controls!$B$6),"WOB outside preferred band","Normal operation"))))</f>
        <v>Normal operation</v>
      </c>
    </row>
    <row r="54" spans="1:20" x14ac:dyDescent="0.3">
      <c r="A54" s="7">
        <f>Raw_Data!A54</f>
        <v>3585</v>
      </c>
      <c r="B54" s="8">
        <f>Raw_Data!B54</f>
        <v>40459.226000000002</v>
      </c>
      <c r="C54" s="9">
        <f t="shared" si="7"/>
        <v>40.459226000000001</v>
      </c>
      <c r="D54" s="9">
        <f>ROUND(Controls!$B$8 + (Raw_Data!C54-Controls!$B$12)/MAX(0.000001,(Controls!$B$13-Controls!$B$12))*(Controls!$B$9-Controls!$B$8),1)</f>
        <v>136.6</v>
      </c>
      <c r="E54" s="9">
        <f>ROUND(Controls!$B$10 + (Raw_Data!D54-Controls!$B$14)/MAX(0.000001,(Controls!$B$15-Controls!$B$14))*(Controls!$B$11-Controls!$B$10),1)</f>
        <v>69.5</v>
      </c>
      <c r="F54" s="10">
        <f>Raw_Data!E54</f>
        <v>5.4152831748999999E-2</v>
      </c>
      <c r="G54" s="10">
        <f>Raw_Data!F54</f>
        <v>9.8029687374000002E-2</v>
      </c>
      <c r="H54" s="10">
        <f>Raw_Data!G54</f>
        <v>1.000000409863</v>
      </c>
      <c r="I54" s="10">
        <f>Raw_Data!H54</f>
        <v>1E-3</v>
      </c>
      <c r="J54" s="5" t="str">
        <f t="shared" si="8"/>
        <v>Cleaner sand</v>
      </c>
      <c r="K54" s="11">
        <f t="shared" si="9"/>
        <v>15.1</v>
      </c>
      <c r="L54" s="12">
        <f t="shared" si="10"/>
        <v>1.17</v>
      </c>
      <c r="M54" s="12">
        <f t="shared" si="11"/>
        <v>2.0499999999999998</v>
      </c>
      <c r="N54" s="12">
        <f t="shared" si="12"/>
        <v>7.87</v>
      </c>
      <c r="O54" s="12">
        <f t="shared" si="13"/>
        <v>242.3</v>
      </c>
      <c r="P54" s="5" t="str">
        <f>IF(M54&lt;=Controls!$B$2,"NORMAL",IF(M54&lt;=Controls!$B$3,"CAUTION","BLOCK"))</f>
        <v>NORMAL</v>
      </c>
      <c r="Q54" s="5" t="str">
        <f>IF(P54="BLOCK","Hold",IF(L54&gt;Controls!$B$4,"Hold",IF(P54="CAUTION","Drop",IF(G54&lt;0.25,IF(MOD(ROW(),13)=0,"Turn Left",IF(MOD(ROW(),9)=0,"Turn Right",IF(F54&lt;0.08,"Build","Hold"))),IF(F54&lt;0.08,"Build","Hold")))))</f>
        <v>Turn Right</v>
      </c>
      <c r="R54" s="12">
        <f>ROUND(MAX(0.35,MIN(0.95,0.92 - 0.06*MAX(0,M54-Controls!$B$2) - 0.05*MAX(0,L54-Controls!$B$4) - 0.01*ABS(C54-50) + 0.04*(1-G54))),2)</f>
        <v>0.86</v>
      </c>
      <c r="S54" s="5" t="str">
        <f>IF(P54="BLOCK","BLOCKED",IF(R54&lt;Controls!$B$7,"REDUCED","ACCEPTED"))</f>
        <v>ACCEPTED</v>
      </c>
      <c r="T54" s="5" t="str">
        <f>IF(P54="BLOCK","LIMIT_EXCEEDED - DLS above "&amp;TEXT(Controls!$B$3,"0.0")&amp;" deg/100ft",IF(P54="CAUTION","DLS above operating limit - reduce aggressiveness",IF(L54&gt;Controls!$B$4,"High vibration - hold trajectory",IF(OR(C54&lt;Controls!$B$5,C54&gt;Controls!$B$6),"WOB outside preferred band","Normal operation"))))</f>
        <v>Normal operation</v>
      </c>
    </row>
    <row r="55" spans="1:20" x14ac:dyDescent="0.3">
      <c r="A55" s="7">
        <f>Raw_Data!A55</f>
        <v>3590</v>
      </c>
      <c r="B55" s="8">
        <f>Raw_Data!B55</f>
        <v>53818.567999999999</v>
      </c>
      <c r="C55" s="9">
        <f t="shared" si="7"/>
        <v>53.818567999999999</v>
      </c>
      <c r="D55" s="9">
        <f>ROUND(Controls!$B$8 + (Raw_Data!C55-Controls!$B$12)/MAX(0.000001,(Controls!$B$13-Controls!$B$12))*(Controls!$B$9-Controls!$B$8),1)</f>
        <v>136.30000000000001</v>
      </c>
      <c r="E55" s="9">
        <f>ROUND(Controls!$B$10 + (Raw_Data!D55-Controls!$B$14)/MAX(0.000001,(Controls!$B$15-Controls!$B$14))*(Controls!$B$11-Controls!$B$10),1)</f>
        <v>69</v>
      </c>
      <c r="F55" s="10">
        <f>Raw_Data!E55</f>
        <v>4.1167096551000003E-2</v>
      </c>
      <c r="G55" s="10">
        <f>Raw_Data!F55</f>
        <v>0.212177893669</v>
      </c>
      <c r="H55" s="10">
        <f>Raw_Data!G55</f>
        <v>1</v>
      </c>
      <c r="I55" s="10">
        <f>Raw_Data!H55</f>
        <v>1E-3</v>
      </c>
      <c r="J55" s="5" t="str">
        <f t="shared" si="8"/>
        <v>Cleaner sand</v>
      </c>
      <c r="K55" s="11">
        <f t="shared" si="9"/>
        <v>18</v>
      </c>
      <c r="L55" s="12">
        <f t="shared" si="10"/>
        <v>1.33</v>
      </c>
      <c r="M55" s="12">
        <f t="shared" si="11"/>
        <v>2.52</v>
      </c>
      <c r="N55" s="12">
        <f t="shared" si="12"/>
        <v>7.63</v>
      </c>
      <c r="O55" s="12">
        <f t="shared" si="13"/>
        <v>244.1</v>
      </c>
      <c r="P55" s="5" t="str">
        <f>IF(M55&lt;=Controls!$B$2,"NORMAL",IF(M55&lt;=Controls!$B$3,"CAUTION","BLOCK"))</f>
        <v>NORMAL</v>
      </c>
      <c r="Q55" s="5" t="str">
        <f>IF(P55="BLOCK","Hold",IF(L55&gt;Controls!$B$4,"Hold",IF(P55="CAUTION","Drop",IF(G55&lt;0.25,IF(MOD(ROW(),13)=0,"Turn Left",IF(MOD(ROW(),9)=0,"Turn Right",IF(F55&lt;0.08,"Build","Hold"))),IF(F55&lt;0.08,"Build","Hold")))))</f>
        <v>Build</v>
      </c>
      <c r="R55" s="12">
        <f>ROUND(MAX(0.35,MIN(0.95,0.92 - 0.06*MAX(0,M55-Controls!$B$2) - 0.05*MAX(0,L55-Controls!$B$4) - 0.01*ABS(C55-50) + 0.04*(1-G55))),2)</f>
        <v>0.91</v>
      </c>
      <c r="S55" s="5" t="str">
        <f>IF(P55="BLOCK","BLOCKED",IF(R55&lt;Controls!$B$7,"REDUCED","ACCEPTED"))</f>
        <v>ACCEPTED</v>
      </c>
      <c r="T55" s="5" t="str">
        <f>IF(P55="BLOCK","LIMIT_EXCEEDED - DLS above "&amp;TEXT(Controls!$B$3,"0.0")&amp;" deg/100ft",IF(P55="CAUTION","DLS above operating limit - reduce aggressiveness",IF(L55&gt;Controls!$B$4,"High vibration - hold trajectory",IF(OR(C55&lt;Controls!$B$5,C55&gt;Controls!$B$6),"WOB outside preferred band","Normal operation"))))</f>
        <v>Normal operation</v>
      </c>
    </row>
    <row r="56" spans="1:20" x14ac:dyDescent="0.3">
      <c r="A56" s="7">
        <f>Raw_Data!A56</f>
        <v>3595</v>
      </c>
      <c r="B56" s="8">
        <f>Raw_Data!B56</f>
        <v>47348.517</v>
      </c>
      <c r="C56" s="9">
        <f t="shared" si="7"/>
        <v>47.348517000000001</v>
      </c>
      <c r="D56" s="9">
        <f>ROUND(Controls!$B$8 + (Raw_Data!C56-Controls!$B$12)/MAX(0.000001,(Controls!$B$13-Controls!$B$12))*(Controls!$B$9-Controls!$B$8),1)</f>
        <v>136.5</v>
      </c>
      <c r="E56" s="9">
        <f>ROUND(Controls!$B$10 + (Raw_Data!D56-Controls!$B$14)/MAX(0.000001,(Controls!$B$15-Controls!$B$14))*(Controls!$B$11-Controls!$B$10),1)</f>
        <v>50.4</v>
      </c>
      <c r="F56" s="10">
        <f>Raw_Data!E56</f>
        <v>3.8702673856E-2</v>
      </c>
      <c r="G56" s="10">
        <f>Raw_Data!F56</f>
        <v>7.4519684599000005E-2</v>
      </c>
      <c r="H56" s="10">
        <f>Raw_Data!G56</f>
        <v>1</v>
      </c>
      <c r="I56" s="10">
        <f>Raw_Data!H56</f>
        <v>1E-3</v>
      </c>
      <c r="J56" s="5" t="str">
        <f t="shared" si="8"/>
        <v>Cleaner sand</v>
      </c>
      <c r="K56" s="11">
        <f t="shared" si="9"/>
        <v>16</v>
      </c>
      <c r="L56" s="12">
        <f t="shared" si="10"/>
        <v>1.1399999999999999</v>
      </c>
      <c r="M56" s="12">
        <f t="shared" si="11"/>
        <v>1.95</v>
      </c>
      <c r="N56" s="12">
        <f t="shared" si="12"/>
        <v>7.32</v>
      </c>
      <c r="O56" s="12">
        <f t="shared" si="13"/>
        <v>245.9</v>
      </c>
      <c r="P56" s="5" t="str">
        <f>IF(M56&lt;=Controls!$B$2,"NORMAL",IF(M56&lt;=Controls!$B$3,"CAUTION","BLOCK"))</f>
        <v>NORMAL</v>
      </c>
      <c r="Q56" s="5" t="str">
        <f>IF(P56="BLOCK","Hold",IF(L56&gt;Controls!$B$4,"Hold",IF(P56="CAUTION","Drop",IF(G56&lt;0.25,IF(MOD(ROW(),13)=0,"Turn Left",IF(MOD(ROW(),9)=0,"Turn Right",IF(F56&lt;0.08,"Build","Hold"))),IF(F56&lt;0.08,"Build","Hold")))))</f>
        <v>Build</v>
      </c>
      <c r="R56" s="12">
        <f>ROUND(MAX(0.35,MIN(0.95,0.92 - 0.06*MAX(0,M56-Controls!$B$2) - 0.05*MAX(0,L56-Controls!$B$4) - 0.01*ABS(C56-50) + 0.04*(1-G56))),2)</f>
        <v>0.93</v>
      </c>
      <c r="S56" s="5" t="str">
        <f>IF(P56="BLOCK","BLOCKED",IF(R56&lt;Controls!$B$7,"REDUCED","ACCEPTED"))</f>
        <v>ACCEPTED</v>
      </c>
      <c r="T56" s="5" t="str">
        <f>IF(P56="BLOCK","LIMIT_EXCEEDED - DLS above "&amp;TEXT(Controls!$B$3,"0.0")&amp;" deg/100ft",IF(P56="CAUTION","DLS above operating limit - reduce aggressiveness",IF(L56&gt;Controls!$B$4,"High vibration - hold trajectory",IF(OR(C56&lt;Controls!$B$5,C56&gt;Controls!$B$6),"WOB outside preferred band","Normal operation"))))</f>
        <v>Normal operation</v>
      </c>
    </row>
    <row r="57" spans="1:20" x14ac:dyDescent="0.3">
      <c r="A57" s="7">
        <f>Raw_Data!A57</f>
        <v>3600</v>
      </c>
      <c r="B57" s="8">
        <f>Raw_Data!B57</f>
        <v>47973.154999999999</v>
      </c>
      <c r="C57" s="9">
        <f t="shared" si="7"/>
        <v>47.973154999999998</v>
      </c>
      <c r="D57" s="9">
        <f>ROUND(Controls!$B$8 + (Raw_Data!C57-Controls!$B$12)/MAX(0.000001,(Controls!$B$13-Controls!$B$12))*(Controls!$B$9-Controls!$B$8),1)</f>
        <v>136.5</v>
      </c>
      <c r="E57" s="9">
        <f>ROUND(Controls!$B$10 + (Raw_Data!D57-Controls!$B$14)/MAX(0.000001,(Controls!$B$15-Controls!$B$14))*(Controls!$B$11-Controls!$B$10),1)</f>
        <v>53.2</v>
      </c>
      <c r="F57" s="10">
        <f>Raw_Data!E57</f>
        <v>2.5062359005999998E-2</v>
      </c>
      <c r="G57" s="10">
        <f>Raw_Data!F57</f>
        <v>4.9672503373999997E-2</v>
      </c>
      <c r="H57" s="10">
        <f>Raw_Data!G57</f>
        <v>1</v>
      </c>
      <c r="I57" s="10">
        <f>Raw_Data!H57</f>
        <v>1E-3</v>
      </c>
      <c r="J57" s="5" t="str">
        <f t="shared" si="8"/>
        <v>Cleaner sand</v>
      </c>
      <c r="K57" s="11">
        <f t="shared" si="9"/>
        <v>16</v>
      </c>
      <c r="L57" s="12">
        <f t="shared" si="10"/>
        <v>1.1000000000000001</v>
      </c>
      <c r="M57" s="12">
        <f t="shared" si="11"/>
        <v>1.85</v>
      </c>
      <c r="N57" s="12">
        <f t="shared" si="12"/>
        <v>7</v>
      </c>
      <c r="O57" s="12">
        <f t="shared" si="13"/>
        <v>247.7</v>
      </c>
      <c r="P57" s="5" t="str">
        <f>IF(M57&lt;=Controls!$B$2,"NORMAL",IF(M57&lt;=Controls!$B$3,"CAUTION","BLOCK"))</f>
        <v>NORMAL</v>
      </c>
      <c r="Q57" s="5" t="str">
        <f>IF(P57="BLOCK","Hold",IF(L57&gt;Controls!$B$4,"Hold",IF(P57="CAUTION","Drop",IF(G57&lt;0.25,IF(MOD(ROW(),13)=0,"Turn Left",IF(MOD(ROW(),9)=0,"Turn Right",IF(F57&lt;0.08,"Build","Hold"))),IF(F57&lt;0.08,"Build","Hold")))))</f>
        <v>Build</v>
      </c>
      <c r="R57" s="12">
        <f>ROUND(MAX(0.35,MIN(0.95,0.92 - 0.06*MAX(0,M57-Controls!$B$2) - 0.05*MAX(0,L57-Controls!$B$4) - 0.01*ABS(C57-50) + 0.04*(1-G57))),2)</f>
        <v>0.94</v>
      </c>
      <c r="S57" s="5" t="str">
        <f>IF(P57="BLOCK","BLOCKED",IF(R57&lt;Controls!$B$7,"REDUCED","ACCEPTED"))</f>
        <v>ACCEPTED</v>
      </c>
      <c r="T57" s="5" t="str">
        <f>IF(P57="BLOCK","LIMIT_EXCEEDED - DLS above "&amp;TEXT(Controls!$B$3,"0.0")&amp;" deg/100ft",IF(P57="CAUTION","DLS above operating limit - reduce aggressiveness",IF(L57&gt;Controls!$B$4,"High vibration - hold trajectory",IF(OR(C57&lt;Controls!$B$5,C57&gt;Controls!$B$6),"WOB outside preferred band","Normal operation"))))</f>
        <v>Normal operation</v>
      </c>
    </row>
    <row r="58" spans="1:20" x14ac:dyDescent="0.3">
      <c r="A58" s="7">
        <f>Raw_Data!A58</f>
        <v>3605</v>
      </c>
      <c r="B58" s="8">
        <f>Raw_Data!B58</f>
        <v>57163.252</v>
      </c>
      <c r="C58" s="9">
        <f t="shared" si="7"/>
        <v>57.163252</v>
      </c>
      <c r="D58" s="9">
        <f>ROUND(Controls!$B$8 + (Raw_Data!C58-Controls!$B$12)/MAX(0.000001,(Controls!$B$13-Controls!$B$12))*(Controls!$B$9-Controls!$B$8),1)</f>
        <v>136.6</v>
      </c>
      <c r="E58" s="9">
        <f>ROUND(Controls!$B$10 + (Raw_Data!D58-Controls!$B$14)/MAX(0.000001,(Controls!$B$15-Controls!$B$14))*(Controls!$B$11-Controls!$B$10),1)</f>
        <v>56.5</v>
      </c>
      <c r="F58" s="10">
        <f>Raw_Data!E58</f>
        <v>3.255305646E-2</v>
      </c>
      <c r="G58" s="10">
        <f>Raw_Data!F58</f>
        <v>5.3979295995000003E-2</v>
      </c>
      <c r="H58" s="10">
        <f>Raw_Data!G58</f>
        <v>1</v>
      </c>
      <c r="I58" s="10">
        <f>Raw_Data!H58</f>
        <v>1E-3</v>
      </c>
      <c r="J58" s="5" t="str">
        <f t="shared" si="8"/>
        <v>Cleaner sand</v>
      </c>
      <c r="K58" s="11">
        <f t="shared" si="9"/>
        <v>17.5</v>
      </c>
      <c r="L58" s="12">
        <f t="shared" si="10"/>
        <v>1.1499999999999999</v>
      </c>
      <c r="M58" s="12">
        <f t="shared" si="11"/>
        <v>1.89</v>
      </c>
      <c r="N58" s="12">
        <f t="shared" si="12"/>
        <v>6.69</v>
      </c>
      <c r="O58" s="12">
        <f t="shared" si="13"/>
        <v>249.5</v>
      </c>
      <c r="P58" s="5" t="str">
        <f>IF(M58&lt;=Controls!$B$2,"NORMAL",IF(M58&lt;=Controls!$B$3,"CAUTION","BLOCK"))</f>
        <v>NORMAL</v>
      </c>
      <c r="Q58" s="5" t="str">
        <f>IF(P58="BLOCK","Hold",IF(L58&gt;Controls!$B$4,"Hold",IF(P58="CAUTION","Drop",IF(G58&lt;0.25,IF(MOD(ROW(),13)=0,"Turn Left",IF(MOD(ROW(),9)=0,"Turn Right",IF(F58&lt;0.08,"Build","Hold"))),IF(F58&lt;0.08,"Build","Hold")))))</f>
        <v>Build</v>
      </c>
      <c r="R58" s="12">
        <f>ROUND(MAX(0.35,MIN(0.95,0.92 - 0.06*MAX(0,M58-Controls!$B$2) - 0.05*MAX(0,L58-Controls!$B$4) - 0.01*ABS(C58-50) + 0.04*(1-G58))),2)</f>
        <v>0.89</v>
      </c>
      <c r="S58" s="5" t="str">
        <f>IF(P58="BLOCK","BLOCKED",IF(R58&lt;Controls!$B$7,"REDUCED","ACCEPTED"))</f>
        <v>ACCEPTED</v>
      </c>
      <c r="T58" s="5" t="str">
        <f>IF(P58="BLOCK","LIMIT_EXCEEDED - DLS above "&amp;TEXT(Controls!$B$3,"0.0")&amp;" deg/100ft",IF(P58="CAUTION","DLS above operating limit - reduce aggressiveness",IF(L58&gt;Controls!$B$4,"High vibration - hold trajectory",IF(OR(C58&lt;Controls!$B$5,C58&gt;Controls!$B$6),"WOB outside preferred band","Normal operation"))))</f>
        <v>Normal operation</v>
      </c>
    </row>
    <row r="59" spans="1:20" x14ac:dyDescent="0.3">
      <c r="A59" s="7">
        <f>Raw_Data!A59</f>
        <v>3610</v>
      </c>
      <c r="B59" s="8">
        <f>Raw_Data!B59</f>
        <v>54784.334000000003</v>
      </c>
      <c r="C59" s="9">
        <f t="shared" si="7"/>
        <v>54.784334000000001</v>
      </c>
      <c r="D59" s="9">
        <f>ROUND(Controls!$B$8 + (Raw_Data!C59-Controls!$B$12)/MAX(0.000001,(Controls!$B$13-Controls!$B$12))*(Controls!$B$9-Controls!$B$8),1)</f>
        <v>136.5</v>
      </c>
      <c r="E59" s="9">
        <f>ROUND(Controls!$B$10 + (Raw_Data!D59-Controls!$B$14)/MAX(0.000001,(Controls!$B$15-Controls!$B$14))*(Controls!$B$11-Controls!$B$10),1)</f>
        <v>61.5</v>
      </c>
      <c r="F59" s="10">
        <f>Raw_Data!E59</f>
        <v>2.1621591034E-2</v>
      </c>
      <c r="G59" s="10">
        <f>Raw_Data!F59</f>
        <v>4.9450714803999998E-2</v>
      </c>
      <c r="H59" s="10">
        <f>Raw_Data!G59</f>
        <v>1</v>
      </c>
      <c r="I59" s="10">
        <f>Raw_Data!H59</f>
        <v>1E-3</v>
      </c>
      <c r="J59" s="5" t="str">
        <f t="shared" si="8"/>
        <v>Cleaner sand</v>
      </c>
      <c r="K59" s="11">
        <f t="shared" si="9"/>
        <v>17.100000000000001</v>
      </c>
      <c r="L59" s="12">
        <f t="shared" si="10"/>
        <v>1.1000000000000001</v>
      </c>
      <c r="M59" s="12">
        <f t="shared" si="11"/>
        <v>1.85</v>
      </c>
      <c r="N59" s="12">
        <f t="shared" si="12"/>
        <v>6.37</v>
      </c>
      <c r="O59" s="12">
        <f t="shared" si="13"/>
        <v>251.3</v>
      </c>
      <c r="P59" s="5" t="str">
        <f>IF(M59&lt;=Controls!$B$2,"NORMAL",IF(M59&lt;=Controls!$B$3,"CAUTION","BLOCK"))</f>
        <v>NORMAL</v>
      </c>
      <c r="Q59" s="5" t="str">
        <f>IF(P59="BLOCK","Hold",IF(L59&gt;Controls!$B$4,"Hold",IF(P59="CAUTION","Drop",IF(G59&lt;0.25,IF(MOD(ROW(),13)=0,"Turn Left",IF(MOD(ROW(),9)=0,"Turn Right",IF(F59&lt;0.08,"Build","Hold"))),IF(F59&lt;0.08,"Build","Hold")))))</f>
        <v>Build</v>
      </c>
      <c r="R59" s="12">
        <f>ROUND(MAX(0.35,MIN(0.95,0.92 - 0.06*MAX(0,M59-Controls!$B$2) - 0.05*MAX(0,L59-Controls!$B$4) - 0.01*ABS(C59-50) + 0.04*(1-G59))),2)</f>
        <v>0.91</v>
      </c>
      <c r="S59" s="5" t="str">
        <f>IF(P59="BLOCK","BLOCKED",IF(R59&lt;Controls!$B$7,"REDUCED","ACCEPTED"))</f>
        <v>ACCEPTED</v>
      </c>
      <c r="T59" s="5" t="str">
        <f>IF(P59="BLOCK","LIMIT_EXCEEDED - DLS above "&amp;TEXT(Controls!$B$3,"0.0")&amp;" deg/100ft",IF(P59="CAUTION","DLS above operating limit - reduce aggressiveness",IF(L59&gt;Controls!$B$4,"High vibration - hold trajectory",IF(OR(C59&lt;Controls!$B$5,C59&gt;Controls!$B$6),"WOB outside preferred band","Normal operation"))))</f>
        <v>Normal operation</v>
      </c>
    </row>
    <row r="60" spans="1:20" x14ac:dyDescent="0.3">
      <c r="A60" s="7">
        <f>Raw_Data!A60</f>
        <v>3615</v>
      </c>
      <c r="B60" s="8">
        <f>Raw_Data!B60</f>
        <v>31588.058999999899</v>
      </c>
      <c r="C60" s="9">
        <f t="shared" si="7"/>
        <v>31.588058999999898</v>
      </c>
      <c r="D60" s="9">
        <f>ROUND(Controls!$B$8 + (Raw_Data!C60-Controls!$B$12)/MAX(0.000001,(Controls!$B$13-Controls!$B$12))*(Controls!$B$9-Controls!$B$8),1)</f>
        <v>136.5</v>
      </c>
      <c r="E60" s="9">
        <f>ROUND(Controls!$B$10 + (Raw_Data!D60-Controls!$B$14)/MAX(0.000001,(Controls!$B$15-Controls!$B$14))*(Controls!$B$11-Controls!$B$10),1)</f>
        <v>69.099999999999994</v>
      </c>
      <c r="F60" s="10">
        <f>Raw_Data!E60</f>
        <v>3.7590961382E-2</v>
      </c>
      <c r="G60" s="10">
        <f>Raw_Data!F60</f>
        <v>0.36076594839199999</v>
      </c>
      <c r="H60" s="10">
        <f>Raw_Data!G60</f>
        <v>1</v>
      </c>
      <c r="I60" s="10">
        <f>Raw_Data!H60</f>
        <v>1E-3</v>
      </c>
      <c r="J60" s="5" t="str">
        <f t="shared" si="8"/>
        <v>Transition</v>
      </c>
      <c r="K60" s="11">
        <f t="shared" si="9"/>
        <v>15.5</v>
      </c>
      <c r="L60" s="12">
        <f t="shared" si="10"/>
        <v>1.54</v>
      </c>
      <c r="M60" s="12">
        <f t="shared" si="11"/>
        <v>3.14</v>
      </c>
      <c r="N60" s="12">
        <f t="shared" si="12"/>
        <v>6.21</v>
      </c>
      <c r="O60" s="12">
        <f t="shared" si="13"/>
        <v>253.1</v>
      </c>
      <c r="P60" s="5" t="str">
        <f>IF(M60&lt;=Controls!$B$2,"NORMAL",IF(M60&lt;=Controls!$B$3,"CAUTION","BLOCK"))</f>
        <v>NORMAL</v>
      </c>
      <c r="Q60" s="5" t="str">
        <f>IF(P60="BLOCK","Hold",IF(L60&gt;Controls!$B$4,"Hold",IF(P60="CAUTION","Drop",IF(G60&lt;0.25,IF(MOD(ROW(),13)=0,"Turn Left",IF(MOD(ROW(),9)=0,"Turn Right",IF(F60&lt;0.08,"Build","Hold"))),IF(F60&lt;0.08,"Build","Hold")))))</f>
        <v>Build</v>
      </c>
      <c r="R60" s="12">
        <f>ROUND(MAX(0.35,MIN(0.95,0.92 - 0.06*MAX(0,M60-Controls!$B$2) - 0.05*MAX(0,L60-Controls!$B$4) - 0.01*ABS(C60-50) + 0.04*(1-G60))),2)</f>
        <v>0.76</v>
      </c>
      <c r="S60" s="5" t="str">
        <f>IF(P60="BLOCK","BLOCKED",IF(R60&lt;Controls!$B$7,"REDUCED","ACCEPTED"))</f>
        <v>ACCEPTED</v>
      </c>
      <c r="T60" s="5" t="str">
        <f>IF(P60="BLOCK","LIMIT_EXCEEDED - DLS above "&amp;TEXT(Controls!$B$3,"0.0")&amp;" deg/100ft",IF(P60="CAUTION","DLS above operating limit - reduce aggressiveness",IF(L60&gt;Controls!$B$4,"High vibration - hold trajectory",IF(OR(C60&lt;Controls!$B$5,C60&gt;Controls!$B$6),"WOB outside preferred band","Normal operation"))))</f>
        <v>Normal operation</v>
      </c>
    </row>
    <row r="61" spans="1:20" x14ac:dyDescent="0.3">
      <c r="A61" s="7">
        <f>Raw_Data!A61</f>
        <v>3620</v>
      </c>
      <c r="B61" s="8">
        <f>Raw_Data!B61</f>
        <v>26071.437000000002</v>
      </c>
      <c r="C61" s="9">
        <f t="shared" si="7"/>
        <v>26.071437000000003</v>
      </c>
      <c r="D61" s="9">
        <f>ROUND(Controls!$B$8 + (Raw_Data!C61-Controls!$B$12)/MAX(0.000001,(Controls!$B$13-Controls!$B$12))*(Controls!$B$9-Controls!$B$8),1)</f>
        <v>136.5</v>
      </c>
      <c r="E61" s="9">
        <f>ROUND(Controls!$B$10 + (Raw_Data!D61-Controls!$B$14)/MAX(0.000001,(Controls!$B$15-Controls!$B$14))*(Controls!$B$11-Controls!$B$10),1)</f>
        <v>70.099999999999994</v>
      </c>
      <c r="F61" s="10">
        <f>Raw_Data!E61</f>
        <v>5.6720140028E-2</v>
      </c>
      <c r="G61" s="10">
        <f>Raw_Data!F61</f>
        <v>0.20886546715500001</v>
      </c>
      <c r="H61" s="10">
        <f>Raw_Data!G61</f>
        <v>0.99999999996900002</v>
      </c>
      <c r="I61" s="10">
        <f>Raw_Data!H61</f>
        <v>1E-3</v>
      </c>
      <c r="J61" s="5" t="str">
        <f t="shared" si="8"/>
        <v>Cleaner sand</v>
      </c>
      <c r="K61" s="11">
        <f t="shared" si="9"/>
        <v>13.5</v>
      </c>
      <c r="L61" s="12">
        <f t="shared" si="10"/>
        <v>1.33</v>
      </c>
      <c r="M61" s="12">
        <f t="shared" si="11"/>
        <v>2.5099999999999998</v>
      </c>
      <c r="N61" s="12">
        <f t="shared" si="12"/>
        <v>5.97</v>
      </c>
      <c r="O61" s="12">
        <f t="shared" si="13"/>
        <v>254.9</v>
      </c>
      <c r="P61" s="5" t="str">
        <f>IF(M61&lt;=Controls!$B$2,"NORMAL",IF(M61&lt;=Controls!$B$3,"CAUTION","BLOCK"))</f>
        <v>NORMAL</v>
      </c>
      <c r="Q61" s="5" t="str">
        <f>IF(P61="BLOCK","Hold",IF(L61&gt;Controls!$B$4,"Hold",IF(P61="CAUTION","Drop",IF(G61&lt;0.25,IF(MOD(ROW(),13)=0,"Turn Left",IF(MOD(ROW(),9)=0,"Turn Right",IF(F61&lt;0.08,"Build","Hold"))),IF(F61&lt;0.08,"Build","Hold")))))</f>
        <v>Build</v>
      </c>
      <c r="R61" s="12">
        <f>ROUND(MAX(0.35,MIN(0.95,0.92 - 0.06*MAX(0,M61-Controls!$B$2) - 0.05*MAX(0,L61-Controls!$B$4) - 0.01*ABS(C61-50) + 0.04*(1-G61))),2)</f>
        <v>0.71</v>
      </c>
      <c r="S61" s="5" t="str">
        <f>IF(P61="BLOCK","BLOCKED",IF(R61&lt;Controls!$B$7,"REDUCED","ACCEPTED"))</f>
        <v>ACCEPTED</v>
      </c>
      <c r="T61" s="5" t="str">
        <f>IF(P61="BLOCK","LIMIT_EXCEEDED - DLS above "&amp;TEXT(Controls!$B$3,"0.0")&amp;" deg/100ft",IF(P61="CAUTION","DLS above operating limit - reduce aggressiveness",IF(L61&gt;Controls!$B$4,"High vibration - hold trajectory",IF(OR(C61&lt;Controls!$B$5,C61&gt;Controls!$B$6),"WOB outside preferred band","Normal operation"))))</f>
        <v>Normal operation</v>
      </c>
    </row>
    <row r="62" spans="1:20" x14ac:dyDescent="0.3">
      <c r="A62" s="7">
        <f>Raw_Data!A62</f>
        <v>3625</v>
      </c>
      <c r="B62" s="8">
        <f>Raw_Data!B62</f>
        <v>17368.556</v>
      </c>
      <c r="C62" s="9">
        <f t="shared" si="7"/>
        <v>17.368556000000002</v>
      </c>
      <c r="D62" s="9">
        <f>ROUND(Controls!$B$8 + (Raw_Data!C62-Controls!$B$12)/MAX(0.000001,(Controls!$B$13-Controls!$B$12))*(Controls!$B$9-Controls!$B$8),1)</f>
        <v>136.6</v>
      </c>
      <c r="E62" s="9">
        <f>ROUND(Controls!$B$10 + (Raw_Data!D62-Controls!$B$14)/MAX(0.000001,(Controls!$B$15-Controls!$B$14))*(Controls!$B$11-Controls!$B$10),1)</f>
        <v>70.2</v>
      </c>
      <c r="F62" s="10">
        <f>Raw_Data!E62</f>
        <v>4.2520075677000002E-2</v>
      </c>
      <c r="G62" s="10">
        <f>Raw_Data!F62</f>
        <v>0.191015705684</v>
      </c>
      <c r="H62" s="10">
        <f>Raw_Data!G62</f>
        <v>0.99953342271199996</v>
      </c>
      <c r="I62" s="10">
        <f>Raw_Data!H62</f>
        <v>1E-3</v>
      </c>
      <c r="J62" s="5" t="str">
        <f t="shared" si="8"/>
        <v>Cleaner sand</v>
      </c>
      <c r="K62" s="11">
        <f t="shared" si="9"/>
        <v>12</v>
      </c>
      <c r="L62" s="12">
        <f t="shared" si="10"/>
        <v>1.3</v>
      </c>
      <c r="M62" s="12">
        <f t="shared" si="11"/>
        <v>2.44</v>
      </c>
      <c r="N62" s="12">
        <f t="shared" si="12"/>
        <v>5.72</v>
      </c>
      <c r="O62" s="12">
        <f t="shared" si="13"/>
        <v>256.7</v>
      </c>
      <c r="P62" s="5" t="str">
        <f>IF(M62&lt;=Controls!$B$2,"NORMAL",IF(M62&lt;=Controls!$B$3,"CAUTION","BLOCK"))</f>
        <v>NORMAL</v>
      </c>
      <c r="Q62" s="5" t="str">
        <f>IF(P62="BLOCK","Hold",IF(L62&gt;Controls!$B$4,"Hold",IF(P62="CAUTION","Drop",IF(G62&lt;0.25,IF(MOD(ROW(),13)=0,"Turn Left",IF(MOD(ROW(),9)=0,"Turn Right",IF(F62&lt;0.08,"Build","Hold"))),IF(F62&lt;0.08,"Build","Hold")))))</f>
        <v>Build</v>
      </c>
      <c r="R62" s="12">
        <f>ROUND(MAX(0.35,MIN(0.95,0.92 - 0.06*MAX(0,M62-Controls!$B$2) - 0.05*MAX(0,L62-Controls!$B$4) - 0.01*ABS(C62-50) + 0.04*(1-G62))),2)</f>
        <v>0.63</v>
      </c>
      <c r="S62" s="5" t="str">
        <f>IF(P62="BLOCK","BLOCKED",IF(R62&lt;Controls!$B$7,"REDUCED","ACCEPTED"))</f>
        <v>ACCEPTED</v>
      </c>
      <c r="T62" s="5" t="str">
        <f>IF(P62="BLOCK","LIMIT_EXCEEDED - DLS above "&amp;TEXT(Controls!$B$3,"0.0")&amp;" deg/100ft",IF(P62="CAUTION","DLS above operating limit - reduce aggressiveness",IF(L62&gt;Controls!$B$4,"High vibration - hold trajectory",IF(OR(C62&lt;Controls!$B$5,C62&gt;Controls!$B$6),"WOB outside preferred band","Normal operation"))))</f>
        <v>WOB outside preferred band</v>
      </c>
    </row>
    <row r="63" spans="1:20" x14ac:dyDescent="0.3">
      <c r="A63" s="7">
        <f>Raw_Data!A63</f>
        <v>3630</v>
      </c>
      <c r="B63" s="8">
        <f>Raw_Data!B63</f>
        <v>35515.373</v>
      </c>
      <c r="C63" s="9">
        <f t="shared" si="7"/>
        <v>35.515372999999997</v>
      </c>
      <c r="D63" s="9">
        <f>ROUND(Controls!$B$8 + (Raw_Data!C63-Controls!$B$12)/MAX(0.000001,(Controls!$B$13-Controls!$B$12))*(Controls!$B$9-Controls!$B$8),1)</f>
        <v>136.6</v>
      </c>
      <c r="E63" s="9">
        <f>ROUND(Controls!$B$10 + (Raw_Data!D63-Controls!$B$14)/MAX(0.000001,(Controls!$B$15-Controls!$B$14))*(Controls!$B$11-Controls!$B$10),1)</f>
        <v>69.599999999999994</v>
      </c>
      <c r="F63" s="10">
        <f>Raw_Data!E63</f>
        <v>5.1678663869999999E-3</v>
      </c>
      <c r="G63" s="10">
        <f>Raw_Data!F63</f>
        <v>0.163397118935</v>
      </c>
      <c r="H63" s="10">
        <f>Raw_Data!G63</f>
        <v>1</v>
      </c>
      <c r="I63" s="10">
        <f>Raw_Data!H63</f>
        <v>1E-3</v>
      </c>
      <c r="J63" s="5" t="str">
        <f t="shared" si="8"/>
        <v>Cleaner sand</v>
      </c>
      <c r="K63" s="11">
        <f t="shared" si="9"/>
        <v>14.8</v>
      </c>
      <c r="L63" s="12">
        <f t="shared" si="10"/>
        <v>1.26</v>
      </c>
      <c r="M63" s="12">
        <f t="shared" si="11"/>
        <v>2.3199999999999998</v>
      </c>
      <c r="N63" s="12">
        <f t="shared" si="12"/>
        <v>5.46</v>
      </c>
      <c r="O63" s="12">
        <f t="shared" si="13"/>
        <v>258.5</v>
      </c>
      <c r="P63" s="5" t="str">
        <f>IF(M63&lt;=Controls!$B$2,"NORMAL",IF(M63&lt;=Controls!$B$3,"CAUTION","BLOCK"))</f>
        <v>NORMAL</v>
      </c>
      <c r="Q63" s="5" t="str">
        <f>IF(P63="BLOCK","Hold",IF(L63&gt;Controls!$B$4,"Hold",IF(P63="CAUTION","Drop",IF(G63&lt;0.25,IF(MOD(ROW(),13)=0,"Turn Left",IF(MOD(ROW(),9)=0,"Turn Right",IF(F63&lt;0.08,"Build","Hold"))),IF(F63&lt;0.08,"Build","Hold")))))</f>
        <v>Turn Right</v>
      </c>
      <c r="R63" s="12">
        <f>ROUND(MAX(0.35,MIN(0.95,0.92 - 0.06*MAX(0,M63-Controls!$B$2) - 0.05*MAX(0,L63-Controls!$B$4) - 0.01*ABS(C63-50) + 0.04*(1-G63))),2)</f>
        <v>0.81</v>
      </c>
      <c r="S63" s="5" t="str">
        <f>IF(P63="BLOCK","BLOCKED",IF(R63&lt;Controls!$B$7,"REDUCED","ACCEPTED"))</f>
        <v>ACCEPTED</v>
      </c>
      <c r="T63" s="5" t="str">
        <f>IF(P63="BLOCK","LIMIT_EXCEEDED - DLS above "&amp;TEXT(Controls!$B$3,"0.0")&amp;" deg/100ft",IF(P63="CAUTION","DLS above operating limit - reduce aggressiveness",IF(L63&gt;Controls!$B$4,"High vibration - hold trajectory",IF(OR(C63&lt;Controls!$B$5,C63&gt;Controls!$B$6),"WOB outside preferred band","Normal operation"))))</f>
        <v>Normal operation</v>
      </c>
    </row>
    <row r="64" spans="1:20" x14ac:dyDescent="0.3">
      <c r="A64" s="7">
        <f>Raw_Data!A64</f>
        <v>3635</v>
      </c>
      <c r="B64" s="8">
        <f>Raw_Data!B64</f>
        <v>37465.438999999998</v>
      </c>
      <c r="C64" s="9">
        <f t="shared" si="7"/>
        <v>37.465438999999996</v>
      </c>
      <c r="D64" s="9">
        <f>ROUND(Controls!$B$8 + (Raw_Data!C64-Controls!$B$12)/MAX(0.000001,(Controls!$B$13-Controls!$B$12))*(Controls!$B$9-Controls!$B$8),1)</f>
        <v>136.5</v>
      </c>
      <c r="E64" s="9">
        <f>ROUND(Controls!$B$10 + (Raw_Data!D64-Controls!$B$14)/MAX(0.000001,(Controls!$B$15-Controls!$B$14))*(Controls!$B$11-Controls!$B$10),1)</f>
        <v>69.5</v>
      </c>
      <c r="F64" s="10">
        <f>Raw_Data!E64</f>
        <v>2.7181720220999999E-2</v>
      </c>
      <c r="G64" s="10">
        <f>Raw_Data!F64</f>
        <v>0.17686788647400001</v>
      </c>
      <c r="H64" s="10">
        <f>Raw_Data!G64</f>
        <v>1</v>
      </c>
      <c r="I64" s="10">
        <f>Raw_Data!H64</f>
        <v>1E-3</v>
      </c>
      <c r="J64" s="5" t="str">
        <f t="shared" si="8"/>
        <v>Cleaner sand</v>
      </c>
      <c r="K64" s="11">
        <f t="shared" si="9"/>
        <v>15.2</v>
      </c>
      <c r="L64" s="12">
        <f t="shared" si="10"/>
        <v>1.28</v>
      </c>
      <c r="M64" s="12">
        <f t="shared" si="11"/>
        <v>2.38</v>
      </c>
      <c r="N64" s="12">
        <f t="shared" si="12"/>
        <v>5.21</v>
      </c>
      <c r="O64" s="12">
        <f t="shared" si="13"/>
        <v>260.3</v>
      </c>
      <c r="P64" s="5" t="str">
        <f>IF(M64&lt;=Controls!$B$2,"NORMAL",IF(M64&lt;=Controls!$B$3,"CAUTION","BLOCK"))</f>
        <v>NORMAL</v>
      </c>
      <c r="Q64" s="5" t="str">
        <f>IF(P64="BLOCK","Hold",IF(L64&gt;Controls!$B$4,"Hold",IF(P64="CAUTION","Drop",IF(G64&lt;0.25,IF(MOD(ROW(),13)=0,"Turn Left",IF(MOD(ROW(),9)=0,"Turn Right",IF(F64&lt;0.08,"Build","Hold"))),IF(F64&lt;0.08,"Build","Hold")))))</f>
        <v>Build</v>
      </c>
      <c r="R64" s="12">
        <f>ROUND(MAX(0.35,MIN(0.95,0.92 - 0.06*MAX(0,M64-Controls!$B$2) - 0.05*MAX(0,L64-Controls!$B$4) - 0.01*ABS(C64-50) + 0.04*(1-G64))),2)</f>
        <v>0.83</v>
      </c>
      <c r="S64" s="5" t="str">
        <f>IF(P64="BLOCK","BLOCKED",IF(R64&lt;Controls!$B$7,"REDUCED","ACCEPTED"))</f>
        <v>ACCEPTED</v>
      </c>
      <c r="T64" s="5" t="str">
        <f>IF(P64="BLOCK","LIMIT_EXCEEDED - DLS above "&amp;TEXT(Controls!$B$3,"0.0")&amp;" deg/100ft",IF(P64="CAUTION","DLS above operating limit - reduce aggressiveness",IF(L64&gt;Controls!$B$4,"High vibration - hold trajectory",IF(OR(C64&lt;Controls!$B$5,C64&gt;Controls!$B$6),"WOB outside preferred band","Normal operation"))))</f>
        <v>Normal operation</v>
      </c>
    </row>
    <row r="65" spans="1:20" x14ac:dyDescent="0.3">
      <c r="A65" s="7">
        <f>Raw_Data!A65</f>
        <v>3640</v>
      </c>
      <c r="B65" s="8">
        <f>Raw_Data!B65</f>
        <v>39125.127</v>
      </c>
      <c r="C65" s="9">
        <f t="shared" si="7"/>
        <v>39.125126999999999</v>
      </c>
      <c r="D65" s="9">
        <f>ROUND(Controls!$B$8 + (Raw_Data!C65-Controls!$B$12)/MAX(0.000001,(Controls!$B$13-Controls!$B$12))*(Controls!$B$9-Controls!$B$8),1)</f>
        <v>136.5</v>
      </c>
      <c r="E65" s="9">
        <f>ROUND(Controls!$B$10 + (Raw_Data!D65-Controls!$B$14)/MAX(0.000001,(Controls!$B$15-Controls!$B$14))*(Controls!$B$11-Controls!$B$10),1)</f>
        <v>64.8</v>
      </c>
      <c r="F65" s="10">
        <f>Raw_Data!E65</f>
        <v>4.760377155E-2</v>
      </c>
      <c r="G65" s="10">
        <f>Raw_Data!F65</f>
        <v>0.22402310396799999</v>
      </c>
      <c r="H65" s="10">
        <f>Raw_Data!G65</f>
        <v>1</v>
      </c>
      <c r="I65" s="10">
        <f>Raw_Data!H65</f>
        <v>1E-3</v>
      </c>
      <c r="J65" s="5" t="str">
        <f t="shared" si="8"/>
        <v>Cleaner sand</v>
      </c>
      <c r="K65" s="11">
        <f t="shared" si="9"/>
        <v>15.7</v>
      </c>
      <c r="L65" s="12">
        <f t="shared" si="10"/>
        <v>1.35</v>
      </c>
      <c r="M65" s="12">
        <f t="shared" si="11"/>
        <v>2.58</v>
      </c>
      <c r="N65" s="12">
        <f t="shared" si="12"/>
        <v>4.9800000000000004</v>
      </c>
      <c r="O65" s="12">
        <f t="shared" si="13"/>
        <v>258.5</v>
      </c>
      <c r="P65" s="5" t="str">
        <f>IF(M65&lt;=Controls!$B$2,"NORMAL",IF(M65&lt;=Controls!$B$3,"CAUTION","BLOCK"))</f>
        <v>NORMAL</v>
      </c>
      <c r="Q65" s="5" t="str">
        <f>IF(P65="BLOCK","Hold",IF(L65&gt;Controls!$B$4,"Hold",IF(P65="CAUTION","Drop",IF(G65&lt;0.25,IF(MOD(ROW(),13)=0,"Turn Left",IF(MOD(ROW(),9)=0,"Turn Right",IF(F65&lt;0.08,"Build","Hold"))),IF(F65&lt;0.08,"Build","Hold")))))</f>
        <v>Turn Left</v>
      </c>
      <c r="R65" s="12">
        <f>ROUND(MAX(0.35,MIN(0.95,0.92 - 0.06*MAX(0,M65-Controls!$B$2) - 0.05*MAX(0,L65-Controls!$B$4) - 0.01*ABS(C65-50) + 0.04*(1-G65))),2)</f>
        <v>0.84</v>
      </c>
      <c r="S65" s="5" t="str">
        <f>IF(P65="BLOCK","BLOCKED",IF(R65&lt;Controls!$B$7,"REDUCED","ACCEPTED"))</f>
        <v>ACCEPTED</v>
      </c>
      <c r="T65" s="5" t="str">
        <f>IF(P65="BLOCK","LIMIT_EXCEEDED - DLS above "&amp;TEXT(Controls!$B$3,"0.0")&amp;" deg/100ft",IF(P65="CAUTION","DLS above operating limit - reduce aggressiveness",IF(L65&gt;Controls!$B$4,"High vibration - hold trajectory",IF(OR(C65&lt;Controls!$B$5,C65&gt;Controls!$B$6),"WOB outside preferred band","Normal operation"))))</f>
        <v>Normal operation</v>
      </c>
    </row>
    <row r="66" spans="1:20" x14ac:dyDescent="0.3">
      <c r="A66" s="7">
        <f>Raw_Data!A66</f>
        <v>3645</v>
      </c>
      <c r="B66" s="8">
        <f>Raw_Data!B66</f>
        <v>60931.909</v>
      </c>
      <c r="C66" s="9">
        <f t="shared" ref="C66:C97" si="14">B66/1000</f>
        <v>60.931908999999997</v>
      </c>
      <c r="D66" s="9">
        <f>ROUND(Controls!$B$8 + (Raw_Data!C66-Controls!$B$12)/MAX(0.000001,(Controls!$B$13-Controls!$B$12))*(Controls!$B$9-Controls!$B$8),1)</f>
        <v>136.6</v>
      </c>
      <c r="E66" s="9">
        <f>ROUND(Controls!$B$10 + (Raw_Data!D66-Controls!$B$14)/MAX(0.000001,(Controls!$B$15-Controls!$B$14))*(Controls!$B$11-Controls!$B$10),1)</f>
        <v>63.9</v>
      </c>
      <c r="F66" s="10">
        <f>Raw_Data!E66</f>
        <v>2.6774235755E-2</v>
      </c>
      <c r="G66" s="10">
        <f>Raw_Data!F66</f>
        <v>0.15563305341899999</v>
      </c>
      <c r="H66" s="10">
        <f>Raw_Data!G66</f>
        <v>1</v>
      </c>
      <c r="I66" s="10">
        <f>Raw_Data!H66</f>
        <v>1E-3</v>
      </c>
      <c r="J66" s="5" t="str">
        <f t="shared" ref="J66:J97" si="15">IF(G66&gt;=0.45,"Shale-prone",IF(G66&gt;=0.25,"Transition","Cleaner sand"))</f>
        <v>Cleaner sand</v>
      </c>
      <c r="K66" s="11">
        <f t="shared" ref="K66:K97" si="16">ROUND(6 + 0.16*C66 + 7*G66 + 2*(1-F66),1)</f>
        <v>18.8</v>
      </c>
      <c r="L66" s="12">
        <f t="shared" ref="L66:L97" si="17">ROUND(MIN(4.8,1 + ABS(D66-135)/45 + 1.4*G66 + 0.2*MAX(0,C66-55)/10 + IF(MOD(ROW(),17)=0,0.5,0)),2)</f>
        <v>1.37</v>
      </c>
      <c r="M66" s="12">
        <f t="shared" ref="M66:M97" si="18">ROUND(MIN(9.2,1.2 + 3.6*G66 + ABS(D66-135)/50 + 0.4*L66 + 0.3*MAX(0,C66-60)/10 + IF(A66&gt;=3700,1.6,0) + IF(A66&gt;=3860,1.1,0)),2)</f>
        <v>2.37</v>
      </c>
      <c r="N66" s="12">
        <f t="shared" si="12"/>
        <v>4.72</v>
      </c>
      <c r="O66" s="12">
        <f t="shared" si="13"/>
        <v>260.3</v>
      </c>
      <c r="P66" s="5" t="str">
        <f>IF(M66&lt;=Controls!$B$2,"NORMAL",IF(M66&lt;=Controls!$B$3,"CAUTION","BLOCK"))</f>
        <v>NORMAL</v>
      </c>
      <c r="Q66" s="5" t="str">
        <f>IF(P66="BLOCK","Hold",IF(L66&gt;Controls!$B$4,"Hold",IF(P66="CAUTION","Drop",IF(G66&lt;0.25,IF(MOD(ROW(),13)=0,"Turn Left",IF(MOD(ROW(),9)=0,"Turn Right",IF(F66&lt;0.08,"Build","Hold"))),IF(F66&lt;0.08,"Build","Hold")))))</f>
        <v>Build</v>
      </c>
      <c r="R66" s="12">
        <f>ROUND(MAX(0.35,MIN(0.95,0.92 - 0.06*MAX(0,M66-Controls!$B$2) - 0.05*MAX(0,L66-Controls!$B$4) - 0.01*ABS(C66-50) + 0.04*(1-G66))),2)</f>
        <v>0.84</v>
      </c>
      <c r="S66" s="5" t="str">
        <f>IF(P66="BLOCK","BLOCKED",IF(R66&lt;Controls!$B$7,"REDUCED","ACCEPTED"))</f>
        <v>ACCEPTED</v>
      </c>
      <c r="T66" s="5" t="str">
        <f>IF(P66="BLOCK","LIMIT_EXCEEDED - DLS above "&amp;TEXT(Controls!$B$3,"0.0")&amp;" deg/100ft",IF(P66="CAUTION","DLS above operating limit - reduce aggressiveness",IF(L66&gt;Controls!$B$4,"High vibration - hold trajectory",IF(OR(C66&lt;Controls!$B$5,C66&gt;Controls!$B$6),"WOB outside preferred band","Normal operation"))))</f>
        <v>Normal operation</v>
      </c>
    </row>
    <row r="67" spans="1:20" x14ac:dyDescent="0.3">
      <c r="A67" s="7">
        <f>Raw_Data!A67</f>
        <v>3650</v>
      </c>
      <c r="B67" s="8">
        <f>Raw_Data!B67</f>
        <v>51585.1859999999</v>
      </c>
      <c r="C67" s="9">
        <f t="shared" si="14"/>
        <v>51.585185999999901</v>
      </c>
      <c r="D67" s="9">
        <f>ROUND(Controls!$B$8 + (Raw_Data!C67-Controls!$B$12)/MAX(0.000001,(Controls!$B$13-Controls!$B$12))*(Controls!$B$9-Controls!$B$8),1)</f>
        <v>136.6</v>
      </c>
      <c r="E67" s="9">
        <f>ROUND(Controls!$B$10 + (Raw_Data!D67-Controls!$B$14)/MAX(0.000001,(Controls!$B$15-Controls!$B$14))*(Controls!$B$11-Controls!$B$10),1)</f>
        <v>69.2</v>
      </c>
      <c r="F67" s="10">
        <f>Raw_Data!E67</f>
        <v>0.10633942879699999</v>
      </c>
      <c r="G67" s="10">
        <f>Raw_Data!F67</f>
        <v>0.62547908653899997</v>
      </c>
      <c r="H67" s="10">
        <f>Raw_Data!G67</f>
        <v>1</v>
      </c>
      <c r="I67" s="10">
        <f>Raw_Data!H67</f>
        <v>1E-3</v>
      </c>
      <c r="J67" s="5" t="str">
        <f t="shared" si="15"/>
        <v>Shale-prone</v>
      </c>
      <c r="K67" s="11">
        <f t="shared" si="16"/>
        <v>20.399999999999999</v>
      </c>
      <c r="L67" s="12">
        <f t="shared" si="17"/>
        <v>1.91</v>
      </c>
      <c r="M67" s="12">
        <f t="shared" si="18"/>
        <v>4.25</v>
      </c>
      <c r="N67" s="12">
        <f t="shared" ref="N67:N98" si="19">ROUND(MAX(0,MIN(90,N66 + (M67-4.5)*0.12)),2)</f>
        <v>4.6900000000000004</v>
      </c>
      <c r="O67" s="12">
        <f t="shared" ref="O67:O98" si="20">ROUND(MOD(O66 + IF(OR(Q67="Turn Right",Q67="Build"),1.8,IF(Q67="Turn Left",-1.8,0.5)),360),2)</f>
        <v>260.8</v>
      </c>
      <c r="P67" s="5" t="str">
        <f>IF(M67&lt;=Controls!$B$2,"NORMAL",IF(M67&lt;=Controls!$B$3,"CAUTION","BLOCK"))</f>
        <v>NORMAL</v>
      </c>
      <c r="Q67" s="5" t="str">
        <f>IF(P67="BLOCK","Hold",IF(L67&gt;Controls!$B$4,"Hold",IF(P67="CAUTION","Drop",IF(G67&lt;0.25,IF(MOD(ROW(),13)=0,"Turn Left",IF(MOD(ROW(),9)=0,"Turn Right",IF(F67&lt;0.08,"Build","Hold"))),IF(F67&lt;0.08,"Build","Hold")))))</f>
        <v>Hold</v>
      </c>
      <c r="R67" s="12">
        <f>ROUND(MAX(0.35,MIN(0.95,0.92 - 0.06*MAX(0,M67-Controls!$B$2) - 0.05*MAX(0,L67-Controls!$B$4) - 0.01*ABS(C67-50) + 0.04*(1-G67))),2)</f>
        <v>0.92</v>
      </c>
      <c r="S67" s="5" t="str">
        <f>IF(P67="BLOCK","BLOCKED",IF(R67&lt;Controls!$B$7,"REDUCED","ACCEPTED"))</f>
        <v>ACCEPTED</v>
      </c>
      <c r="T67" s="5" t="str">
        <f>IF(P67="BLOCK","LIMIT_EXCEEDED - DLS above "&amp;TEXT(Controls!$B$3,"0.0")&amp;" deg/100ft",IF(P67="CAUTION","DLS above operating limit - reduce aggressiveness",IF(L67&gt;Controls!$B$4,"High vibration - hold trajectory",IF(OR(C67&lt;Controls!$B$5,C67&gt;Controls!$B$6),"WOB outside preferred band","Normal operation"))))</f>
        <v>Normal operation</v>
      </c>
    </row>
    <row r="68" spans="1:20" x14ac:dyDescent="0.3">
      <c r="A68" s="7">
        <f>Raw_Data!A68</f>
        <v>3655</v>
      </c>
      <c r="B68" s="8">
        <f>Raw_Data!B68</f>
        <v>36926.625</v>
      </c>
      <c r="C68" s="9">
        <f t="shared" si="14"/>
        <v>36.926625000000001</v>
      </c>
      <c r="D68" s="9">
        <f>ROUND(Controls!$B$8 + (Raw_Data!C68-Controls!$B$12)/MAX(0.000001,(Controls!$B$13-Controls!$B$12))*(Controls!$B$9-Controls!$B$8),1)</f>
        <v>136.4</v>
      </c>
      <c r="E68" s="9">
        <f>ROUND(Controls!$B$10 + (Raw_Data!D68-Controls!$B$14)/MAX(0.000001,(Controls!$B$15-Controls!$B$14))*(Controls!$B$11-Controls!$B$10),1)</f>
        <v>69.599999999999994</v>
      </c>
      <c r="F68" s="10">
        <f>Raw_Data!E68</f>
        <v>4.4834783757E-2</v>
      </c>
      <c r="G68" s="10">
        <f>Raw_Data!F68</f>
        <v>0.38771559853100002</v>
      </c>
      <c r="H68" s="10">
        <f>Raw_Data!G68</f>
        <v>1</v>
      </c>
      <c r="I68" s="10">
        <f>Raw_Data!H68</f>
        <v>1E-3</v>
      </c>
      <c r="J68" s="5" t="str">
        <f t="shared" si="15"/>
        <v>Transition</v>
      </c>
      <c r="K68" s="11">
        <f t="shared" si="16"/>
        <v>16.5</v>
      </c>
      <c r="L68" s="12">
        <f t="shared" si="17"/>
        <v>2.0699999999999998</v>
      </c>
      <c r="M68" s="12">
        <f t="shared" si="18"/>
        <v>3.45</v>
      </c>
      <c r="N68" s="12">
        <f t="shared" si="19"/>
        <v>4.5599999999999996</v>
      </c>
      <c r="O68" s="12">
        <f t="shared" si="20"/>
        <v>262.60000000000002</v>
      </c>
      <c r="P68" s="5" t="str">
        <f>IF(M68&lt;=Controls!$B$2,"NORMAL",IF(M68&lt;=Controls!$B$3,"CAUTION","BLOCK"))</f>
        <v>NORMAL</v>
      </c>
      <c r="Q68" s="5" t="str">
        <f>IF(P68="BLOCK","Hold",IF(L68&gt;Controls!$B$4,"Hold",IF(P68="CAUTION","Drop",IF(G68&lt;0.25,IF(MOD(ROW(),13)=0,"Turn Left",IF(MOD(ROW(),9)=0,"Turn Right",IF(F68&lt;0.08,"Build","Hold"))),IF(F68&lt;0.08,"Build","Hold")))))</f>
        <v>Build</v>
      </c>
      <c r="R68" s="12">
        <f>ROUND(MAX(0.35,MIN(0.95,0.92 - 0.06*MAX(0,M68-Controls!$B$2) - 0.05*MAX(0,L68-Controls!$B$4) - 0.01*ABS(C68-50) + 0.04*(1-G68))),2)</f>
        <v>0.81</v>
      </c>
      <c r="S68" s="5" t="str">
        <f>IF(P68="BLOCK","BLOCKED",IF(R68&lt;Controls!$B$7,"REDUCED","ACCEPTED"))</f>
        <v>ACCEPTED</v>
      </c>
      <c r="T68" s="5" t="str">
        <f>IF(P68="BLOCK","LIMIT_EXCEEDED - DLS above "&amp;TEXT(Controls!$B$3,"0.0")&amp;" deg/100ft",IF(P68="CAUTION","DLS above operating limit - reduce aggressiveness",IF(L68&gt;Controls!$B$4,"High vibration - hold trajectory",IF(OR(C68&lt;Controls!$B$5,C68&gt;Controls!$B$6),"WOB outside preferred band","Normal operation"))))</f>
        <v>Normal operation</v>
      </c>
    </row>
    <row r="69" spans="1:20" x14ac:dyDescent="0.3">
      <c r="A69" s="7">
        <f>Raw_Data!A69</f>
        <v>3660</v>
      </c>
      <c r="B69" s="8">
        <f>Raw_Data!B69</f>
        <v>31738.087</v>
      </c>
      <c r="C69" s="9">
        <f t="shared" si="14"/>
        <v>31.738087</v>
      </c>
      <c r="D69" s="9">
        <f>ROUND(Controls!$B$8 + (Raw_Data!C69-Controls!$B$12)/MAX(0.000001,(Controls!$B$13-Controls!$B$12))*(Controls!$B$9-Controls!$B$8),1)</f>
        <v>136.6</v>
      </c>
      <c r="E69" s="9">
        <f>ROUND(Controls!$B$10 + (Raw_Data!D69-Controls!$B$14)/MAX(0.000001,(Controls!$B$15-Controls!$B$14))*(Controls!$B$11-Controls!$B$10),1)</f>
        <v>69.599999999999994</v>
      </c>
      <c r="F69" s="10">
        <f>Raw_Data!E69</f>
        <v>4.4974525777E-2</v>
      </c>
      <c r="G69" s="10">
        <f>Raw_Data!F69</f>
        <v>0.234647717171</v>
      </c>
      <c r="H69" s="10">
        <f>Raw_Data!G69</f>
        <v>1</v>
      </c>
      <c r="I69" s="10">
        <f>Raw_Data!H69</f>
        <v>1E-3</v>
      </c>
      <c r="J69" s="5" t="str">
        <f t="shared" si="15"/>
        <v>Cleaner sand</v>
      </c>
      <c r="K69" s="11">
        <f t="shared" si="16"/>
        <v>14.6</v>
      </c>
      <c r="L69" s="12">
        <f t="shared" si="17"/>
        <v>1.36</v>
      </c>
      <c r="M69" s="12">
        <f t="shared" si="18"/>
        <v>2.62</v>
      </c>
      <c r="N69" s="12">
        <f t="shared" si="19"/>
        <v>4.33</v>
      </c>
      <c r="O69" s="12">
        <f t="shared" si="20"/>
        <v>264.39999999999998</v>
      </c>
      <c r="P69" s="5" t="str">
        <f>IF(M69&lt;=Controls!$B$2,"NORMAL",IF(M69&lt;=Controls!$B$3,"CAUTION","BLOCK"))</f>
        <v>NORMAL</v>
      </c>
      <c r="Q69" s="5" t="str">
        <f>IF(P69="BLOCK","Hold",IF(L69&gt;Controls!$B$4,"Hold",IF(P69="CAUTION","Drop",IF(G69&lt;0.25,IF(MOD(ROW(),13)=0,"Turn Left",IF(MOD(ROW(),9)=0,"Turn Right",IF(F69&lt;0.08,"Build","Hold"))),IF(F69&lt;0.08,"Build","Hold")))))</f>
        <v>Build</v>
      </c>
      <c r="R69" s="12">
        <f>ROUND(MAX(0.35,MIN(0.95,0.92 - 0.06*MAX(0,M69-Controls!$B$2) - 0.05*MAX(0,L69-Controls!$B$4) - 0.01*ABS(C69-50) + 0.04*(1-G69))),2)</f>
        <v>0.77</v>
      </c>
      <c r="S69" s="5" t="str">
        <f>IF(P69="BLOCK","BLOCKED",IF(R69&lt;Controls!$B$7,"REDUCED","ACCEPTED"))</f>
        <v>ACCEPTED</v>
      </c>
      <c r="T69" s="5" t="str">
        <f>IF(P69="BLOCK","LIMIT_EXCEEDED - DLS above "&amp;TEXT(Controls!$B$3,"0.0")&amp;" deg/100ft",IF(P69="CAUTION","DLS above operating limit - reduce aggressiveness",IF(L69&gt;Controls!$B$4,"High vibration - hold trajectory",IF(OR(C69&lt;Controls!$B$5,C69&gt;Controls!$B$6),"WOB outside preferred band","Normal operation"))))</f>
        <v>Normal operation</v>
      </c>
    </row>
    <row r="70" spans="1:20" x14ac:dyDescent="0.3">
      <c r="A70" s="7">
        <f>Raw_Data!A70</f>
        <v>3665</v>
      </c>
      <c r="B70" s="8">
        <f>Raw_Data!B70</f>
        <v>48944.500999999997</v>
      </c>
      <c r="C70" s="9">
        <f t="shared" si="14"/>
        <v>48.944500999999995</v>
      </c>
      <c r="D70" s="9">
        <f>ROUND(Controls!$B$8 + (Raw_Data!C70-Controls!$B$12)/MAX(0.000001,(Controls!$B$13-Controls!$B$12))*(Controls!$B$9-Controls!$B$8),1)</f>
        <v>136.6</v>
      </c>
      <c r="E70" s="9">
        <f>ROUND(Controls!$B$10 + (Raw_Data!D70-Controls!$B$14)/MAX(0.000001,(Controls!$B$15-Controls!$B$14))*(Controls!$B$11-Controls!$B$10),1)</f>
        <v>69.400000000000006</v>
      </c>
      <c r="F70" s="10">
        <f>Raw_Data!E70</f>
        <v>4.0471388562999998E-2</v>
      </c>
      <c r="G70" s="10">
        <f>Raw_Data!F70</f>
        <v>0.26283337263700002</v>
      </c>
      <c r="H70" s="10">
        <f>Raw_Data!G70</f>
        <v>1</v>
      </c>
      <c r="I70" s="10">
        <f>Raw_Data!H70</f>
        <v>1E-3</v>
      </c>
      <c r="J70" s="5" t="str">
        <f t="shared" si="15"/>
        <v>Transition</v>
      </c>
      <c r="K70" s="11">
        <f t="shared" si="16"/>
        <v>17.600000000000001</v>
      </c>
      <c r="L70" s="12">
        <f t="shared" si="17"/>
        <v>1.4</v>
      </c>
      <c r="M70" s="12">
        <f t="shared" si="18"/>
        <v>2.74</v>
      </c>
      <c r="N70" s="12">
        <f t="shared" si="19"/>
        <v>4.12</v>
      </c>
      <c r="O70" s="12">
        <f t="shared" si="20"/>
        <v>266.2</v>
      </c>
      <c r="P70" s="5" t="str">
        <f>IF(M70&lt;=Controls!$B$2,"NORMAL",IF(M70&lt;=Controls!$B$3,"CAUTION","BLOCK"))</f>
        <v>NORMAL</v>
      </c>
      <c r="Q70" s="5" t="str">
        <f>IF(P70="BLOCK","Hold",IF(L70&gt;Controls!$B$4,"Hold",IF(P70="CAUTION","Drop",IF(G70&lt;0.25,IF(MOD(ROW(),13)=0,"Turn Left",IF(MOD(ROW(),9)=0,"Turn Right",IF(F70&lt;0.08,"Build","Hold"))),IF(F70&lt;0.08,"Build","Hold")))))</f>
        <v>Build</v>
      </c>
      <c r="R70" s="12">
        <f>ROUND(MAX(0.35,MIN(0.95,0.92 - 0.06*MAX(0,M70-Controls!$B$2) - 0.05*MAX(0,L70-Controls!$B$4) - 0.01*ABS(C70-50) + 0.04*(1-G70))),2)</f>
        <v>0.94</v>
      </c>
      <c r="S70" s="5" t="str">
        <f>IF(P70="BLOCK","BLOCKED",IF(R70&lt;Controls!$B$7,"REDUCED","ACCEPTED"))</f>
        <v>ACCEPTED</v>
      </c>
      <c r="T70" s="5" t="str">
        <f>IF(P70="BLOCK","LIMIT_EXCEEDED - DLS above "&amp;TEXT(Controls!$B$3,"0.0")&amp;" deg/100ft",IF(P70="CAUTION","DLS above operating limit - reduce aggressiveness",IF(L70&gt;Controls!$B$4,"High vibration - hold trajectory",IF(OR(C70&lt;Controls!$B$5,C70&gt;Controls!$B$6),"WOB outside preferred band","Normal operation"))))</f>
        <v>Normal operation</v>
      </c>
    </row>
    <row r="71" spans="1:20" x14ac:dyDescent="0.3">
      <c r="A71" s="7">
        <f>Raw_Data!A71</f>
        <v>3670</v>
      </c>
      <c r="B71" s="8">
        <f>Raw_Data!B71</f>
        <v>55795.576999999997</v>
      </c>
      <c r="C71" s="9">
        <f t="shared" si="14"/>
        <v>55.795576999999994</v>
      </c>
      <c r="D71" s="9">
        <f>ROUND(Controls!$B$8 + (Raw_Data!C71-Controls!$B$12)/MAX(0.000001,(Controls!$B$13-Controls!$B$12))*(Controls!$B$9-Controls!$B$8),1)</f>
        <v>136.5</v>
      </c>
      <c r="E71" s="9">
        <f>ROUND(Controls!$B$10 + (Raw_Data!D71-Controls!$B$14)/MAX(0.000001,(Controls!$B$15-Controls!$B$14))*(Controls!$B$11-Controls!$B$10),1)</f>
        <v>69.5</v>
      </c>
      <c r="F71" s="10">
        <f>Raw_Data!E71</f>
        <v>5.5925293413000003E-2</v>
      </c>
      <c r="G71" s="10">
        <f>Raw_Data!F71</f>
        <v>0.34686585767200001</v>
      </c>
      <c r="H71" s="10">
        <f>Raw_Data!G71</f>
        <v>1</v>
      </c>
      <c r="I71" s="10">
        <f>Raw_Data!H71</f>
        <v>1E-3</v>
      </c>
      <c r="J71" s="5" t="str">
        <f t="shared" si="15"/>
        <v>Transition</v>
      </c>
      <c r="K71" s="11">
        <f t="shared" si="16"/>
        <v>19.2</v>
      </c>
      <c r="L71" s="12">
        <f t="shared" si="17"/>
        <v>1.53</v>
      </c>
      <c r="M71" s="12">
        <f t="shared" si="18"/>
        <v>3.09</v>
      </c>
      <c r="N71" s="12">
        <f t="shared" si="19"/>
        <v>3.95</v>
      </c>
      <c r="O71" s="12">
        <f t="shared" si="20"/>
        <v>268</v>
      </c>
      <c r="P71" s="5" t="str">
        <f>IF(M71&lt;=Controls!$B$2,"NORMAL",IF(M71&lt;=Controls!$B$3,"CAUTION","BLOCK"))</f>
        <v>NORMAL</v>
      </c>
      <c r="Q71" s="5" t="str">
        <f>IF(P71="BLOCK","Hold",IF(L71&gt;Controls!$B$4,"Hold",IF(P71="CAUTION","Drop",IF(G71&lt;0.25,IF(MOD(ROW(),13)=0,"Turn Left",IF(MOD(ROW(),9)=0,"Turn Right",IF(F71&lt;0.08,"Build","Hold"))),IF(F71&lt;0.08,"Build","Hold")))))</f>
        <v>Build</v>
      </c>
      <c r="R71" s="12">
        <f>ROUND(MAX(0.35,MIN(0.95,0.92 - 0.06*MAX(0,M71-Controls!$B$2) - 0.05*MAX(0,L71-Controls!$B$4) - 0.01*ABS(C71-50) + 0.04*(1-G71))),2)</f>
        <v>0.89</v>
      </c>
      <c r="S71" s="5" t="str">
        <f>IF(P71="BLOCK","BLOCKED",IF(R71&lt;Controls!$B$7,"REDUCED","ACCEPTED"))</f>
        <v>ACCEPTED</v>
      </c>
      <c r="T71" s="5" t="str">
        <f>IF(P71="BLOCK","LIMIT_EXCEEDED - DLS above "&amp;TEXT(Controls!$B$3,"0.0")&amp;" deg/100ft",IF(P71="CAUTION","DLS above operating limit - reduce aggressiveness",IF(L71&gt;Controls!$B$4,"High vibration - hold trajectory",IF(OR(C71&lt;Controls!$B$5,C71&gt;Controls!$B$6),"WOB outside preferred band","Normal operation"))))</f>
        <v>Normal operation</v>
      </c>
    </row>
    <row r="72" spans="1:20" x14ac:dyDescent="0.3">
      <c r="A72" s="7">
        <f>Raw_Data!A72</f>
        <v>3675</v>
      </c>
      <c r="B72" s="8">
        <f>Raw_Data!B72</f>
        <v>48287.014999999999</v>
      </c>
      <c r="C72" s="9">
        <f t="shared" si="14"/>
        <v>48.287014999999997</v>
      </c>
      <c r="D72" s="9">
        <f>ROUND(Controls!$B$8 + (Raw_Data!C72-Controls!$B$12)/MAX(0.000001,(Controls!$B$13-Controls!$B$12))*(Controls!$B$9-Controls!$B$8),1)</f>
        <v>136.6</v>
      </c>
      <c r="E72" s="9">
        <f>ROUND(Controls!$B$10 + (Raw_Data!D72-Controls!$B$14)/MAX(0.000001,(Controls!$B$15-Controls!$B$14))*(Controls!$B$11-Controls!$B$10),1)</f>
        <v>69.599999999999994</v>
      </c>
      <c r="F72" s="10">
        <f>Raw_Data!E72</f>
        <v>5.5066277910000003E-2</v>
      </c>
      <c r="G72" s="10">
        <f>Raw_Data!F72</f>
        <v>0.36109659056299998</v>
      </c>
      <c r="H72" s="10">
        <f>Raw_Data!G72</f>
        <v>1</v>
      </c>
      <c r="I72" s="10">
        <f>Raw_Data!H72</f>
        <v>1E-3</v>
      </c>
      <c r="J72" s="5" t="str">
        <f t="shared" si="15"/>
        <v>Transition</v>
      </c>
      <c r="K72" s="11">
        <f t="shared" si="16"/>
        <v>18.100000000000001</v>
      </c>
      <c r="L72" s="12">
        <f t="shared" si="17"/>
        <v>1.54</v>
      </c>
      <c r="M72" s="12">
        <f t="shared" si="18"/>
        <v>3.15</v>
      </c>
      <c r="N72" s="12">
        <f t="shared" si="19"/>
        <v>3.79</v>
      </c>
      <c r="O72" s="12">
        <f t="shared" si="20"/>
        <v>269.8</v>
      </c>
      <c r="P72" s="5" t="str">
        <f>IF(M72&lt;=Controls!$B$2,"NORMAL",IF(M72&lt;=Controls!$B$3,"CAUTION","BLOCK"))</f>
        <v>NORMAL</v>
      </c>
      <c r="Q72" s="5" t="str">
        <f>IF(P72="BLOCK","Hold",IF(L72&gt;Controls!$B$4,"Hold",IF(P72="CAUTION","Drop",IF(G72&lt;0.25,IF(MOD(ROW(),13)=0,"Turn Left",IF(MOD(ROW(),9)=0,"Turn Right",IF(F72&lt;0.08,"Build","Hold"))),IF(F72&lt;0.08,"Build","Hold")))))</f>
        <v>Build</v>
      </c>
      <c r="R72" s="12">
        <f>ROUND(MAX(0.35,MIN(0.95,0.92 - 0.06*MAX(0,M72-Controls!$B$2) - 0.05*MAX(0,L72-Controls!$B$4) - 0.01*ABS(C72-50) + 0.04*(1-G72))),2)</f>
        <v>0.93</v>
      </c>
      <c r="S72" s="5" t="str">
        <f>IF(P72="BLOCK","BLOCKED",IF(R72&lt;Controls!$B$7,"REDUCED","ACCEPTED"))</f>
        <v>ACCEPTED</v>
      </c>
      <c r="T72" s="5" t="str">
        <f>IF(P72="BLOCK","LIMIT_EXCEEDED - DLS above "&amp;TEXT(Controls!$B$3,"0.0")&amp;" deg/100ft",IF(P72="CAUTION","DLS above operating limit - reduce aggressiveness",IF(L72&gt;Controls!$B$4,"High vibration - hold trajectory",IF(OR(C72&lt;Controls!$B$5,C72&gt;Controls!$B$6),"WOB outside preferred band","Normal operation"))))</f>
        <v>Normal operation</v>
      </c>
    </row>
    <row r="73" spans="1:20" x14ac:dyDescent="0.3">
      <c r="A73" s="7">
        <f>Raw_Data!A73</f>
        <v>3680</v>
      </c>
      <c r="B73" s="8">
        <f>Raw_Data!B73</f>
        <v>44576.612000000001</v>
      </c>
      <c r="C73" s="9">
        <f t="shared" si="14"/>
        <v>44.576612000000004</v>
      </c>
      <c r="D73" s="9">
        <f>ROUND(Controls!$B$8 + (Raw_Data!C73-Controls!$B$12)/MAX(0.000001,(Controls!$B$13-Controls!$B$12))*(Controls!$B$9-Controls!$B$8),1)</f>
        <v>136.6</v>
      </c>
      <c r="E73" s="9">
        <f>ROUND(Controls!$B$10 + (Raw_Data!D73-Controls!$B$14)/MAX(0.000001,(Controls!$B$15-Controls!$B$14))*(Controls!$B$11-Controls!$B$10),1)</f>
        <v>65.3</v>
      </c>
      <c r="F73" s="10">
        <f>Raw_Data!E73</f>
        <v>3.3129444601000001E-2</v>
      </c>
      <c r="G73" s="10">
        <f>Raw_Data!F73</f>
        <v>0.34298027782399998</v>
      </c>
      <c r="H73" s="10">
        <f>Raw_Data!G73</f>
        <v>1</v>
      </c>
      <c r="I73" s="10">
        <f>Raw_Data!H73</f>
        <v>1E-3</v>
      </c>
      <c r="J73" s="5" t="str">
        <f t="shared" si="15"/>
        <v>Transition</v>
      </c>
      <c r="K73" s="11">
        <f t="shared" si="16"/>
        <v>17.5</v>
      </c>
      <c r="L73" s="12">
        <f t="shared" si="17"/>
        <v>1.52</v>
      </c>
      <c r="M73" s="12">
        <f t="shared" si="18"/>
        <v>3.07</v>
      </c>
      <c r="N73" s="12">
        <f t="shared" si="19"/>
        <v>3.62</v>
      </c>
      <c r="O73" s="12">
        <f t="shared" si="20"/>
        <v>271.60000000000002</v>
      </c>
      <c r="P73" s="5" t="str">
        <f>IF(M73&lt;=Controls!$B$2,"NORMAL",IF(M73&lt;=Controls!$B$3,"CAUTION","BLOCK"))</f>
        <v>NORMAL</v>
      </c>
      <c r="Q73" s="5" t="str">
        <f>IF(P73="BLOCK","Hold",IF(L73&gt;Controls!$B$4,"Hold",IF(P73="CAUTION","Drop",IF(G73&lt;0.25,IF(MOD(ROW(),13)=0,"Turn Left",IF(MOD(ROW(),9)=0,"Turn Right",IF(F73&lt;0.08,"Build","Hold"))),IF(F73&lt;0.08,"Build","Hold")))))</f>
        <v>Build</v>
      </c>
      <c r="R73" s="12">
        <f>ROUND(MAX(0.35,MIN(0.95,0.92 - 0.06*MAX(0,M73-Controls!$B$2) - 0.05*MAX(0,L73-Controls!$B$4) - 0.01*ABS(C73-50) + 0.04*(1-G73))),2)</f>
        <v>0.89</v>
      </c>
      <c r="S73" s="5" t="str">
        <f>IF(P73="BLOCK","BLOCKED",IF(R73&lt;Controls!$B$7,"REDUCED","ACCEPTED"))</f>
        <v>ACCEPTED</v>
      </c>
      <c r="T73" s="5" t="str">
        <f>IF(P73="BLOCK","LIMIT_EXCEEDED - DLS above "&amp;TEXT(Controls!$B$3,"0.0")&amp;" deg/100ft",IF(P73="CAUTION","DLS above operating limit - reduce aggressiveness",IF(L73&gt;Controls!$B$4,"High vibration - hold trajectory",IF(OR(C73&lt;Controls!$B$5,C73&gt;Controls!$B$6),"WOB outside preferred band","Normal operation"))))</f>
        <v>Normal operation</v>
      </c>
    </row>
    <row r="74" spans="1:20" x14ac:dyDescent="0.3">
      <c r="A74" s="7">
        <f>Raw_Data!A74</f>
        <v>3685</v>
      </c>
      <c r="B74" s="8">
        <f>Raw_Data!B74</f>
        <v>34623.502</v>
      </c>
      <c r="C74" s="9">
        <f t="shared" si="14"/>
        <v>34.623502000000002</v>
      </c>
      <c r="D74" s="9">
        <f>ROUND(Controls!$B$8 + (Raw_Data!C74-Controls!$B$12)/MAX(0.000001,(Controls!$B$13-Controls!$B$12))*(Controls!$B$9-Controls!$B$8),1)</f>
        <v>136.6</v>
      </c>
      <c r="E74" s="9">
        <f>ROUND(Controls!$B$10 + (Raw_Data!D74-Controls!$B$14)/MAX(0.000001,(Controls!$B$15-Controls!$B$14))*(Controls!$B$11-Controls!$B$10),1)</f>
        <v>65.3</v>
      </c>
      <c r="F74" s="10">
        <f>Raw_Data!E74</f>
        <v>5.8048283855E-2</v>
      </c>
      <c r="G74" s="10">
        <f>Raw_Data!F74</f>
        <v>0.390985516925</v>
      </c>
      <c r="H74" s="10">
        <f>Raw_Data!G74</f>
        <v>1</v>
      </c>
      <c r="I74" s="10">
        <f>Raw_Data!H74</f>
        <v>1E-3</v>
      </c>
      <c r="J74" s="5" t="str">
        <f t="shared" si="15"/>
        <v>Transition</v>
      </c>
      <c r="K74" s="11">
        <f t="shared" si="16"/>
        <v>16.2</v>
      </c>
      <c r="L74" s="12">
        <f t="shared" si="17"/>
        <v>1.58</v>
      </c>
      <c r="M74" s="12">
        <f t="shared" si="18"/>
        <v>3.27</v>
      </c>
      <c r="N74" s="12">
        <f t="shared" si="19"/>
        <v>3.47</v>
      </c>
      <c r="O74" s="12">
        <f t="shared" si="20"/>
        <v>273.39999999999998</v>
      </c>
      <c r="P74" s="5" t="str">
        <f>IF(M74&lt;=Controls!$B$2,"NORMAL",IF(M74&lt;=Controls!$B$3,"CAUTION","BLOCK"))</f>
        <v>NORMAL</v>
      </c>
      <c r="Q74" s="5" t="str">
        <f>IF(P74="BLOCK","Hold",IF(L74&gt;Controls!$B$4,"Hold",IF(P74="CAUTION","Drop",IF(G74&lt;0.25,IF(MOD(ROW(),13)=0,"Turn Left",IF(MOD(ROW(),9)=0,"Turn Right",IF(F74&lt;0.08,"Build","Hold"))),IF(F74&lt;0.08,"Build","Hold")))))</f>
        <v>Build</v>
      </c>
      <c r="R74" s="12">
        <f>ROUND(MAX(0.35,MIN(0.95,0.92 - 0.06*MAX(0,M74-Controls!$B$2) - 0.05*MAX(0,L74-Controls!$B$4) - 0.01*ABS(C74-50) + 0.04*(1-G74))),2)</f>
        <v>0.79</v>
      </c>
      <c r="S74" s="5" t="str">
        <f>IF(P74="BLOCK","BLOCKED",IF(R74&lt;Controls!$B$7,"REDUCED","ACCEPTED"))</f>
        <v>ACCEPTED</v>
      </c>
      <c r="T74" s="5" t="str">
        <f>IF(P74="BLOCK","LIMIT_EXCEEDED - DLS above "&amp;TEXT(Controls!$B$3,"0.0")&amp;" deg/100ft",IF(P74="CAUTION","DLS above operating limit - reduce aggressiveness",IF(L74&gt;Controls!$B$4,"High vibration - hold trajectory",IF(OR(C74&lt;Controls!$B$5,C74&gt;Controls!$B$6),"WOB outside preferred band","Normal operation"))))</f>
        <v>Normal operation</v>
      </c>
    </row>
    <row r="75" spans="1:20" x14ac:dyDescent="0.3">
      <c r="A75" s="7">
        <f>Raw_Data!A75</f>
        <v>3690</v>
      </c>
      <c r="B75" s="8">
        <f>Raw_Data!B75</f>
        <v>37186.385999999999</v>
      </c>
      <c r="C75" s="9">
        <f t="shared" si="14"/>
        <v>37.186385999999999</v>
      </c>
      <c r="D75" s="9">
        <f>ROUND(Controls!$B$8 + (Raw_Data!C75-Controls!$B$12)/MAX(0.000001,(Controls!$B$13-Controls!$B$12))*(Controls!$B$9-Controls!$B$8),1)</f>
        <v>136.6</v>
      </c>
      <c r="E75" s="9">
        <f>ROUND(Controls!$B$10 + (Raw_Data!D75-Controls!$B$14)/MAX(0.000001,(Controls!$B$15-Controls!$B$14))*(Controls!$B$11-Controls!$B$10),1)</f>
        <v>64.900000000000006</v>
      </c>
      <c r="F75" s="10">
        <f>Raw_Data!E75</f>
        <v>3.1583966514E-2</v>
      </c>
      <c r="G75" s="10">
        <f>Raw_Data!F75</f>
        <v>0.22650268096100001</v>
      </c>
      <c r="H75" s="10">
        <f>Raw_Data!G75</f>
        <v>1</v>
      </c>
      <c r="I75" s="10">
        <f>Raw_Data!H75</f>
        <v>1E-3</v>
      </c>
      <c r="J75" s="5" t="str">
        <f t="shared" si="15"/>
        <v>Cleaner sand</v>
      </c>
      <c r="K75" s="11">
        <f t="shared" si="16"/>
        <v>15.5</v>
      </c>
      <c r="L75" s="12">
        <f t="shared" si="17"/>
        <v>1.35</v>
      </c>
      <c r="M75" s="12">
        <f t="shared" si="18"/>
        <v>2.59</v>
      </c>
      <c r="N75" s="12">
        <f t="shared" si="19"/>
        <v>3.24</v>
      </c>
      <c r="O75" s="12">
        <f t="shared" si="20"/>
        <v>275.2</v>
      </c>
      <c r="P75" s="5" t="str">
        <f>IF(M75&lt;=Controls!$B$2,"NORMAL",IF(M75&lt;=Controls!$B$3,"CAUTION","BLOCK"))</f>
        <v>NORMAL</v>
      </c>
      <c r="Q75" s="5" t="str">
        <f>IF(P75="BLOCK","Hold",IF(L75&gt;Controls!$B$4,"Hold",IF(P75="CAUTION","Drop",IF(G75&lt;0.25,IF(MOD(ROW(),13)=0,"Turn Left",IF(MOD(ROW(),9)=0,"Turn Right",IF(F75&lt;0.08,"Build","Hold"))),IF(F75&lt;0.08,"Build","Hold")))))</f>
        <v>Build</v>
      </c>
      <c r="R75" s="12">
        <f>ROUND(MAX(0.35,MIN(0.95,0.92 - 0.06*MAX(0,M75-Controls!$B$2) - 0.05*MAX(0,L75-Controls!$B$4) - 0.01*ABS(C75-50) + 0.04*(1-G75))),2)</f>
        <v>0.82</v>
      </c>
      <c r="S75" s="5" t="str">
        <f>IF(P75="BLOCK","BLOCKED",IF(R75&lt;Controls!$B$7,"REDUCED","ACCEPTED"))</f>
        <v>ACCEPTED</v>
      </c>
      <c r="T75" s="5" t="str">
        <f>IF(P75="BLOCK","LIMIT_EXCEEDED - DLS above "&amp;TEXT(Controls!$B$3,"0.0")&amp;" deg/100ft",IF(P75="CAUTION","DLS above operating limit - reduce aggressiveness",IF(L75&gt;Controls!$B$4,"High vibration - hold trajectory",IF(OR(C75&lt;Controls!$B$5,C75&gt;Controls!$B$6),"WOB outside preferred band","Normal operation"))))</f>
        <v>Normal operation</v>
      </c>
    </row>
    <row r="76" spans="1:20" x14ac:dyDescent="0.3">
      <c r="A76" s="7">
        <f>Raw_Data!A76</f>
        <v>3695</v>
      </c>
      <c r="B76" s="8">
        <f>Raw_Data!B76</f>
        <v>46500.936999999998</v>
      </c>
      <c r="C76" s="9">
        <f t="shared" si="14"/>
        <v>46.500937</v>
      </c>
      <c r="D76" s="9">
        <f>ROUND(Controls!$B$8 + (Raw_Data!C76-Controls!$B$12)/MAX(0.000001,(Controls!$B$13-Controls!$B$12))*(Controls!$B$9-Controls!$B$8),1)</f>
        <v>136.6</v>
      </c>
      <c r="E76" s="9">
        <f>ROUND(Controls!$B$10 + (Raw_Data!D76-Controls!$B$14)/MAX(0.000001,(Controls!$B$15-Controls!$B$14))*(Controls!$B$11-Controls!$B$10),1)</f>
        <v>69.5</v>
      </c>
      <c r="F76" s="10">
        <f>Raw_Data!E76</f>
        <v>2.5940354059000002E-2</v>
      </c>
      <c r="G76" s="10">
        <f>Raw_Data!F76</f>
        <v>0.16364758135400001</v>
      </c>
      <c r="H76" s="10">
        <f>Raw_Data!G76</f>
        <v>1</v>
      </c>
      <c r="I76" s="10">
        <f>Raw_Data!H76</f>
        <v>1E-3</v>
      </c>
      <c r="J76" s="5" t="str">
        <f t="shared" si="15"/>
        <v>Cleaner sand</v>
      </c>
      <c r="K76" s="11">
        <f t="shared" si="16"/>
        <v>16.5</v>
      </c>
      <c r="L76" s="12">
        <f t="shared" si="17"/>
        <v>1.26</v>
      </c>
      <c r="M76" s="12">
        <f t="shared" si="18"/>
        <v>2.33</v>
      </c>
      <c r="N76" s="12">
        <f t="shared" si="19"/>
        <v>2.98</v>
      </c>
      <c r="O76" s="12">
        <f t="shared" si="20"/>
        <v>277</v>
      </c>
      <c r="P76" s="5" t="str">
        <f>IF(M76&lt;=Controls!$B$2,"NORMAL",IF(M76&lt;=Controls!$B$3,"CAUTION","BLOCK"))</f>
        <v>NORMAL</v>
      </c>
      <c r="Q76" s="5" t="str">
        <f>IF(P76="BLOCK","Hold",IF(L76&gt;Controls!$B$4,"Hold",IF(P76="CAUTION","Drop",IF(G76&lt;0.25,IF(MOD(ROW(),13)=0,"Turn Left",IF(MOD(ROW(),9)=0,"Turn Right",IF(F76&lt;0.08,"Build","Hold"))),IF(F76&lt;0.08,"Build","Hold")))))</f>
        <v>Build</v>
      </c>
      <c r="R76" s="12">
        <f>ROUND(MAX(0.35,MIN(0.95,0.92 - 0.06*MAX(0,M76-Controls!$B$2) - 0.05*MAX(0,L76-Controls!$B$4) - 0.01*ABS(C76-50) + 0.04*(1-G76))),2)</f>
        <v>0.92</v>
      </c>
      <c r="S76" s="5" t="str">
        <f>IF(P76="BLOCK","BLOCKED",IF(R76&lt;Controls!$B$7,"REDUCED","ACCEPTED"))</f>
        <v>ACCEPTED</v>
      </c>
      <c r="T76" s="5" t="str">
        <f>IF(P76="BLOCK","LIMIT_EXCEEDED - DLS above "&amp;TEXT(Controls!$B$3,"0.0")&amp;" deg/100ft",IF(P76="CAUTION","DLS above operating limit - reduce aggressiveness",IF(L76&gt;Controls!$B$4,"High vibration - hold trajectory",IF(OR(C76&lt;Controls!$B$5,C76&gt;Controls!$B$6),"WOB outside preferred band","Normal operation"))))</f>
        <v>Normal operation</v>
      </c>
    </row>
    <row r="77" spans="1:20" x14ac:dyDescent="0.3">
      <c r="A77" s="7">
        <f>Raw_Data!A77</f>
        <v>3700</v>
      </c>
      <c r="B77" s="8">
        <f>Raw_Data!B77</f>
        <v>29632.597000000002</v>
      </c>
      <c r="C77" s="9">
        <f t="shared" si="14"/>
        <v>29.632597000000001</v>
      </c>
      <c r="D77" s="9">
        <f>ROUND(Controls!$B$8 + (Raw_Data!C77-Controls!$B$12)/MAX(0.000001,(Controls!$B$13-Controls!$B$12))*(Controls!$B$9-Controls!$B$8),1)</f>
        <v>136.6</v>
      </c>
      <c r="E77" s="9">
        <f>ROUND(Controls!$B$10 + (Raw_Data!D77-Controls!$B$14)/MAX(0.000001,(Controls!$B$15-Controls!$B$14))*(Controls!$B$11-Controls!$B$10),1)</f>
        <v>69</v>
      </c>
      <c r="F77" s="10">
        <f>Raw_Data!E77</f>
        <v>3.8539254570999999E-2</v>
      </c>
      <c r="G77" s="10">
        <f>Raw_Data!F77</f>
        <v>0.36589160934600001</v>
      </c>
      <c r="H77" s="10">
        <f>Raw_Data!G77</f>
        <v>1</v>
      </c>
      <c r="I77" s="10">
        <f>Raw_Data!H77</f>
        <v>1E-3</v>
      </c>
      <c r="J77" s="5" t="str">
        <f t="shared" si="15"/>
        <v>Transition</v>
      </c>
      <c r="K77" s="11">
        <f t="shared" si="16"/>
        <v>15.2</v>
      </c>
      <c r="L77" s="12">
        <f t="shared" si="17"/>
        <v>1.55</v>
      </c>
      <c r="M77" s="12">
        <f t="shared" si="18"/>
        <v>4.7699999999999996</v>
      </c>
      <c r="N77" s="12">
        <f t="shared" si="19"/>
        <v>3.01</v>
      </c>
      <c r="O77" s="12">
        <f t="shared" si="20"/>
        <v>278.8</v>
      </c>
      <c r="P77" s="5" t="str">
        <f>IF(M77&lt;=Controls!$B$2,"NORMAL",IF(M77&lt;=Controls!$B$3,"CAUTION","BLOCK"))</f>
        <v>NORMAL</v>
      </c>
      <c r="Q77" s="5" t="str">
        <f>IF(P77="BLOCK","Hold",IF(L77&gt;Controls!$B$4,"Hold",IF(P77="CAUTION","Drop",IF(G77&lt;0.25,IF(MOD(ROW(),13)=0,"Turn Left",IF(MOD(ROW(),9)=0,"Turn Right",IF(F77&lt;0.08,"Build","Hold"))),IF(F77&lt;0.08,"Build","Hold")))))</f>
        <v>Build</v>
      </c>
      <c r="R77" s="12">
        <f>ROUND(MAX(0.35,MIN(0.95,0.92 - 0.06*MAX(0,M77-Controls!$B$2) - 0.05*MAX(0,L77-Controls!$B$4) - 0.01*ABS(C77-50) + 0.04*(1-G77))),2)</f>
        <v>0.74</v>
      </c>
      <c r="S77" s="5" t="str">
        <f>IF(P77="BLOCK","BLOCKED",IF(R77&lt;Controls!$B$7,"REDUCED","ACCEPTED"))</f>
        <v>ACCEPTED</v>
      </c>
      <c r="T77" s="5" t="str">
        <f>IF(P77="BLOCK","LIMIT_EXCEEDED - DLS above "&amp;TEXT(Controls!$B$3,"0.0")&amp;" deg/100ft",IF(P77="CAUTION","DLS above operating limit - reduce aggressiveness",IF(L77&gt;Controls!$B$4,"High vibration - hold trajectory",IF(OR(C77&lt;Controls!$B$5,C77&gt;Controls!$B$6),"WOB outside preferred band","Normal operation"))))</f>
        <v>Normal operation</v>
      </c>
    </row>
    <row r="78" spans="1:20" x14ac:dyDescent="0.3">
      <c r="A78" s="7">
        <f>Raw_Data!A78</f>
        <v>3705</v>
      </c>
      <c r="B78" s="8">
        <f>Raw_Data!B78</f>
        <v>40381.839</v>
      </c>
      <c r="C78" s="9">
        <f t="shared" si="14"/>
        <v>40.381838999999999</v>
      </c>
      <c r="D78" s="9">
        <f>ROUND(Controls!$B$8 + (Raw_Data!C78-Controls!$B$12)/MAX(0.000001,(Controls!$B$13-Controls!$B$12))*(Controls!$B$9-Controls!$B$8),1)</f>
        <v>136.6</v>
      </c>
      <c r="E78" s="9">
        <f>ROUND(Controls!$B$10 + (Raw_Data!D78-Controls!$B$14)/MAX(0.000001,(Controls!$B$15-Controls!$B$14))*(Controls!$B$11-Controls!$B$10),1)</f>
        <v>73.8</v>
      </c>
      <c r="F78" s="10">
        <f>Raw_Data!E78</f>
        <v>4.2935350619000001E-2</v>
      </c>
      <c r="G78" s="10">
        <f>Raw_Data!F78</f>
        <v>0.36016064884299998</v>
      </c>
      <c r="H78" s="10">
        <f>Raw_Data!G78</f>
        <v>1</v>
      </c>
      <c r="I78" s="10">
        <f>Raw_Data!H78</f>
        <v>1E-3</v>
      </c>
      <c r="J78" s="5" t="str">
        <f t="shared" si="15"/>
        <v>Transition</v>
      </c>
      <c r="K78" s="11">
        <f t="shared" si="16"/>
        <v>16.899999999999999</v>
      </c>
      <c r="L78" s="12">
        <f t="shared" si="17"/>
        <v>1.54</v>
      </c>
      <c r="M78" s="12">
        <f t="shared" si="18"/>
        <v>4.74</v>
      </c>
      <c r="N78" s="12">
        <f t="shared" si="19"/>
        <v>3.04</v>
      </c>
      <c r="O78" s="12">
        <f t="shared" si="20"/>
        <v>280.60000000000002</v>
      </c>
      <c r="P78" s="5" t="str">
        <f>IF(M78&lt;=Controls!$B$2,"NORMAL",IF(M78&lt;=Controls!$B$3,"CAUTION","BLOCK"))</f>
        <v>NORMAL</v>
      </c>
      <c r="Q78" s="5" t="str">
        <f>IF(P78="BLOCK","Hold",IF(L78&gt;Controls!$B$4,"Hold",IF(P78="CAUTION","Drop",IF(G78&lt;0.25,IF(MOD(ROW(),13)=0,"Turn Left",IF(MOD(ROW(),9)=0,"Turn Right",IF(F78&lt;0.08,"Build","Hold"))),IF(F78&lt;0.08,"Build","Hold")))))</f>
        <v>Build</v>
      </c>
      <c r="R78" s="12">
        <f>ROUND(MAX(0.35,MIN(0.95,0.92 - 0.06*MAX(0,M78-Controls!$B$2) - 0.05*MAX(0,L78-Controls!$B$4) - 0.01*ABS(C78-50) + 0.04*(1-G78))),2)</f>
        <v>0.85</v>
      </c>
      <c r="S78" s="5" t="str">
        <f>IF(P78="BLOCK","BLOCKED",IF(R78&lt;Controls!$B$7,"REDUCED","ACCEPTED"))</f>
        <v>ACCEPTED</v>
      </c>
      <c r="T78" s="5" t="str">
        <f>IF(P78="BLOCK","LIMIT_EXCEEDED - DLS above "&amp;TEXT(Controls!$B$3,"0.0")&amp;" deg/100ft",IF(P78="CAUTION","DLS above operating limit - reduce aggressiveness",IF(L78&gt;Controls!$B$4,"High vibration - hold trajectory",IF(OR(C78&lt;Controls!$B$5,C78&gt;Controls!$B$6),"WOB outside preferred band","Normal operation"))))</f>
        <v>Normal operation</v>
      </c>
    </row>
    <row r="79" spans="1:20" x14ac:dyDescent="0.3">
      <c r="A79" s="7">
        <f>Raw_Data!A79</f>
        <v>3710</v>
      </c>
      <c r="B79" s="8">
        <f>Raw_Data!B79</f>
        <v>44243.48</v>
      </c>
      <c r="C79" s="9">
        <f t="shared" si="14"/>
        <v>44.243480000000005</v>
      </c>
      <c r="D79" s="9">
        <f>ROUND(Controls!$B$8 + (Raw_Data!C79-Controls!$B$12)/MAX(0.000001,(Controls!$B$13-Controls!$B$12))*(Controls!$B$9-Controls!$B$8),1)</f>
        <v>136.6</v>
      </c>
      <c r="E79" s="9">
        <f>ROUND(Controls!$B$10 + (Raw_Data!D79-Controls!$B$14)/MAX(0.000001,(Controls!$B$15-Controls!$B$14))*(Controls!$B$11-Controls!$B$10),1)</f>
        <v>71.2</v>
      </c>
      <c r="F79" s="10">
        <f>Raw_Data!E79</f>
        <v>2.8845580433999998E-2</v>
      </c>
      <c r="G79" s="10">
        <f>Raw_Data!F79</f>
        <v>0.26786262152000001</v>
      </c>
      <c r="H79" s="10">
        <f>Raw_Data!G79</f>
        <v>1</v>
      </c>
      <c r="I79" s="10">
        <f>Raw_Data!H79</f>
        <v>1E-3</v>
      </c>
      <c r="J79" s="5" t="str">
        <f t="shared" si="15"/>
        <v>Transition</v>
      </c>
      <c r="K79" s="11">
        <f t="shared" si="16"/>
        <v>16.899999999999999</v>
      </c>
      <c r="L79" s="12">
        <f t="shared" si="17"/>
        <v>1.41</v>
      </c>
      <c r="M79" s="12">
        <f t="shared" si="18"/>
        <v>4.3600000000000003</v>
      </c>
      <c r="N79" s="12">
        <f t="shared" si="19"/>
        <v>3.02</v>
      </c>
      <c r="O79" s="12">
        <f t="shared" si="20"/>
        <v>282.39999999999998</v>
      </c>
      <c r="P79" s="5" t="str">
        <f>IF(M79&lt;=Controls!$B$2,"NORMAL",IF(M79&lt;=Controls!$B$3,"CAUTION","BLOCK"))</f>
        <v>NORMAL</v>
      </c>
      <c r="Q79" s="5" t="str">
        <f>IF(P79="BLOCK","Hold",IF(L79&gt;Controls!$B$4,"Hold",IF(P79="CAUTION","Drop",IF(G79&lt;0.25,IF(MOD(ROW(),13)=0,"Turn Left",IF(MOD(ROW(),9)=0,"Turn Right",IF(F79&lt;0.08,"Build","Hold"))),IF(F79&lt;0.08,"Build","Hold")))))</f>
        <v>Build</v>
      </c>
      <c r="R79" s="12">
        <f>ROUND(MAX(0.35,MIN(0.95,0.92 - 0.06*MAX(0,M79-Controls!$B$2) - 0.05*MAX(0,L79-Controls!$B$4) - 0.01*ABS(C79-50) + 0.04*(1-G79))),2)</f>
        <v>0.89</v>
      </c>
      <c r="S79" s="5" t="str">
        <f>IF(P79="BLOCK","BLOCKED",IF(R79&lt;Controls!$B$7,"REDUCED","ACCEPTED"))</f>
        <v>ACCEPTED</v>
      </c>
      <c r="T79" s="5" t="str">
        <f>IF(P79="BLOCK","LIMIT_EXCEEDED - DLS above "&amp;TEXT(Controls!$B$3,"0.0")&amp;" deg/100ft",IF(P79="CAUTION","DLS above operating limit - reduce aggressiveness",IF(L79&gt;Controls!$B$4,"High vibration - hold trajectory",IF(OR(C79&lt;Controls!$B$5,C79&gt;Controls!$B$6),"WOB outside preferred band","Normal operation"))))</f>
        <v>Normal operation</v>
      </c>
    </row>
    <row r="80" spans="1:20" x14ac:dyDescent="0.3">
      <c r="A80" s="7">
        <f>Raw_Data!A80</f>
        <v>3715</v>
      </c>
      <c r="B80" s="8">
        <f>Raw_Data!B80</f>
        <v>39579.177000000003</v>
      </c>
      <c r="C80" s="9">
        <f t="shared" si="14"/>
        <v>39.579177000000001</v>
      </c>
      <c r="D80" s="9">
        <f>ROUND(Controls!$B$8 + (Raw_Data!C80-Controls!$B$12)/MAX(0.000001,(Controls!$B$13-Controls!$B$12))*(Controls!$B$9-Controls!$B$8),1)</f>
        <v>136.69999999999999</v>
      </c>
      <c r="E80" s="9">
        <f>ROUND(Controls!$B$10 + (Raw_Data!D80-Controls!$B$14)/MAX(0.000001,(Controls!$B$15-Controls!$B$14))*(Controls!$B$11-Controls!$B$10),1)</f>
        <v>71.900000000000006</v>
      </c>
      <c r="F80" s="10">
        <f>Raw_Data!E80</f>
        <v>3.6167906074999999E-2</v>
      </c>
      <c r="G80" s="10">
        <f>Raw_Data!F80</f>
        <v>0.29487536350600002</v>
      </c>
      <c r="H80" s="10">
        <f>Raw_Data!G80</f>
        <v>1</v>
      </c>
      <c r="I80" s="10">
        <f>Raw_Data!H80</f>
        <v>1E-3</v>
      </c>
      <c r="J80" s="5" t="str">
        <f t="shared" si="15"/>
        <v>Transition</v>
      </c>
      <c r="K80" s="11">
        <f t="shared" si="16"/>
        <v>16.3</v>
      </c>
      <c r="L80" s="12">
        <f t="shared" si="17"/>
        <v>1.45</v>
      </c>
      <c r="M80" s="12">
        <f t="shared" si="18"/>
        <v>4.4800000000000004</v>
      </c>
      <c r="N80" s="12">
        <f t="shared" si="19"/>
        <v>3.02</v>
      </c>
      <c r="O80" s="12">
        <f t="shared" si="20"/>
        <v>284.2</v>
      </c>
      <c r="P80" s="5" t="str">
        <f>IF(M80&lt;=Controls!$B$2,"NORMAL",IF(M80&lt;=Controls!$B$3,"CAUTION","BLOCK"))</f>
        <v>NORMAL</v>
      </c>
      <c r="Q80" s="5" t="str">
        <f>IF(P80="BLOCK","Hold",IF(L80&gt;Controls!$B$4,"Hold",IF(P80="CAUTION","Drop",IF(G80&lt;0.25,IF(MOD(ROW(),13)=0,"Turn Left",IF(MOD(ROW(),9)=0,"Turn Right",IF(F80&lt;0.08,"Build","Hold"))),IF(F80&lt;0.08,"Build","Hold")))))</f>
        <v>Build</v>
      </c>
      <c r="R80" s="12">
        <f>ROUND(MAX(0.35,MIN(0.95,0.92 - 0.06*MAX(0,M80-Controls!$B$2) - 0.05*MAX(0,L80-Controls!$B$4) - 0.01*ABS(C80-50) + 0.04*(1-G80))),2)</f>
        <v>0.84</v>
      </c>
      <c r="S80" s="5" t="str">
        <f>IF(P80="BLOCK","BLOCKED",IF(R80&lt;Controls!$B$7,"REDUCED","ACCEPTED"))</f>
        <v>ACCEPTED</v>
      </c>
      <c r="T80" s="5" t="str">
        <f>IF(P80="BLOCK","LIMIT_EXCEEDED - DLS above "&amp;TEXT(Controls!$B$3,"0.0")&amp;" deg/100ft",IF(P80="CAUTION","DLS above operating limit - reduce aggressiveness",IF(L80&gt;Controls!$B$4,"High vibration - hold trajectory",IF(OR(C80&lt;Controls!$B$5,C80&gt;Controls!$B$6),"WOB outside preferred band","Normal operation"))))</f>
        <v>Normal operation</v>
      </c>
    </row>
    <row r="81" spans="1:20" x14ac:dyDescent="0.3">
      <c r="A81" s="7">
        <f>Raw_Data!A81</f>
        <v>3720</v>
      </c>
      <c r="B81" s="8">
        <f>Raw_Data!B81</f>
        <v>52606.802000000003</v>
      </c>
      <c r="C81" s="9">
        <f t="shared" si="14"/>
        <v>52.606802000000002</v>
      </c>
      <c r="D81" s="9">
        <f>ROUND(Controls!$B$8 + (Raw_Data!C81-Controls!$B$12)/MAX(0.000001,(Controls!$B$13-Controls!$B$12))*(Controls!$B$9-Controls!$B$8),1)</f>
        <v>136.4</v>
      </c>
      <c r="E81" s="9">
        <f>ROUND(Controls!$B$10 + (Raw_Data!D81-Controls!$B$14)/MAX(0.000001,(Controls!$B$15-Controls!$B$14))*(Controls!$B$11-Controls!$B$10),1)</f>
        <v>66.7</v>
      </c>
      <c r="F81" s="10">
        <f>Raw_Data!E81</f>
        <v>3.2926237717999997E-2</v>
      </c>
      <c r="G81" s="10">
        <f>Raw_Data!F81</f>
        <v>0.29050277972799998</v>
      </c>
      <c r="H81" s="10">
        <f>Raw_Data!G81</f>
        <v>1</v>
      </c>
      <c r="I81" s="10">
        <f>Raw_Data!H81</f>
        <v>1E-3</v>
      </c>
      <c r="J81" s="5" t="str">
        <f t="shared" si="15"/>
        <v>Transition</v>
      </c>
      <c r="K81" s="11">
        <f t="shared" si="16"/>
        <v>18.399999999999999</v>
      </c>
      <c r="L81" s="12">
        <f t="shared" si="17"/>
        <v>1.44</v>
      </c>
      <c r="M81" s="12">
        <f t="shared" si="18"/>
        <v>4.45</v>
      </c>
      <c r="N81" s="12">
        <f t="shared" si="19"/>
        <v>3.01</v>
      </c>
      <c r="O81" s="12">
        <f t="shared" si="20"/>
        <v>286</v>
      </c>
      <c r="P81" s="5" t="str">
        <f>IF(M81&lt;=Controls!$B$2,"NORMAL",IF(M81&lt;=Controls!$B$3,"CAUTION","BLOCK"))</f>
        <v>NORMAL</v>
      </c>
      <c r="Q81" s="5" t="str">
        <f>IF(P81="BLOCK","Hold",IF(L81&gt;Controls!$B$4,"Hold",IF(P81="CAUTION","Drop",IF(G81&lt;0.25,IF(MOD(ROW(),13)=0,"Turn Left",IF(MOD(ROW(),9)=0,"Turn Right",IF(F81&lt;0.08,"Build","Hold"))),IF(F81&lt;0.08,"Build","Hold")))))</f>
        <v>Build</v>
      </c>
      <c r="R81" s="12">
        <f>ROUND(MAX(0.35,MIN(0.95,0.92 - 0.06*MAX(0,M81-Controls!$B$2) - 0.05*MAX(0,L81-Controls!$B$4) - 0.01*ABS(C81-50) + 0.04*(1-G81))),2)</f>
        <v>0.92</v>
      </c>
      <c r="S81" s="5" t="str">
        <f>IF(P81="BLOCK","BLOCKED",IF(R81&lt;Controls!$B$7,"REDUCED","ACCEPTED"))</f>
        <v>ACCEPTED</v>
      </c>
      <c r="T81" s="5" t="str">
        <f>IF(P81="BLOCK","LIMIT_EXCEEDED - DLS above "&amp;TEXT(Controls!$B$3,"0.0")&amp;" deg/100ft",IF(P81="CAUTION","DLS above operating limit - reduce aggressiveness",IF(L81&gt;Controls!$B$4,"High vibration - hold trajectory",IF(OR(C81&lt;Controls!$B$5,C81&gt;Controls!$B$6),"WOB outside preferred band","Normal operation"))))</f>
        <v>Normal operation</v>
      </c>
    </row>
    <row r="82" spans="1:20" x14ac:dyDescent="0.3">
      <c r="A82" s="7">
        <f>Raw_Data!A82</f>
        <v>3725</v>
      </c>
      <c r="B82" s="8">
        <f>Raw_Data!B82</f>
        <v>51065.322999999997</v>
      </c>
      <c r="C82" s="9">
        <f t="shared" si="14"/>
        <v>51.065322999999999</v>
      </c>
      <c r="D82" s="9">
        <f>ROUND(Controls!$B$8 + (Raw_Data!C82-Controls!$B$12)/MAX(0.000001,(Controls!$B$13-Controls!$B$12))*(Controls!$B$9-Controls!$B$8),1)</f>
        <v>136.69999999999999</v>
      </c>
      <c r="E82" s="9">
        <f>ROUND(Controls!$B$10 + (Raw_Data!D82-Controls!$B$14)/MAX(0.000001,(Controls!$B$15-Controls!$B$14))*(Controls!$B$11-Controls!$B$10),1)</f>
        <v>65.3</v>
      </c>
      <c r="F82" s="10">
        <f>Raw_Data!E82</f>
        <v>4.0825294009E-2</v>
      </c>
      <c r="G82" s="10">
        <f>Raw_Data!F82</f>
        <v>0.29305465544100001</v>
      </c>
      <c r="H82" s="10">
        <f>Raw_Data!G82</f>
        <v>1</v>
      </c>
      <c r="I82" s="10">
        <f>Raw_Data!H82</f>
        <v>1E-3</v>
      </c>
      <c r="J82" s="5" t="str">
        <f t="shared" si="15"/>
        <v>Transition</v>
      </c>
      <c r="K82" s="11">
        <f t="shared" si="16"/>
        <v>18.100000000000001</v>
      </c>
      <c r="L82" s="12">
        <f t="shared" si="17"/>
        <v>1.45</v>
      </c>
      <c r="M82" s="12">
        <f t="shared" si="18"/>
        <v>4.47</v>
      </c>
      <c r="N82" s="12">
        <f t="shared" si="19"/>
        <v>3.01</v>
      </c>
      <c r="O82" s="12">
        <f t="shared" si="20"/>
        <v>287.8</v>
      </c>
      <c r="P82" s="5" t="str">
        <f>IF(M82&lt;=Controls!$B$2,"NORMAL",IF(M82&lt;=Controls!$B$3,"CAUTION","BLOCK"))</f>
        <v>NORMAL</v>
      </c>
      <c r="Q82" s="5" t="str">
        <f>IF(P82="BLOCK","Hold",IF(L82&gt;Controls!$B$4,"Hold",IF(P82="CAUTION","Drop",IF(G82&lt;0.25,IF(MOD(ROW(),13)=0,"Turn Left",IF(MOD(ROW(),9)=0,"Turn Right",IF(F82&lt;0.08,"Build","Hold"))),IF(F82&lt;0.08,"Build","Hold")))))</f>
        <v>Build</v>
      </c>
      <c r="R82" s="12">
        <f>ROUND(MAX(0.35,MIN(0.95,0.92 - 0.06*MAX(0,M82-Controls!$B$2) - 0.05*MAX(0,L82-Controls!$B$4) - 0.01*ABS(C82-50) + 0.04*(1-G82))),2)</f>
        <v>0.94</v>
      </c>
      <c r="S82" s="5" t="str">
        <f>IF(P82="BLOCK","BLOCKED",IF(R82&lt;Controls!$B$7,"REDUCED","ACCEPTED"))</f>
        <v>ACCEPTED</v>
      </c>
      <c r="T82" s="5" t="str">
        <f>IF(P82="BLOCK","LIMIT_EXCEEDED - DLS above "&amp;TEXT(Controls!$B$3,"0.0")&amp;" deg/100ft",IF(P82="CAUTION","DLS above operating limit - reduce aggressiveness",IF(L82&gt;Controls!$B$4,"High vibration - hold trajectory",IF(OR(C82&lt;Controls!$B$5,C82&gt;Controls!$B$6),"WOB outside preferred band","Normal operation"))))</f>
        <v>Normal operation</v>
      </c>
    </row>
    <row r="83" spans="1:20" x14ac:dyDescent="0.3">
      <c r="A83" s="7">
        <f>Raw_Data!A83</f>
        <v>3730</v>
      </c>
      <c r="B83" s="8">
        <f>Raw_Data!B83</f>
        <v>66499.771999999997</v>
      </c>
      <c r="C83" s="9">
        <f t="shared" si="14"/>
        <v>66.499771999999993</v>
      </c>
      <c r="D83" s="9">
        <f>ROUND(Controls!$B$8 + (Raw_Data!C83-Controls!$B$12)/MAX(0.000001,(Controls!$B$13-Controls!$B$12))*(Controls!$B$9-Controls!$B$8),1)</f>
        <v>136.4</v>
      </c>
      <c r="E83" s="9">
        <f>ROUND(Controls!$B$10 + (Raw_Data!D83-Controls!$B$14)/MAX(0.000001,(Controls!$B$15-Controls!$B$14))*(Controls!$B$11-Controls!$B$10),1)</f>
        <v>65.3</v>
      </c>
      <c r="F83" s="10">
        <f>Raw_Data!E83</f>
        <v>4.1629135796999998E-2</v>
      </c>
      <c r="G83" s="10">
        <f>Raw_Data!F83</f>
        <v>0.30898511440699999</v>
      </c>
      <c r="H83" s="10">
        <f>Raw_Data!G83</f>
        <v>1</v>
      </c>
      <c r="I83" s="10">
        <f>Raw_Data!H83</f>
        <v>1E-3</v>
      </c>
      <c r="J83" s="5" t="str">
        <f t="shared" si="15"/>
        <v>Transition</v>
      </c>
      <c r="K83" s="11">
        <f t="shared" si="16"/>
        <v>20.7</v>
      </c>
      <c r="L83" s="12">
        <f t="shared" si="17"/>
        <v>1.69</v>
      </c>
      <c r="M83" s="12">
        <f t="shared" si="18"/>
        <v>4.8099999999999996</v>
      </c>
      <c r="N83" s="12">
        <f t="shared" si="19"/>
        <v>3.05</v>
      </c>
      <c r="O83" s="12">
        <f t="shared" si="20"/>
        <v>289.60000000000002</v>
      </c>
      <c r="P83" s="5" t="str">
        <f>IF(M83&lt;=Controls!$B$2,"NORMAL",IF(M83&lt;=Controls!$B$3,"CAUTION","BLOCK"))</f>
        <v>NORMAL</v>
      </c>
      <c r="Q83" s="5" t="str">
        <f>IF(P83="BLOCK","Hold",IF(L83&gt;Controls!$B$4,"Hold",IF(P83="CAUTION","Drop",IF(G83&lt;0.25,IF(MOD(ROW(),13)=0,"Turn Left",IF(MOD(ROW(),9)=0,"Turn Right",IF(F83&lt;0.08,"Build","Hold"))),IF(F83&lt;0.08,"Build","Hold")))))</f>
        <v>Build</v>
      </c>
      <c r="R83" s="12">
        <f>ROUND(MAX(0.35,MIN(0.95,0.92 - 0.06*MAX(0,M83-Controls!$B$2) - 0.05*MAX(0,L83-Controls!$B$4) - 0.01*ABS(C83-50) + 0.04*(1-G83))),2)</f>
        <v>0.78</v>
      </c>
      <c r="S83" s="5" t="str">
        <f>IF(P83="BLOCK","BLOCKED",IF(R83&lt;Controls!$B$7,"REDUCED","ACCEPTED"))</f>
        <v>ACCEPTED</v>
      </c>
      <c r="T83" s="5" t="str">
        <f>IF(P83="BLOCK","LIMIT_EXCEEDED - DLS above "&amp;TEXT(Controls!$B$3,"0.0")&amp;" deg/100ft",IF(P83="CAUTION","DLS above operating limit - reduce aggressiveness",IF(L83&gt;Controls!$B$4,"High vibration - hold trajectory",IF(OR(C83&lt;Controls!$B$5,C83&gt;Controls!$B$6),"WOB outside preferred band","Normal operation"))))</f>
        <v>Normal operation</v>
      </c>
    </row>
    <row r="84" spans="1:20" x14ac:dyDescent="0.3">
      <c r="A84" s="7">
        <f>Raw_Data!A84</f>
        <v>3735</v>
      </c>
      <c r="B84" s="8">
        <f>Raw_Data!B84</f>
        <v>40711.114000000001</v>
      </c>
      <c r="C84" s="9">
        <f t="shared" si="14"/>
        <v>40.711114000000002</v>
      </c>
      <c r="D84" s="9">
        <f>ROUND(Controls!$B$8 + (Raw_Data!C84-Controls!$B$12)/MAX(0.000001,(Controls!$B$13-Controls!$B$12))*(Controls!$B$9-Controls!$B$8),1)</f>
        <v>136.5</v>
      </c>
      <c r="E84" s="9">
        <f>ROUND(Controls!$B$10 + (Raw_Data!D84-Controls!$B$14)/MAX(0.000001,(Controls!$B$15-Controls!$B$14))*(Controls!$B$11-Controls!$B$10),1)</f>
        <v>73.8</v>
      </c>
      <c r="F84" s="10">
        <f>Raw_Data!E84</f>
        <v>5.4674074221999998E-2</v>
      </c>
      <c r="G84" s="10">
        <f>Raw_Data!F84</f>
        <v>0.379354737015</v>
      </c>
      <c r="H84" s="10">
        <f>Raw_Data!G84</f>
        <v>1</v>
      </c>
      <c r="I84" s="10">
        <f>Raw_Data!H84</f>
        <v>1E-3</v>
      </c>
      <c r="J84" s="5" t="str">
        <f t="shared" si="15"/>
        <v>Transition</v>
      </c>
      <c r="K84" s="11">
        <f t="shared" si="16"/>
        <v>17.100000000000001</v>
      </c>
      <c r="L84" s="12">
        <f t="shared" si="17"/>
        <v>1.56</v>
      </c>
      <c r="M84" s="12">
        <f t="shared" si="18"/>
        <v>4.82</v>
      </c>
      <c r="N84" s="12">
        <f t="shared" si="19"/>
        <v>3.09</v>
      </c>
      <c r="O84" s="12">
        <f t="shared" si="20"/>
        <v>291.39999999999998</v>
      </c>
      <c r="P84" s="5" t="str">
        <f>IF(M84&lt;=Controls!$B$2,"NORMAL",IF(M84&lt;=Controls!$B$3,"CAUTION","BLOCK"))</f>
        <v>NORMAL</v>
      </c>
      <c r="Q84" s="5" t="str">
        <f>IF(P84="BLOCK","Hold",IF(L84&gt;Controls!$B$4,"Hold",IF(P84="CAUTION","Drop",IF(G84&lt;0.25,IF(MOD(ROW(),13)=0,"Turn Left",IF(MOD(ROW(),9)=0,"Turn Right",IF(F84&lt;0.08,"Build","Hold"))),IF(F84&lt;0.08,"Build","Hold")))))</f>
        <v>Build</v>
      </c>
      <c r="R84" s="12">
        <f>ROUND(MAX(0.35,MIN(0.95,0.92 - 0.06*MAX(0,M84-Controls!$B$2) - 0.05*MAX(0,L84-Controls!$B$4) - 0.01*ABS(C84-50) + 0.04*(1-G84))),2)</f>
        <v>0.85</v>
      </c>
      <c r="S84" s="5" t="str">
        <f>IF(P84="BLOCK","BLOCKED",IF(R84&lt;Controls!$B$7,"REDUCED","ACCEPTED"))</f>
        <v>ACCEPTED</v>
      </c>
      <c r="T84" s="5" t="str">
        <f>IF(P84="BLOCK","LIMIT_EXCEEDED - DLS above "&amp;TEXT(Controls!$B$3,"0.0")&amp;" deg/100ft",IF(P84="CAUTION","DLS above operating limit - reduce aggressiveness",IF(L84&gt;Controls!$B$4,"High vibration - hold trajectory",IF(OR(C84&lt;Controls!$B$5,C84&gt;Controls!$B$6),"WOB outside preferred band","Normal operation"))))</f>
        <v>Normal operation</v>
      </c>
    </row>
    <row r="85" spans="1:20" x14ac:dyDescent="0.3">
      <c r="A85" s="7">
        <f>Raw_Data!A85</f>
        <v>3740</v>
      </c>
      <c r="B85" s="8">
        <f>Raw_Data!B85</f>
        <v>39286.239000000001</v>
      </c>
      <c r="C85" s="9">
        <f t="shared" si="14"/>
        <v>39.286239000000002</v>
      </c>
      <c r="D85" s="9">
        <f>ROUND(Controls!$B$8 + (Raw_Data!C85-Controls!$B$12)/MAX(0.000001,(Controls!$B$13-Controls!$B$12))*(Controls!$B$9-Controls!$B$8),1)</f>
        <v>136.4</v>
      </c>
      <c r="E85" s="9">
        <f>ROUND(Controls!$B$10 + (Raw_Data!D85-Controls!$B$14)/MAX(0.000001,(Controls!$B$15-Controls!$B$14))*(Controls!$B$11-Controls!$B$10),1)</f>
        <v>50.6</v>
      </c>
      <c r="F85" s="10">
        <f>Raw_Data!E85</f>
        <v>5.6659739552000002E-2</v>
      </c>
      <c r="G85" s="10">
        <f>Raw_Data!F85</f>
        <v>0.37934502765799999</v>
      </c>
      <c r="H85" s="10">
        <f>Raw_Data!G85</f>
        <v>1</v>
      </c>
      <c r="I85" s="10">
        <f>Raw_Data!H85</f>
        <v>1E-3</v>
      </c>
      <c r="J85" s="5" t="str">
        <f t="shared" si="15"/>
        <v>Transition</v>
      </c>
      <c r="K85" s="11">
        <f t="shared" si="16"/>
        <v>16.8</v>
      </c>
      <c r="L85" s="12">
        <f t="shared" si="17"/>
        <v>2.06</v>
      </c>
      <c r="M85" s="12">
        <f t="shared" si="18"/>
        <v>5.0199999999999996</v>
      </c>
      <c r="N85" s="12">
        <f t="shared" si="19"/>
        <v>3.15</v>
      </c>
      <c r="O85" s="12">
        <f t="shared" si="20"/>
        <v>293.2</v>
      </c>
      <c r="P85" s="5" t="str">
        <f>IF(M85&lt;=Controls!$B$2,"NORMAL",IF(M85&lt;=Controls!$B$3,"CAUTION","BLOCK"))</f>
        <v>NORMAL</v>
      </c>
      <c r="Q85" s="5" t="str">
        <f>IF(P85="BLOCK","Hold",IF(L85&gt;Controls!$B$4,"Hold",IF(P85="CAUTION","Drop",IF(G85&lt;0.25,IF(MOD(ROW(),13)=0,"Turn Left",IF(MOD(ROW(),9)=0,"Turn Right",IF(F85&lt;0.08,"Build","Hold"))),IF(F85&lt;0.08,"Build","Hold")))))</f>
        <v>Build</v>
      </c>
      <c r="R85" s="12">
        <f>ROUND(MAX(0.35,MIN(0.95,0.92 - 0.06*MAX(0,M85-Controls!$B$2) - 0.05*MAX(0,L85-Controls!$B$4) - 0.01*ABS(C85-50) + 0.04*(1-G85))),2)</f>
        <v>0.84</v>
      </c>
      <c r="S85" s="5" t="str">
        <f>IF(P85="BLOCK","BLOCKED",IF(R85&lt;Controls!$B$7,"REDUCED","ACCEPTED"))</f>
        <v>ACCEPTED</v>
      </c>
      <c r="T85" s="5" t="str">
        <f>IF(P85="BLOCK","LIMIT_EXCEEDED - DLS above "&amp;TEXT(Controls!$B$3,"0.0")&amp;" deg/100ft",IF(P85="CAUTION","DLS above operating limit - reduce aggressiveness",IF(L85&gt;Controls!$B$4,"High vibration - hold trajectory",IF(OR(C85&lt;Controls!$B$5,C85&gt;Controls!$B$6),"WOB outside preferred band","Normal operation"))))</f>
        <v>Normal operation</v>
      </c>
    </row>
    <row r="86" spans="1:20" x14ac:dyDescent="0.3">
      <c r="A86" s="7">
        <f>Raw_Data!A86</f>
        <v>3745</v>
      </c>
      <c r="B86" s="8">
        <f>Raw_Data!B86</f>
        <v>70948.748999999996</v>
      </c>
      <c r="C86" s="9">
        <f t="shared" si="14"/>
        <v>70.948748999999992</v>
      </c>
      <c r="D86" s="9">
        <f>ROUND(Controls!$B$8 + (Raw_Data!C86-Controls!$B$12)/MAX(0.000001,(Controls!$B$13-Controls!$B$12))*(Controls!$B$9-Controls!$B$8),1)</f>
        <v>136.5</v>
      </c>
      <c r="E86" s="9">
        <f>ROUND(Controls!$B$10 + (Raw_Data!D86-Controls!$B$14)/MAX(0.000001,(Controls!$B$15-Controls!$B$14))*(Controls!$B$11-Controls!$B$10),1)</f>
        <v>68.2</v>
      </c>
      <c r="F86" s="10">
        <f>Raw_Data!E86</f>
        <v>7.1144798257E-2</v>
      </c>
      <c r="G86" s="10">
        <f>Raw_Data!F86</f>
        <v>0.38761198604899999</v>
      </c>
      <c r="H86" s="10">
        <f>Raw_Data!G86</f>
        <v>1</v>
      </c>
      <c r="I86" s="10">
        <f>Raw_Data!H86</f>
        <v>1E-3</v>
      </c>
      <c r="J86" s="5" t="str">
        <f t="shared" si="15"/>
        <v>Transition</v>
      </c>
      <c r="K86" s="11">
        <f t="shared" si="16"/>
        <v>21.9</v>
      </c>
      <c r="L86" s="12">
        <f t="shared" si="17"/>
        <v>1.89</v>
      </c>
      <c r="M86" s="12">
        <f t="shared" si="18"/>
        <v>5.31</v>
      </c>
      <c r="N86" s="12">
        <f t="shared" si="19"/>
        <v>3.25</v>
      </c>
      <c r="O86" s="12">
        <f t="shared" si="20"/>
        <v>295</v>
      </c>
      <c r="P86" s="5" t="str">
        <f>IF(M86&lt;=Controls!$B$2,"NORMAL",IF(M86&lt;=Controls!$B$3,"CAUTION","BLOCK"))</f>
        <v>NORMAL</v>
      </c>
      <c r="Q86" s="5" t="str">
        <f>IF(P86="BLOCK","Hold",IF(L86&gt;Controls!$B$4,"Hold",IF(P86="CAUTION","Drop",IF(G86&lt;0.25,IF(MOD(ROW(),13)=0,"Turn Left",IF(MOD(ROW(),9)=0,"Turn Right",IF(F86&lt;0.08,"Build","Hold"))),IF(F86&lt;0.08,"Build","Hold")))))</f>
        <v>Build</v>
      </c>
      <c r="R86" s="12">
        <f>ROUND(MAX(0.35,MIN(0.95,0.92 - 0.06*MAX(0,M86-Controls!$B$2) - 0.05*MAX(0,L86-Controls!$B$4) - 0.01*ABS(C86-50) + 0.04*(1-G86))),2)</f>
        <v>0.74</v>
      </c>
      <c r="S86" s="5" t="str">
        <f>IF(P86="BLOCK","BLOCKED",IF(R86&lt;Controls!$B$7,"REDUCED","ACCEPTED"))</f>
        <v>ACCEPTED</v>
      </c>
      <c r="T86" s="5" t="str">
        <f>IF(P86="BLOCK","LIMIT_EXCEEDED - DLS above "&amp;TEXT(Controls!$B$3,"0.0")&amp;" deg/100ft",IF(P86="CAUTION","DLS above operating limit - reduce aggressiveness",IF(L86&gt;Controls!$B$4,"High vibration - hold trajectory",IF(OR(C86&lt;Controls!$B$5,C86&gt;Controls!$B$6),"WOB outside preferred band","Normal operation"))))</f>
        <v>Normal operation</v>
      </c>
    </row>
    <row r="87" spans="1:20" x14ac:dyDescent="0.3">
      <c r="A87" s="7">
        <f>Raw_Data!A87</f>
        <v>3750</v>
      </c>
      <c r="B87" s="8">
        <f>Raw_Data!B87</f>
        <v>31209.190999999999</v>
      </c>
      <c r="C87" s="9">
        <f t="shared" si="14"/>
        <v>31.209191000000001</v>
      </c>
      <c r="D87" s="9">
        <f>ROUND(Controls!$B$8 + (Raw_Data!C87-Controls!$B$12)/MAX(0.000001,(Controls!$B$13-Controls!$B$12))*(Controls!$B$9-Controls!$B$8),1)</f>
        <v>136.6</v>
      </c>
      <c r="E87" s="9">
        <f>ROUND(Controls!$B$10 + (Raw_Data!D87-Controls!$B$14)/MAX(0.000001,(Controls!$B$15-Controls!$B$14))*(Controls!$B$11-Controls!$B$10),1)</f>
        <v>68.8</v>
      </c>
      <c r="F87" s="10">
        <f>Raw_Data!E87</f>
        <v>7.1399259480999996E-2</v>
      </c>
      <c r="G87" s="10">
        <f>Raw_Data!F87</f>
        <v>0.455446647629</v>
      </c>
      <c r="H87" s="10">
        <f>Raw_Data!G87</f>
        <v>1</v>
      </c>
      <c r="I87" s="10">
        <f>Raw_Data!H87</f>
        <v>1E-3</v>
      </c>
      <c r="J87" s="5" t="str">
        <f t="shared" si="15"/>
        <v>Shale-prone</v>
      </c>
      <c r="K87" s="11">
        <f t="shared" si="16"/>
        <v>16</v>
      </c>
      <c r="L87" s="12">
        <f t="shared" si="17"/>
        <v>1.67</v>
      </c>
      <c r="M87" s="12">
        <f t="shared" si="18"/>
        <v>5.14</v>
      </c>
      <c r="N87" s="12">
        <f t="shared" si="19"/>
        <v>3.33</v>
      </c>
      <c r="O87" s="12">
        <f t="shared" si="20"/>
        <v>296.8</v>
      </c>
      <c r="P87" s="5" t="str">
        <f>IF(M87&lt;=Controls!$B$2,"NORMAL",IF(M87&lt;=Controls!$B$3,"CAUTION","BLOCK"))</f>
        <v>NORMAL</v>
      </c>
      <c r="Q87" s="5" t="str">
        <f>IF(P87="BLOCK","Hold",IF(L87&gt;Controls!$B$4,"Hold",IF(P87="CAUTION","Drop",IF(G87&lt;0.25,IF(MOD(ROW(),13)=0,"Turn Left",IF(MOD(ROW(),9)=0,"Turn Right",IF(F87&lt;0.08,"Build","Hold"))),IF(F87&lt;0.08,"Build","Hold")))))</f>
        <v>Build</v>
      </c>
      <c r="R87" s="12">
        <f>ROUND(MAX(0.35,MIN(0.95,0.92 - 0.06*MAX(0,M87-Controls!$B$2) - 0.05*MAX(0,L87-Controls!$B$4) - 0.01*ABS(C87-50) + 0.04*(1-G87))),2)</f>
        <v>0.75</v>
      </c>
      <c r="S87" s="5" t="str">
        <f>IF(P87="BLOCK","BLOCKED",IF(R87&lt;Controls!$B$7,"REDUCED","ACCEPTED"))</f>
        <v>ACCEPTED</v>
      </c>
      <c r="T87" s="5" t="str">
        <f>IF(P87="BLOCK","LIMIT_EXCEEDED - DLS above "&amp;TEXT(Controls!$B$3,"0.0")&amp;" deg/100ft",IF(P87="CAUTION","DLS above operating limit - reduce aggressiveness",IF(L87&gt;Controls!$B$4,"High vibration - hold trajectory",IF(OR(C87&lt;Controls!$B$5,C87&gt;Controls!$B$6),"WOB outside preferred band","Normal operation"))))</f>
        <v>Normal operation</v>
      </c>
    </row>
    <row r="88" spans="1:20" x14ac:dyDescent="0.3">
      <c r="A88" s="7">
        <f>Raw_Data!A88</f>
        <v>3755</v>
      </c>
      <c r="B88" s="8">
        <f>Raw_Data!B88</f>
        <v>38222.462999999902</v>
      </c>
      <c r="C88" s="9">
        <f t="shared" si="14"/>
        <v>38.222462999999898</v>
      </c>
      <c r="D88" s="9">
        <f>ROUND(Controls!$B$8 + (Raw_Data!C88-Controls!$B$12)/MAX(0.000001,(Controls!$B$13-Controls!$B$12))*(Controls!$B$9-Controls!$B$8),1)</f>
        <v>136.5</v>
      </c>
      <c r="E88" s="9">
        <f>ROUND(Controls!$B$10 + (Raw_Data!D88-Controls!$B$14)/MAX(0.000001,(Controls!$B$15-Controls!$B$14))*(Controls!$B$11-Controls!$B$10),1)</f>
        <v>68.900000000000006</v>
      </c>
      <c r="F88" s="10">
        <f>Raw_Data!E88</f>
        <v>1.7176436602000002E-2</v>
      </c>
      <c r="G88" s="10">
        <f>Raw_Data!F88</f>
        <v>0.22845914663399999</v>
      </c>
      <c r="H88" s="10">
        <f>Raw_Data!G88</f>
        <v>1</v>
      </c>
      <c r="I88" s="10">
        <f>Raw_Data!H88</f>
        <v>1E-3</v>
      </c>
      <c r="J88" s="5" t="str">
        <f t="shared" si="15"/>
        <v>Cleaner sand</v>
      </c>
      <c r="K88" s="11">
        <f t="shared" si="16"/>
        <v>15.7</v>
      </c>
      <c r="L88" s="12">
        <f t="shared" si="17"/>
        <v>1.35</v>
      </c>
      <c r="M88" s="12">
        <f t="shared" si="18"/>
        <v>4.1900000000000004</v>
      </c>
      <c r="N88" s="12">
        <f t="shared" si="19"/>
        <v>3.29</v>
      </c>
      <c r="O88" s="12">
        <f t="shared" si="20"/>
        <v>298.60000000000002</v>
      </c>
      <c r="P88" s="5" t="str">
        <f>IF(M88&lt;=Controls!$B$2,"NORMAL",IF(M88&lt;=Controls!$B$3,"CAUTION","BLOCK"))</f>
        <v>NORMAL</v>
      </c>
      <c r="Q88" s="5" t="str">
        <f>IF(P88="BLOCK","Hold",IF(L88&gt;Controls!$B$4,"Hold",IF(P88="CAUTION","Drop",IF(G88&lt;0.25,IF(MOD(ROW(),13)=0,"Turn Left",IF(MOD(ROW(),9)=0,"Turn Right",IF(F88&lt;0.08,"Build","Hold"))),IF(F88&lt;0.08,"Build","Hold")))))</f>
        <v>Build</v>
      </c>
      <c r="R88" s="12">
        <f>ROUND(MAX(0.35,MIN(0.95,0.92 - 0.06*MAX(0,M88-Controls!$B$2) - 0.05*MAX(0,L88-Controls!$B$4) - 0.01*ABS(C88-50) + 0.04*(1-G88))),2)</f>
        <v>0.83</v>
      </c>
      <c r="S88" s="5" t="str">
        <f>IF(P88="BLOCK","BLOCKED",IF(R88&lt;Controls!$B$7,"REDUCED","ACCEPTED"))</f>
        <v>ACCEPTED</v>
      </c>
      <c r="T88" s="5" t="str">
        <f>IF(P88="BLOCK","LIMIT_EXCEEDED - DLS above "&amp;TEXT(Controls!$B$3,"0.0")&amp;" deg/100ft",IF(P88="CAUTION","DLS above operating limit - reduce aggressiveness",IF(L88&gt;Controls!$B$4,"High vibration - hold trajectory",IF(OR(C88&lt;Controls!$B$5,C88&gt;Controls!$B$6),"WOB outside preferred band","Normal operation"))))</f>
        <v>Normal operation</v>
      </c>
    </row>
    <row r="89" spans="1:20" x14ac:dyDescent="0.3">
      <c r="A89" s="7">
        <f>Raw_Data!A89</f>
        <v>3760</v>
      </c>
      <c r="B89" s="8">
        <f>Raw_Data!B89</f>
        <v>46129.404999999999</v>
      </c>
      <c r="C89" s="9">
        <f t="shared" si="14"/>
        <v>46.129404999999998</v>
      </c>
      <c r="D89" s="9">
        <f>ROUND(Controls!$B$8 + (Raw_Data!C89-Controls!$B$12)/MAX(0.000001,(Controls!$B$13-Controls!$B$12))*(Controls!$B$9-Controls!$B$8),1)</f>
        <v>136.6</v>
      </c>
      <c r="E89" s="9">
        <f>ROUND(Controls!$B$10 + (Raw_Data!D89-Controls!$B$14)/MAX(0.000001,(Controls!$B$15-Controls!$B$14))*(Controls!$B$11-Controls!$B$10),1)</f>
        <v>64.3</v>
      </c>
      <c r="F89" s="10">
        <f>Raw_Data!E89</f>
        <v>2.7820991563999999E-2</v>
      </c>
      <c r="G89" s="10">
        <f>Raw_Data!F89</f>
        <v>0.27234898807199998</v>
      </c>
      <c r="H89" s="10">
        <f>Raw_Data!G89</f>
        <v>1</v>
      </c>
      <c r="I89" s="10">
        <f>Raw_Data!H89</f>
        <v>1E-3</v>
      </c>
      <c r="J89" s="5" t="str">
        <f t="shared" si="15"/>
        <v>Transition</v>
      </c>
      <c r="K89" s="11">
        <f t="shared" si="16"/>
        <v>17.2</v>
      </c>
      <c r="L89" s="12">
        <f t="shared" si="17"/>
        <v>1.42</v>
      </c>
      <c r="M89" s="12">
        <f t="shared" si="18"/>
        <v>4.38</v>
      </c>
      <c r="N89" s="12">
        <f t="shared" si="19"/>
        <v>3.28</v>
      </c>
      <c r="O89" s="12">
        <f t="shared" si="20"/>
        <v>300.39999999999998</v>
      </c>
      <c r="P89" s="5" t="str">
        <f>IF(M89&lt;=Controls!$B$2,"NORMAL",IF(M89&lt;=Controls!$B$3,"CAUTION","BLOCK"))</f>
        <v>NORMAL</v>
      </c>
      <c r="Q89" s="5" t="str">
        <f>IF(P89="BLOCK","Hold",IF(L89&gt;Controls!$B$4,"Hold",IF(P89="CAUTION","Drop",IF(G89&lt;0.25,IF(MOD(ROW(),13)=0,"Turn Left",IF(MOD(ROW(),9)=0,"Turn Right",IF(F89&lt;0.08,"Build","Hold"))),IF(F89&lt;0.08,"Build","Hold")))))</f>
        <v>Build</v>
      </c>
      <c r="R89" s="12">
        <f>ROUND(MAX(0.35,MIN(0.95,0.92 - 0.06*MAX(0,M89-Controls!$B$2) - 0.05*MAX(0,L89-Controls!$B$4) - 0.01*ABS(C89-50) + 0.04*(1-G89))),2)</f>
        <v>0.91</v>
      </c>
      <c r="S89" s="5" t="str">
        <f>IF(P89="BLOCK","BLOCKED",IF(R89&lt;Controls!$B$7,"REDUCED","ACCEPTED"))</f>
        <v>ACCEPTED</v>
      </c>
      <c r="T89" s="5" t="str">
        <f>IF(P89="BLOCK","LIMIT_EXCEEDED - DLS above "&amp;TEXT(Controls!$B$3,"0.0")&amp;" deg/100ft",IF(P89="CAUTION","DLS above operating limit - reduce aggressiveness",IF(L89&gt;Controls!$B$4,"High vibration - hold trajectory",IF(OR(C89&lt;Controls!$B$5,C89&gt;Controls!$B$6),"WOB outside preferred band","Normal operation"))))</f>
        <v>Normal operation</v>
      </c>
    </row>
    <row r="90" spans="1:20" x14ac:dyDescent="0.3">
      <c r="A90" s="7">
        <f>Raw_Data!A90</f>
        <v>3765</v>
      </c>
      <c r="B90" s="8">
        <f>Raw_Data!B90</f>
        <v>49690.284</v>
      </c>
      <c r="C90" s="9">
        <f t="shared" si="14"/>
        <v>49.690283999999998</v>
      </c>
      <c r="D90" s="9">
        <f>ROUND(Controls!$B$8 + (Raw_Data!C90-Controls!$B$12)/MAX(0.000001,(Controls!$B$13-Controls!$B$12))*(Controls!$B$9-Controls!$B$8),1)</f>
        <v>136.5</v>
      </c>
      <c r="E90" s="9">
        <f>ROUND(Controls!$B$10 + (Raw_Data!D90-Controls!$B$14)/MAX(0.000001,(Controls!$B$15-Controls!$B$14))*(Controls!$B$11-Controls!$B$10),1)</f>
        <v>64.3</v>
      </c>
      <c r="F90" s="10">
        <f>Raw_Data!E90</f>
        <v>1.7025147829000001E-2</v>
      </c>
      <c r="G90" s="10">
        <f>Raw_Data!F90</f>
        <v>0.26902732525099998</v>
      </c>
      <c r="H90" s="10">
        <f>Raw_Data!G90</f>
        <v>1</v>
      </c>
      <c r="I90" s="10">
        <f>Raw_Data!H90</f>
        <v>1E-3</v>
      </c>
      <c r="J90" s="5" t="str">
        <f t="shared" si="15"/>
        <v>Transition</v>
      </c>
      <c r="K90" s="11">
        <f t="shared" si="16"/>
        <v>17.8</v>
      </c>
      <c r="L90" s="12">
        <f t="shared" si="17"/>
        <v>1.41</v>
      </c>
      <c r="M90" s="12">
        <f t="shared" si="18"/>
        <v>4.3600000000000003</v>
      </c>
      <c r="N90" s="12">
        <f t="shared" si="19"/>
        <v>3.26</v>
      </c>
      <c r="O90" s="12">
        <f t="shared" si="20"/>
        <v>302.2</v>
      </c>
      <c r="P90" s="5" t="str">
        <f>IF(M90&lt;=Controls!$B$2,"NORMAL",IF(M90&lt;=Controls!$B$3,"CAUTION","BLOCK"))</f>
        <v>NORMAL</v>
      </c>
      <c r="Q90" s="5" t="str">
        <f>IF(P90="BLOCK","Hold",IF(L90&gt;Controls!$B$4,"Hold",IF(P90="CAUTION","Drop",IF(G90&lt;0.25,IF(MOD(ROW(),13)=0,"Turn Left",IF(MOD(ROW(),9)=0,"Turn Right",IF(F90&lt;0.08,"Build","Hold"))),IF(F90&lt;0.08,"Build","Hold")))))</f>
        <v>Build</v>
      </c>
      <c r="R90" s="12">
        <f>ROUND(MAX(0.35,MIN(0.95,0.92 - 0.06*MAX(0,M90-Controls!$B$2) - 0.05*MAX(0,L90-Controls!$B$4) - 0.01*ABS(C90-50) + 0.04*(1-G90))),2)</f>
        <v>0.95</v>
      </c>
      <c r="S90" s="5" t="str">
        <f>IF(P90="BLOCK","BLOCKED",IF(R90&lt;Controls!$B$7,"REDUCED","ACCEPTED"))</f>
        <v>ACCEPTED</v>
      </c>
      <c r="T90" s="5" t="str">
        <f>IF(P90="BLOCK","LIMIT_EXCEEDED - DLS above "&amp;TEXT(Controls!$B$3,"0.0")&amp;" deg/100ft",IF(P90="CAUTION","DLS above operating limit - reduce aggressiveness",IF(L90&gt;Controls!$B$4,"High vibration - hold trajectory",IF(OR(C90&lt;Controls!$B$5,C90&gt;Controls!$B$6),"WOB outside preferred band","Normal operation"))))</f>
        <v>Normal operation</v>
      </c>
    </row>
    <row r="91" spans="1:20" x14ac:dyDescent="0.3">
      <c r="A91" s="7">
        <f>Raw_Data!A91</f>
        <v>3770</v>
      </c>
      <c r="B91" s="8">
        <f>Raw_Data!B91</f>
        <v>55013.203000000001</v>
      </c>
      <c r="C91" s="9">
        <f t="shared" si="14"/>
        <v>55.013203000000004</v>
      </c>
      <c r="D91" s="9">
        <f>ROUND(Controls!$B$8 + (Raw_Data!C91-Controls!$B$12)/MAX(0.000001,(Controls!$B$13-Controls!$B$12))*(Controls!$B$9-Controls!$B$8),1)</f>
        <v>136.5</v>
      </c>
      <c r="E91" s="9">
        <f>ROUND(Controls!$B$10 + (Raw_Data!D91-Controls!$B$14)/MAX(0.000001,(Controls!$B$15-Controls!$B$14))*(Controls!$B$11-Controls!$B$10),1)</f>
        <v>64.3</v>
      </c>
      <c r="F91" s="10">
        <f>Raw_Data!E91</f>
        <v>2.0829322056999999E-2</v>
      </c>
      <c r="G91" s="10">
        <f>Raw_Data!F91</f>
        <v>0.17678374855699999</v>
      </c>
      <c r="H91" s="10">
        <f>Raw_Data!G91</f>
        <v>1</v>
      </c>
      <c r="I91" s="10">
        <f>Raw_Data!H91</f>
        <v>1E-3</v>
      </c>
      <c r="J91" s="5" t="str">
        <f t="shared" si="15"/>
        <v>Cleaner sand</v>
      </c>
      <c r="K91" s="11">
        <f t="shared" si="16"/>
        <v>18</v>
      </c>
      <c r="L91" s="12">
        <f t="shared" si="17"/>
        <v>1.28</v>
      </c>
      <c r="M91" s="12">
        <f t="shared" si="18"/>
        <v>3.98</v>
      </c>
      <c r="N91" s="12">
        <f t="shared" si="19"/>
        <v>3.2</v>
      </c>
      <c r="O91" s="12">
        <f t="shared" si="20"/>
        <v>300.39999999999998</v>
      </c>
      <c r="P91" s="5" t="str">
        <f>IF(M91&lt;=Controls!$B$2,"NORMAL",IF(M91&lt;=Controls!$B$3,"CAUTION","BLOCK"))</f>
        <v>NORMAL</v>
      </c>
      <c r="Q91" s="5" t="str">
        <f>IF(P91="BLOCK","Hold",IF(L91&gt;Controls!$B$4,"Hold",IF(P91="CAUTION","Drop",IF(G91&lt;0.25,IF(MOD(ROW(),13)=0,"Turn Left",IF(MOD(ROW(),9)=0,"Turn Right",IF(F91&lt;0.08,"Build","Hold"))),IF(F91&lt;0.08,"Build","Hold")))))</f>
        <v>Turn Left</v>
      </c>
      <c r="R91" s="12">
        <f>ROUND(MAX(0.35,MIN(0.95,0.92 - 0.06*MAX(0,M91-Controls!$B$2) - 0.05*MAX(0,L91-Controls!$B$4) - 0.01*ABS(C91-50) + 0.04*(1-G91))),2)</f>
        <v>0.9</v>
      </c>
      <c r="S91" s="5" t="str">
        <f>IF(P91="BLOCK","BLOCKED",IF(R91&lt;Controls!$B$7,"REDUCED","ACCEPTED"))</f>
        <v>ACCEPTED</v>
      </c>
      <c r="T91" s="5" t="str">
        <f>IF(P91="BLOCK","LIMIT_EXCEEDED - DLS above "&amp;TEXT(Controls!$B$3,"0.0")&amp;" deg/100ft",IF(P91="CAUTION","DLS above operating limit - reduce aggressiveness",IF(L91&gt;Controls!$B$4,"High vibration - hold trajectory",IF(OR(C91&lt;Controls!$B$5,C91&gt;Controls!$B$6),"WOB outside preferred band","Normal operation"))))</f>
        <v>Normal operation</v>
      </c>
    </row>
    <row r="92" spans="1:20" x14ac:dyDescent="0.3">
      <c r="A92" s="7">
        <f>Raw_Data!A92</f>
        <v>3775</v>
      </c>
      <c r="B92" s="8">
        <f>Raw_Data!B92</f>
        <v>40305.858999999997</v>
      </c>
      <c r="C92" s="9">
        <f t="shared" si="14"/>
        <v>40.305858999999998</v>
      </c>
      <c r="D92" s="9">
        <f>ROUND(Controls!$B$8 + (Raw_Data!C92-Controls!$B$12)/MAX(0.000001,(Controls!$B$13-Controls!$B$12))*(Controls!$B$9-Controls!$B$8),1)</f>
        <v>136.5</v>
      </c>
      <c r="E92" s="9">
        <f>ROUND(Controls!$B$10 + (Raw_Data!D92-Controls!$B$14)/MAX(0.000001,(Controls!$B$15-Controls!$B$14))*(Controls!$B$11-Controls!$B$10),1)</f>
        <v>71.5</v>
      </c>
      <c r="F92" s="10">
        <f>Raw_Data!E92</f>
        <v>4.3905555851999997E-2</v>
      </c>
      <c r="G92" s="10">
        <f>Raw_Data!F92</f>
        <v>0.29102694261500001</v>
      </c>
      <c r="H92" s="10">
        <f>Raw_Data!G92</f>
        <v>1</v>
      </c>
      <c r="I92" s="10">
        <f>Raw_Data!H92</f>
        <v>1E-3</v>
      </c>
      <c r="J92" s="5" t="str">
        <f t="shared" si="15"/>
        <v>Transition</v>
      </c>
      <c r="K92" s="11">
        <f t="shared" si="16"/>
        <v>16.399999999999999</v>
      </c>
      <c r="L92" s="12">
        <f t="shared" si="17"/>
        <v>1.44</v>
      </c>
      <c r="M92" s="12">
        <f t="shared" si="18"/>
        <v>4.45</v>
      </c>
      <c r="N92" s="12">
        <f t="shared" si="19"/>
        <v>3.19</v>
      </c>
      <c r="O92" s="12">
        <f t="shared" si="20"/>
        <v>302.2</v>
      </c>
      <c r="P92" s="5" t="str">
        <f>IF(M92&lt;=Controls!$B$2,"NORMAL",IF(M92&lt;=Controls!$B$3,"CAUTION","BLOCK"))</f>
        <v>NORMAL</v>
      </c>
      <c r="Q92" s="5" t="str">
        <f>IF(P92="BLOCK","Hold",IF(L92&gt;Controls!$B$4,"Hold",IF(P92="CAUTION","Drop",IF(G92&lt;0.25,IF(MOD(ROW(),13)=0,"Turn Left",IF(MOD(ROW(),9)=0,"Turn Right",IF(F92&lt;0.08,"Build","Hold"))),IF(F92&lt;0.08,"Build","Hold")))))</f>
        <v>Build</v>
      </c>
      <c r="R92" s="12">
        <f>ROUND(MAX(0.35,MIN(0.95,0.92 - 0.06*MAX(0,M92-Controls!$B$2) - 0.05*MAX(0,L92-Controls!$B$4) - 0.01*ABS(C92-50) + 0.04*(1-G92))),2)</f>
        <v>0.85</v>
      </c>
      <c r="S92" s="5" t="str">
        <f>IF(P92="BLOCK","BLOCKED",IF(R92&lt;Controls!$B$7,"REDUCED","ACCEPTED"))</f>
        <v>ACCEPTED</v>
      </c>
      <c r="T92" s="5" t="str">
        <f>IF(P92="BLOCK","LIMIT_EXCEEDED - DLS above "&amp;TEXT(Controls!$B$3,"0.0")&amp;" deg/100ft",IF(P92="CAUTION","DLS above operating limit - reduce aggressiveness",IF(L92&gt;Controls!$B$4,"High vibration - hold trajectory",IF(OR(C92&lt;Controls!$B$5,C92&gt;Controls!$B$6),"WOB outside preferred band","Normal operation"))))</f>
        <v>Normal operation</v>
      </c>
    </row>
    <row r="93" spans="1:20" x14ac:dyDescent="0.3">
      <c r="A93" s="7">
        <f>Raw_Data!A93</f>
        <v>3780</v>
      </c>
      <c r="B93" s="8">
        <f>Raw_Data!B93</f>
        <v>31621.43</v>
      </c>
      <c r="C93" s="9">
        <f t="shared" si="14"/>
        <v>31.62143</v>
      </c>
      <c r="D93" s="9">
        <f>ROUND(Controls!$B$8 + (Raw_Data!C93-Controls!$B$12)/MAX(0.000001,(Controls!$B$13-Controls!$B$12))*(Controls!$B$9-Controls!$B$8),1)</f>
        <v>136.5</v>
      </c>
      <c r="E93" s="9">
        <f>ROUND(Controls!$B$10 + (Raw_Data!D93-Controls!$B$14)/MAX(0.000001,(Controls!$B$15-Controls!$B$14))*(Controls!$B$11-Controls!$B$10),1)</f>
        <v>69.099999999999994</v>
      </c>
      <c r="F93" s="10">
        <f>Raw_Data!E93</f>
        <v>6.3229538065999999E-2</v>
      </c>
      <c r="G93" s="10">
        <f>Raw_Data!F93</f>
        <v>0.43638286941900001</v>
      </c>
      <c r="H93" s="10">
        <f>Raw_Data!G93</f>
        <v>1</v>
      </c>
      <c r="I93" s="10">
        <f>Raw_Data!H93</f>
        <v>1E-3</v>
      </c>
      <c r="J93" s="5" t="str">
        <f t="shared" si="15"/>
        <v>Transition</v>
      </c>
      <c r="K93" s="11">
        <f t="shared" si="16"/>
        <v>16</v>
      </c>
      <c r="L93" s="12">
        <f t="shared" si="17"/>
        <v>1.64</v>
      </c>
      <c r="M93" s="12">
        <f t="shared" si="18"/>
        <v>5.0599999999999996</v>
      </c>
      <c r="N93" s="12">
        <f t="shared" si="19"/>
        <v>3.26</v>
      </c>
      <c r="O93" s="12">
        <f t="shared" si="20"/>
        <v>304</v>
      </c>
      <c r="P93" s="5" t="str">
        <f>IF(M93&lt;=Controls!$B$2,"NORMAL",IF(M93&lt;=Controls!$B$3,"CAUTION","BLOCK"))</f>
        <v>NORMAL</v>
      </c>
      <c r="Q93" s="5" t="str">
        <f>IF(P93="BLOCK","Hold",IF(L93&gt;Controls!$B$4,"Hold",IF(P93="CAUTION","Drop",IF(G93&lt;0.25,IF(MOD(ROW(),13)=0,"Turn Left",IF(MOD(ROW(),9)=0,"Turn Right",IF(F93&lt;0.08,"Build","Hold"))),IF(F93&lt;0.08,"Build","Hold")))))</f>
        <v>Build</v>
      </c>
      <c r="R93" s="12">
        <f>ROUND(MAX(0.35,MIN(0.95,0.92 - 0.06*MAX(0,M93-Controls!$B$2) - 0.05*MAX(0,L93-Controls!$B$4) - 0.01*ABS(C93-50) + 0.04*(1-G93))),2)</f>
        <v>0.76</v>
      </c>
      <c r="S93" s="5" t="str">
        <f>IF(P93="BLOCK","BLOCKED",IF(R93&lt;Controls!$B$7,"REDUCED","ACCEPTED"))</f>
        <v>ACCEPTED</v>
      </c>
      <c r="T93" s="5" t="str">
        <f>IF(P93="BLOCK","LIMIT_EXCEEDED - DLS above "&amp;TEXT(Controls!$B$3,"0.0")&amp;" deg/100ft",IF(P93="CAUTION","DLS above operating limit - reduce aggressiveness",IF(L93&gt;Controls!$B$4,"High vibration - hold trajectory",IF(OR(C93&lt;Controls!$B$5,C93&gt;Controls!$B$6),"WOB outside preferred band","Normal operation"))))</f>
        <v>Normal operation</v>
      </c>
    </row>
    <row r="94" spans="1:20" x14ac:dyDescent="0.3">
      <c r="A94" s="7">
        <f>Raw_Data!A94</f>
        <v>3785</v>
      </c>
      <c r="B94" s="8">
        <f>Raw_Data!B94</f>
        <v>39829.290999999997</v>
      </c>
      <c r="C94" s="9">
        <f t="shared" si="14"/>
        <v>39.829290999999998</v>
      </c>
      <c r="D94" s="9">
        <f>ROUND(Controls!$B$8 + (Raw_Data!C94-Controls!$B$12)/MAX(0.000001,(Controls!$B$13-Controls!$B$12))*(Controls!$B$9-Controls!$B$8),1)</f>
        <v>136.5</v>
      </c>
      <c r="E94" s="9">
        <f>ROUND(Controls!$B$10 + (Raw_Data!D94-Controls!$B$14)/MAX(0.000001,(Controls!$B$15-Controls!$B$14))*(Controls!$B$11-Controls!$B$10),1)</f>
        <v>68.900000000000006</v>
      </c>
      <c r="F94" s="10">
        <f>Raw_Data!E94</f>
        <v>6.5711094949000001E-2</v>
      </c>
      <c r="G94" s="10">
        <f>Raw_Data!F94</f>
        <v>0.43637037713900001</v>
      </c>
      <c r="H94" s="10">
        <f>Raw_Data!G94</f>
        <v>1</v>
      </c>
      <c r="I94" s="10">
        <f>Raw_Data!H94</f>
        <v>1E-3</v>
      </c>
      <c r="J94" s="5" t="str">
        <f t="shared" si="15"/>
        <v>Transition</v>
      </c>
      <c r="K94" s="11">
        <f t="shared" si="16"/>
        <v>17.3</v>
      </c>
      <c r="L94" s="12">
        <f t="shared" si="17"/>
        <v>1.64</v>
      </c>
      <c r="M94" s="12">
        <f t="shared" si="18"/>
        <v>5.0599999999999996</v>
      </c>
      <c r="N94" s="12">
        <f t="shared" si="19"/>
        <v>3.33</v>
      </c>
      <c r="O94" s="12">
        <f t="shared" si="20"/>
        <v>305.8</v>
      </c>
      <c r="P94" s="5" t="str">
        <f>IF(M94&lt;=Controls!$B$2,"NORMAL",IF(M94&lt;=Controls!$B$3,"CAUTION","BLOCK"))</f>
        <v>NORMAL</v>
      </c>
      <c r="Q94" s="5" t="str">
        <f>IF(P94="BLOCK","Hold",IF(L94&gt;Controls!$B$4,"Hold",IF(P94="CAUTION","Drop",IF(G94&lt;0.25,IF(MOD(ROW(),13)=0,"Turn Left",IF(MOD(ROW(),9)=0,"Turn Right",IF(F94&lt;0.08,"Build","Hold"))),IF(F94&lt;0.08,"Build","Hold")))))</f>
        <v>Build</v>
      </c>
      <c r="R94" s="12">
        <f>ROUND(MAX(0.35,MIN(0.95,0.92 - 0.06*MAX(0,M94-Controls!$B$2) - 0.05*MAX(0,L94-Controls!$B$4) - 0.01*ABS(C94-50) + 0.04*(1-G94))),2)</f>
        <v>0.84</v>
      </c>
      <c r="S94" s="5" t="str">
        <f>IF(P94="BLOCK","BLOCKED",IF(R94&lt;Controls!$B$7,"REDUCED","ACCEPTED"))</f>
        <v>ACCEPTED</v>
      </c>
      <c r="T94" s="5" t="str">
        <f>IF(P94="BLOCK","LIMIT_EXCEEDED - DLS above "&amp;TEXT(Controls!$B$3,"0.0")&amp;" deg/100ft",IF(P94="CAUTION","DLS above operating limit - reduce aggressiveness",IF(L94&gt;Controls!$B$4,"High vibration - hold trajectory",IF(OR(C94&lt;Controls!$B$5,C94&gt;Controls!$B$6),"WOB outside preferred band","Normal operation"))))</f>
        <v>Normal operation</v>
      </c>
    </row>
    <row r="95" spans="1:20" x14ac:dyDescent="0.3">
      <c r="A95" s="7">
        <f>Raw_Data!A95</f>
        <v>3790</v>
      </c>
      <c r="B95" s="8">
        <f>Raw_Data!B95</f>
        <v>41146.105000000003</v>
      </c>
      <c r="C95" s="9">
        <f t="shared" si="14"/>
        <v>41.146105000000006</v>
      </c>
      <c r="D95" s="9">
        <f>ROUND(Controls!$B$8 + (Raw_Data!C95-Controls!$B$12)/MAX(0.000001,(Controls!$B$13-Controls!$B$12))*(Controls!$B$9-Controls!$B$8),1)</f>
        <v>136.5</v>
      </c>
      <c r="E95" s="9">
        <f>ROUND(Controls!$B$10 + (Raw_Data!D95-Controls!$B$14)/MAX(0.000001,(Controls!$B$15-Controls!$B$14))*(Controls!$B$11-Controls!$B$10),1)</f>
        <v>68.900000000000006</v>
      </c>
      <c r="F95" s="10">
        <f>Raw_Data!E95</f>
        <v>5.6422433661999997E-2</v>
      </c>
      <c r="G95" s="10">
        <f>Raw_Data!F95</f>
        <v>0.44936082813200001</v>
      </c>
      <c r="H95" s="10">
        <f>Raw_Data!G95</f>
        <v>1</v>
      </c>
      <c r="I95" s="10">
        <f>Raw_Data!H95</f>
        <v>1E-3</v>
      </c>
      <c r="J95" s="5" t="str">
        <f t="shared" si="15"/>
        <v>Transition</v>
      </c>
      <c r="K95" s="11">
        <f t="shared" si="16"/>
        <v>17.600000000000001</v>
      </c>
      <c r="L95" s="12">
        <f t="shared" si="17"/>
        <v>1.66</v>
      </c>
      <c r="M95" s="12">
        <f t="shared" si="18"/>
        <v>5.1100000000000003</v>
      </c>
      <c r="N95" s="12">
        <f t="shared" si="19"/>
        <v>3.4</v>
      </c>
      <c r="O95" s="12">
        <f t="shared" si="20"/>
        <v>307.60000000000002</v>
      </c>
      <c r="P95" s="5" t="str">
        <f>IF(M95&lt;=Controls!$B$2,"NORMAL",IF(M95&lt;=Controls!$B$3,"CAUTION","BLOCK"))</f>
        <v>NORMAL</v>
      </c>
      <c r="Q95" s="5" t="str">
        <f>IF(P95="BLOCK","Hold",IF(L95&gt;Controls!$B$4,"Hold",IF(P95="CAUTION","Drop",IF(G95&lt;0.25,IF(MOD(ROW(),13)=0,"Turn Left",IF(MOD(ROW(),9)=0,"Turn Right",IF(F95&lt;0.08,"Build","Hold"))),IF(F95&lt;0.08,"Build","Hold")))))</f>
        <v>Build</v>
      </c>
      <c r="R95" s="12">
        <f>ROUND(MAX(0.35,MIN(0.95,0.92 - 0.06*MAX(0,M95-Controls!$B$2) - 0.05*MAX(0,L95-Controls!$B$4) - 0.01*ABS(C95-50) + 0.04*(1-G95))),2)</f>
        <v>0.85</v>
      </c>
      <c r="S95" s="5" t="str">
        <f>IF(P95="BLOCK","BLOCKED",IF(R95&lt;Controls!$B$7,"REDUCED","ACCEPTED"))</f>
        <v>ACCEPTED</v>
      </c>
      <c r="T95" s="5" t="str">
        <f>IF(P95="BLOCK","LIMIT_EXCEEDED - DLS above "&amp;TEXT(Controls!$B$3,"0.0")&amp;" deg/100ft",IF(P95="CAUTION","DLS above operating limit - reduce aggressiveness",IF(L95&gt;Controls!$B$4,"High vibration - hold trajectory",IF(OR(C95&lt;Controls!$B$5,C95&gt;Controls!$B$6),"WOB outside preferred band","Normal operation"))))</f>
        <v>Normal operation</v>
      </c>
    </row>
    <row r="96" spans="1:20" x14ac:dyDescent="0.3">
      <c r="A96" s="7">
        <f>Raw_Data!A96</f>
        <v>3795</v>
      </c>
      <c r="B96" s="8">
        <f>Raw_Data!B96</f>
        <v>45492.477999999901</v>
      </c>
      <c r="C96" s="9">
        <f t="shared" si="14"/>
        <v>45.492477999999899</v>
      </c>
      <c r="D96" s="9">
        <f>ROUND(Controls!$B$8 + (Raw_Data!C96-Controls!$B$12)/MAX(0.000001,(Controls!$B$13-Controls!$B$12))*(Controls!$B$9-Controls!$B$8),1)</f>
        <v>136.5</v>
      </c>
      <c r="E96" s="9">
        <f>ROUND(Controls!$B$10 + (Raw_Data!D96-Controls!$B$14)/MAX(0.000001,(Controls!$B$15-Controls!$B$14))*(Controls!$B$11-Controls!$B$10),1)</f>
        <v>68.8</v>
      </c>
      <c r="F96" s="10">
        <f>Raw_Data!E96</f>
        <v>5.9017228960000001E-2</v>
      </c>
      <c r="G96" s="10">
        <f>Raw_Data!F96</f>
        <v>0.42420715246500001</v>
      </c>
      <c r="H96" s="10">
        <f>Raw_Data!G96</f>
        <v>1</v>
      </c>
      <c r="I96" s="10">
        <f>Raw_Data!H96</f>
        <v>1E-3</v>
      </c>
      <c r="J96" s="5" t="str">
        <f t="shared" si="15"/>
        <v>Transition</v>
      </c>
      <c r="K96" s="11">
        <f t="shared" si="16"/>
        <v>18.100000000000001</v>
      </c>
      <c r="L96" s="12">
        <f t="shared" si="17"/>
        <v>1.63</v>
      </c>
      <c r="M96" s="12">
        <f t="shared" si="18"/>
        <v>5.01</v>
      </c>
      <c r="N96" s="12">
        <f t="shared" si="19"/>
        <v>3.46</v>
      </c>
      <c r="O96" s="12">
        <f t="shared" si="20"/>
        <v>309.39999999999998</v>
      </c>
      <c r="P96" s="5" t="str">
        <f>IF(M96&lt;=Controls!$B$2,"NORMAL",IF(M96&lt;=Controls!$B$3,"CAUTION","BLOCK"))</f>
        <v>NORMAL</v>
      </c>
      <c r="Q96" s="5" t="str">
        <f>IF(P96="BLOCK","Hold",IF(L96&gt;Controls!$B$4,"Hold",IF(P96="CAUTION","Drop",IF(G96&lt;0.25,IF(MOD(ROW(),13)=0,"Turn Left",IF(MOD(ROW(),9)=0,"Turn Right",IF(F96&lt;0.08,"Build","Hold"))),IF(F96&lt;0.08,"Build","Hold")))))</f>
        <v>Build</v>
      </c>
      <c r="R96" s="12">
        <f>ROUND(MAX(0.35,MIN(0.95,0.92 - 0.06*MAX(0,M96-Controls!$B$2) - 0.05*MAX(0,L96-Controls!$B$4) - 0.01*ABS(C96-50) + 0.04*(1-G96))),2)</f>
        <v>0.9</v>
      </c>
      <c r="S96" s="5" t="str">
        <f>IF(P96="BLOCK","BLOCKED",IF(R96&lt;Controls!$B$7,"REDUCED","ACCEPTED"))</f>
        <v>ACCEPTED</v>
      </c>
      <c r="T96" s="5" t="str">
        <f>IF(P96="BLOCK","LIMIT_EXCEEDED - DLS above "&amp;TEXT(Controls!$B$3,"0.0")&amp;" deg/100ft",IF(P96="CAUTION","DLS above operating limit - reduce aggressiveness",IF(L96&gt;Controls!$B$4,"High vibration - hold trajectory",IF(OR(C96&lt;Controls!$B$5,C96&gt;Controls!$B$6),"WOB outside preferred band","Normal operation"))))</f>
        <v>Normal operation</v>
      </c>
    </row>
    <row r="97" spans="1:20" x14ac:dyDescent="0.3">
      <c r="A97" s="7">
        <f>Raw_Data!A97</f>
        <v>3800</v>
      </c>
      <c r="B97" s="8">
        <f>Raw_Data!B97</f>
        <v>45979.692000000003</v>
      </c>
      <c r="C97" s="9">
        <f t="shared" si="14"/>
        <v>45.979692</v>
      </c>
      <c r="D97" s="9">
        <f>ROUND(Controls!$B$8 + (Raw_Data!C97-Controls!$B$12)/MAX(0.000001,(Controls!$B$13-Controls!$B$12))*(Controls!$B$9-Controls!$B$8),1)</f>
        <v>136.5</v>
      </c>
      <c r="E97" s="9">
        <f>ROUND(Controls!$B$10 + (Raw_Data!D97-Controls!$B$14)/MAX(0.000001,(Controls!$B$15-Controls!$B$14))*(Controls!$B$11-Controls!$B$10),1)</f>
        <v>64.3</v>
      </c>
      <c r="F97" s="10">
        <f>Raw_Data!E97</f>
        <v>6.8953783054000004E-2</v>
      </c>
      <c r="G97" s="10">
        <f>Raw_Data!F97</f>
        <v>0.39952035733300001</v>
      </c>
      <c r="H97" s="10">
        <f>Raw_Data!G97</f>
        <v>1</v>
      </c>
      <c r="I97" s="10">
        <f>Raw_Data!H97</f>
        <v>1E-3</v>
      </c>
      <c r="J97" s="5" t="str">
        <f t="shared" si="15"/>
        <v>Transition</v>
      </c>
      <c r="K97" s="11">
        <f t="shared" si="16"/>
        <v>18</v>
      </c>
      <c r="L97" s="12">
        <f t="shared" si="17"/>
        <v>1.59</v>
      </c>
      <c r="M97" s="12">
        <f t="shared" si="18"/>
        <v>4.9000000000000004</v>
      </c>
      <c r="N97" s="12">
        <f t="shared" si="19"/>
        <v>3.51</v>
      </c>
      <c r="O97" s="12">
        <f t="shared" si="20"/>
        <v>311.2</v>
      </c>
      <c r="P97" s="5" t="str">
        <f>IF(M97&lt;=Controls!$B$2,"NORMAL",IF(M97&lt;=Controls!$B$3,"CAUTION","BLOCK"))</f>
        <v>NORMAL</v>
      </c>
      <c r="Q97" s="5" t="str">
        <f>IF(P97="BLOCK","Hold",IF(L97&gt;Controls!$B$4,"Hold",IF(P97="CAUTION","Drop",IF(G97&lt;0.25,IF(MOD(ROW(),13)=0,"Turn Left",IF(MOD(ROW(),9)=0,"Turn Right",IF(F97&lt;0.08,"Build","Hold"))),IF(F97&lt;0.08,"Build","Hold")))))</f>
        <v>Build</v>
      </c>
      <c r="R97" s="12">
        <f>ROUND(MAX(0.35,MIN(0.95,0.92 - 0.06*MAX(0,M97-Controls!$B$2) - 0.05*MAX(0,L97-Controls!$B$4) - 0.01*ABS(C97-50) + 0.04*(1-G97))),2)</f>
        <v>0.9</v>
      </c>
      <c r="S97" s="5" t="str">
        <f>IF(P97="BLOCK","BLOCKED",IF(R97&lt;Controls!$B$7,"REDUCED","ACCEPTED"))</f>
        <v>ACCEPTED</v>
      </c>
      <c r="T97" s="5" t="str">
        <f>IF(P97="BLOCK","LIMIT_EXCEEDED - DLS above "&amp;TEXT(Controls!$B$3,"0.0")&amp;" deg/100ft",IF(P97="CAUTION","DLS above operating limit - reduce aggressiveness",IF(L97&gt;Controls!$B$4,"High vibration - hold trajectory",IF(OR(C97&lt;Controls!$B$5,C97&gt;Controls!$B$6),"WOB outside preferred band","Normal operation"))))</f>
        <v>Normal operation</v>
      </c>
    </row>
    <row r="98" spans="1:20" x14ac:dyDescent="0.3">
      <c r="A98" s="7">
        <f>Raw_Data!A98</f>
        <v>3805</v>
      </c>
      <c r="B98" s="8">
        <f>Raw_Data!B98</f>
        <v>45190.017</v>
      </c>
      <c r="C98" s="9">
        <f t="shared" ref="C98:C129" si="21">B98/1000</f>
        <v>45.190016999999997</v>
      </c>
      <c r="D98" s="9">
        <f>ROUND(Controls!$B$8 + (Raw_Data!C98-Controls!$B$12)/MAX(0.000001,(Controls!$B$13-Controls!$B$12))*(Controls!$B$9-Controls!$B$8),1)</f>
        <v>136.5</v>
      </c>
      <c r="E98" s="9">
        <f>ROUND(Controls!$B$10 + (Raw_Data!D98-Controls!$B$14)/MAX(0.000001,(Controls!$B$15-Controls!$B$14))*(Controls!$B$11-Controls!$B$10),1)</f>
        <v>64.2</v>
      </c>
      <c r="F98" s="10">
        <f>Raw_Data!E98</f>
        <v>6.9476209868999994E-2</v>
      </c>
      <c r="G98" s="10">
        <f>Raw_Data!F98</f>
        <v>0.49274665007500001</v>
      </c>
      <c r="H98" s="10">
        <f>Raw_Data!G98</f>
        <v>1</v>
      </c>
      <c r="I98" s="10">
        <f>Raw_Data!H98</f>
        <v>1E-3</v>
      </c>
      <c r="J98" s="5" t="str">
        <f t="shared" ref="J98:J129" si="22">IF(G98&gt;=0.45,"Shale-prone",IF(G98&gt;=0.25,"Transition","Cleaner sand"))</f>
        <v>Shale-prone</v>
      </c>
      <c r="K98" s="11">
        <f t="shared" ref="K98:K129" si="23">ROUND(6 + 0.16*C98 + 7*G98 + 2*(1-F98),1)</f>
        <v>18.5</v>
      </c>
      <c r="L98" s="12">
        <f t="shared" ref="L98:L129" si="24">ROUND(MIN(4.8,1 + ABS(D98-135)/45 + 1.4*G98 + 0.2*MAX(0,C98-55)/10 + IF(MOD(ROW(),17)=0,0.5,0)),2)</f>
        <v>1.72</v>
      </c>
      <c r="M98" s="12">
        <f t="shared" ref="M98:M129" si="25">ROUND(MIN(9.2,1.2 + 3.6*G98 + ABS(D98-135)/50 + 0.4*L98 + 0.3*MAX(0,C98-60)/10 + IF(A98&gt;=3700,1.6,0) + IF(A98&gt;=3860,1.1,0)),2)</f>
        <v>5.29</v>
      </c>
      <c r="N98" s="12">
        <f t="shared" si="19"/>
        <v>3.6</v>
      </c>
      <c r="O98" s="12">
        <f t="shared" si="20"/>
        <v>313</v>
      </c>
      <c r="P98" s="5" t="str">
        <f>IF(M98&lt;=Controls!$B$2,"NORMAL",IF(M98&lt;=Controls!$B$3,"CAUTION","BLOCK"))</f>
        <v>NORMAL</v>
      </c>
      <c r="Q98" s="5" t="str">
        <f>IF(P98="BLOCK","Hold",IF(L98&gt;Controls!$B$4,"Hold",IF(P98="CAUTION","Drop",IF(G98&lt;0.25,IF(MOD(ROW(),13)=0,"Turn Left",IF(MOD(ROW(),9)=0,"Turn Right",IF(F98&lt;0.08,"Build","Hold"))),IF(F98&lt;0.08,"Build","Hold")))))</f>
        <v>Build</v>
      </c>
      <c r="R98" s="12">
        <f>ROUND(MAX(0.35,MIN(0.95,0.92 - 0.06*MAX(0,M98-Controls!$B$2) - 0.05*MAX(0,L98-Controls!$B$4) - 0.01*ABS(C98-50) + 0.04*(1-G98))),2)</f>
        <v>0.89</v>
      </c>
      <c r="S98" s="5" t="str">
        <f>IF(P98="BLOCK","BLOCKED",IF(R98&lt;Controls!$B$7,"REDUCED","ACCEPTED"))</f>
        <v>ACCEPTED</v>
      </c>
      <c r="T98" s="5" t="str">
        <f>IF(P98="BLOCK","LIMIT_EXCEEDED - DLS above "&amp;TEXT(Controls!$B$3,"0.0")&amp;" deg/100ft",IF(P98="CAUTION","DLS above operating limit - reduce aggressiveness",IF(L98&gt;Controls!$B$4,"High vibration - hold trajectory",IF(OR(C98&lt;Controls!$B$5,C98&gt;Controls!$B$6),"WOB outside preferred band","Normal operation"))))</f>
        <v>Normal operation</v>
      </c>
    </row>
    <row r="99" spans="1:20" x14ac:dyDescent="0.3">
      <c r="A99" s="7">
        <f>Raw_Data!A99</f>
        <v>3810</v>
      </c>
      <c r="B99" s="8">
        <f>Raw_Data!B99</f>
        <v>48461.381999999998</v>
      </c>
      <c r="C99" s="9">
        <f t="shared" si="21"/>
        <v>48.461382</v>
      </c>
      <c r="D99" s="9">
        <f>ROUND(Controls!$B$8 + (Raw_Data!C99-Controls!$B$12)/MAX(0.000001,(Controls!$B$13-Controls!$B$12))*(Controls!$B$9-Controls!$B$8),1)</f>
        <v>136.5</v>
      </c>
      <c r="E99" s="9">
        <f>ROUND(Controls!$B$10 + (Raw_Data!D99-Controls!$B$14)/MAX(0.000001,(Controls!$B$15-Controls!$B$14))*(Controls!$B$11-Controls!$B$10),1)</f>
        <v>64.3</v>
      </c>
      <c r="F99" s="10">
        <f>Raw_Data!E99</f>
        <v>7.1033970552999995E-2</v>
      </c>
      <c r="G99" s="10">
        <f>Raw_Data!F99</f>
        <v>0.54350938762699996</v>
      </c>
      <c r="H99" s="10">
        <f>Raw_Data!G99</f>
        <v>1</v>
      </c>
      <c r="I99" s="10">
        <f>Raw_Data!H99</f>
        <v>1E-3</v>
      </c>
      <c r="J99" s="5" t="str">
        <f t="shared" si="22"/>
        <v>Shale-prone</v>
      </c>
      <c r="K99" s="11">
        <f t="shared" si="23"/>
        <v>19.399999999999999</v>
      </c>
      <c r="L99" s="12">
        <f t="shared" si="24"/>
        <v>1.79</v>
      </c>
      <c r="M99" s="12">
        <f t="shared" si="25"/>
        <v>5.5</v>
      </c>
      <c r="N99" s="12">
        <f t="shared" ref="N99:N130" si="26">ROUND(MAX(0,MIN(90,N98 + (M99-4.5)*0.12)),2)</f>
        <v>3.72</v>
      </c>
      <c r="O99" s="12">
        <f t="shared" ref="O99:O130" si="27">ROUND(MOD(O98 + IF(OR(Q99="Turn Right",Q99="Build"),1.8,IF(Q99="Turn Left",-1.8,0.5)),360),2)</f>
        <v>314.8</v>
      </c>
      <c r="P99" s="5" t="str">
        <f>IF(M99&lt;=Controls!$B$2,"NORMAL",IF(M99&lt;=Controls!$B$3,"CAUTION","BLOCK"))</f>
        <v>NORMAL</v>
      </c>
      <c r="Q99" s="5" t="str">
        <f>IF(P99="BLOCK","Hold",IF(L99&gt;Controls!$B$4,"Hold",IF(P99="CAUTION","Drop",IF(G99&lt;0.25,IF(MOD(ROW(),13)=0,"Turn Left",IF(MOD(ROW(),9)=0,"Turn Right",IF(F99&lt;0.08,"Build","Hold"))),IF(F99&lt;0.08,"Build","Hold")))))</f>
        <v>Build</v>
      </c>
      <c r="R99" s="12">
        <f>ROUND(MAX(0.35,MIN(0.95,0.92 - 0.06*MAX(0,M99-Controls!$B$2) - 0.05*MAX(0,L99-Controls!$B$4) - 0.01*ABS(C99-50) + 0.04*(1-G99))),2)</f>
        <v>0.92</v>
      </c>
      <c r="S99" s="5" t="str">
        <f>IF(P99="BLOCK","BLOCKED",IF(R99&lt;Controls!$B$7,"REDUCED","ACCEPTED"))</f>
        <v>ACCEPTED</v>
      </c>
      <c r="T99" s="5" t="str">
        <f>IF(P99="BLOCK","LIMIT_EXCEEDED - DLS above "&amp;TEXT(Controls!$B$3,"0.0")&amp;" deg/100ft",IF(P99="CAUTION","DLS above operating limit - reduce aggressiveness",IF(L99&gt;Controls!$B$4,"High vibration - hold trajectory",IF(OR(C99&lt;Controls!$B$5,C99&gt;Controls!$B$6),"WOB outside preferred band","Normal operation"))))</f>
        <v>Normal operation</v>
      </c>
    </row>
    <row r="100" spans="1:20" x14ac:dyDescent="0.3">
      <c r="A100" s="7">
        <f>Raw_Data!A100</f>
        <v>3815</v>
      </c>
      <c r="B100" s="8">
        <f>Raw_Data!B100</f>
        <v>33638.680999999997</v>
      </c>
      <c r="C100" s="9">
        <f t="shared" si="21"/>
        <v>33.638680999999998</v>
      </c>
      <c r="D100" s="9">
        <f>ROUND(Controls!$B$8 + (Raw_Data!C100-Controls!$B$12)/MAX(0.000001,(Controls!$B$13-Controls!$B$12))*(Controls!$B$9-Controls!$B$8),1)</f>
        <v>136.30000000000001</v>
      </c>
      <c r="E100" s="9">
        <f>ROUND(Controls!$B$10 + (Raw_Data!D100-Controls!$B$14)/MAX(0.000001,(Controls!$B$15-Controls!$B$14))*(Controls!$B$11-Controls!$B$10),1)</f>
        <v>64.099999999999994</v>
      </c>
      <c r="F100" s="10">
        <f>Raw_Data!E100</f>
        <v>8.9567993718999997E-2</v>
      </c>
      <c r="G100" s="10">
        <f>Raw_Data!F100</f>
        <v>0.44750902280799998</v>
      </c>
      <c r="H100" s="10">
        <f>Raw_Data!G100</f>
        <v>1</v>
      </c>
      <c r="I100" s="10">
        <f>Raw_Data!H100</f>
        <v>1E-3</v>
      </c>
      <c r="J100" s="5" t="str">
        <f t="shared" si="22"/>
        <v>Transition</v>
      </c>
      <c r="K100" s="11">
        <f t="shared" si="23"/>
        <v>16.3</v>
      </c>
      <c r="L100" s="12">
        <f t="shared" si="24"/>
        <v>1.66</v>
      </c>
      <c r="M100" s="12">
        <f t="shared" si="25"/>
        <v>5.0999999999999996</v>
      </c>
      <c r="N100" s="12">
        <f t="shared" si="26"/>
        <v>3.79</v>
      </c>
      <c r="O100" s="12">
        <f t="shared" si="27"/>
        <v>315.3</v>
      </c>
      <c r="P100" s="5" t="str">
        <f>IF(M100&lt;=Controls!$B$2,"NORMAL",IF(M100&lt;=Controls!$B$3,"CAUTION","BLOCK"))</f>
        <v>NORMAL</v>
      </c>
      <c r="Q100" s="5" t="str">
        <f>IF(P100="BLOCK","Hold",IF(L100&gt;Controls!$B$4,"Hold",IF(P100="CAUTION","Drop",IF(G100&lt;0.25,IF(MOD(ROW(),13)=0,"Turn Left",IF(MOD(ROW(),9)=0,"Turn Right",IF(F100&lt;0.08,"Build","Hold"))),IF(F100&lt;0.08,"Build","Hold")))))</f>
        <v>Hold</v>
      </c>
      <c r="R100" s="12">
        <f>ROUND(MAX(0.35,MIN(0.95,0.92 - 0.06*MAX(0,M100-Controls!$B$2) - 0.05*MAX(0,L100-Controls!$B$4) - 0.01*ABS(C100-50) + 0.04*(1-G100))),2)</f>
        <v>0.78</v>
      </c>
      <c r="S100" s="5" t="str">
        <f>IF(P100="BLOCK","BLOCKED",IF(R100&lt;Controls!$B$7,"REDUCED","ACCEPTED"))</f>
        <v>ACCEPTED</v>
      </c>
      <c r="T100" s="5" t="str">
        <f>IF(P100="BLOCK","LIMIT_EXCEEDED - DLS above "&amp;TEXT(Controls!$B$3,"0.0")&amp;" deg/100ft",IF(P100="CAUTION","DLS above operating limit - reduce aggressiveness",IF(L100&gt;Controls!$B$4,"High vibration - hold trajectory",IF(OR(C100&lt;Controls!$B$5,C100&gt;Controls!$B$6),"WOB outside preferred band","Normal operation"))))</f>
        <v>Normal operation</v>
      </c>
    </row>
    <row r="101" spans="1:20" x14ac:dyDescent="0.3">
      <c r="A101" s="7">
        <f>Raw_Data!A101</f>
        <v>3820</v>
      </c>
      <c r="B101" s="8">
        <f>Raw_Data!B101</f>
        <v>23809.853999999999</v>
      </c>
      <c r="C101" s="9">
        <f t="shared" si="21"/>
        <v>23.809853999999998</v>
      </c>
      <c r="D101" s="9">
        <f>ROUND(Controls!$B$8 + (Raw_Data!C101-Controls!$B$12)/MAX(0.000001,(Controls!$B$13-Controls!$B$12))*(Controls!$B$9-Controls!$B$8),1)</f>
        <v>136.4</v>
      </c>
      <c r="E101" s="9">
        <f>ROUND(Controls!$B$10 + (Raw_Data!D101-Controls!$B$14)/MAX(0.000001,(Controls!$B$15-Controls!$B$14))*(Controls!$B$11-Controls!$B$10),1)</f>
        <v>68.900000000000006</v>
      </c>
      <c r="F101" s="10">
        <f>Raw_Data!E101</f>
        <v>6.1776377590000001E-2</v>
      </c>
      <c r="G101" s="10">
        <f>Raw_Data!F101</f>
        <v>0.40171761212899998</v>
      </c>
      <c r="H101" s="10">
        <f>Raw_Data!G101</f>
        <v>1</v>
      </c>
      <c r="I101" s="10">
        <f>Raw_Data!H101</f>
        <v>1E-3</v>
      </c>
      <c r="J101" s="5" t="str">
        <f t="shared" si="22"/>
        <v>Transition</v>
      </c>
      <c r="K101" s="11">
        <f t="shared" si="23"/>
        <v>14.5</v>
      </c>
      <c r="L101" s="12">
        <f t="shared" si="24"/>
        <v>1.59</v>
      </c>
      <c r="M101" s="12">
        <f t="shared" si="25"/>
        <v>4.91</v>
      </c>
      <c r="N101" s="12">
        <f t="shared" si="26"/>
        <v>3.84</v>
      </c>
      <c r="O101" s="12">
        <f t="shared" si="27"/>
        <v>317.10000000000002</v>
      </c>
      <c r="P101" s="5" t="str">
        <f>IF(M101&lt;=Controls!$B$2,"NORMAL",IF(M101&lt;=Controls!$B$3,"CAUTION","BLOCK"))</f>
        <v>NORMAL</v>
      </c>
      <c r="Q101" s="5" t="str">
        <f>IF(P101="BLOCK","Hold",IF(L101&gt;Controls!$B$4,"Hold",IF(P101="CAUTION","Drop",IF(G101&lt;0.25,IF(MOD(ROW(),13)=0,"Turn Left",IF(MOD(ROW(),9)=0,"Turn Right",IF(F101&lt;0.08,"Build","Hold"))),IF(F101&lt;0.08,"Build","Hold")))))</f>
        <v>Build</v>
      </c>
      <c r="R101" s="12">
        <f>ROUND(MAX(0.35,MIN(0.95,0.92 - 0.06*MAX(0,M101-Controls!$B$2) - 0.05*MAX(0,L101-Controls!$B$4) - 0.01*ABS(C101-50) + 0.04*(1-G101))),2)</f>
        <v>0.68</v>
      </c>
      <c r="S101" s="5" t="str">
        <f>IF(P101="BLOCK","BLOCKED",IF(R101&lt;Controls!$B$7,"REDUCED","ACCEPTED"))</f>
        <v>ACCEPTED</v>
      </c>
      <c r="T101" s="5" t="str">
        <f>IF(P101="BLOCK","LIMIT_EXCEEDED - DLS above "&amp;TEXT(Controls!$B$3,"0.0")&amp;" deg/100ft",IF(P101="CAUTION","DLS above operating limit - reduce aggressiveness",IF(L101&gt;Controls!$B$4,"High vibration - hold trajectory",IF(OR(C101&lt;Controls!$B$5,C101&gt;Controls!$B$6),"WOB outside preferred band","Normal operation"))))</f>
        <v>Normal operation</v>
      </c>
    </row>
    <row r="102" spans="1:20" x14ac:dyDescent="0.3">
      <c r="A102" s="7">
        <f>Raw_Data!A102</f>
        <v>3825</v>
      </c>
      <c r="B102" s="8">
        <f>Raw_Data!B102</f>
        <v>29839.423999999999</v>
      </c>
      <c r="C102" s="9">
        <f t="shared" si="21"/>
        <v>29.839423999999998</v>
      </c>
      <c r="D102" s="9">
        <f>ROUND(Controls!$B$8 + (Raw_Data!C102-Controls!$B$12)/MAX(0.000001,(Controls!$B$13-Controls!$B$12))*(Controls!$B$9-Controls!$B$8),1)</f>
        <v>136.5</v>
      </c>
      <c r="E102" s="9">
        <f>ROUND(Controls!$B$10 + (Raw_Data!D102-Controls!$B$14)/MAX(0.000001,(Controls!$B$15-Controls!$B$14))*(Controls!$B$11-Controls!$B$10),1)</f>
        <v>68.400000000000006</v>
      </c>
      <c r="F102" s="10">
        <f>Raw_Data!E102</f>
        <v>1.8961989695999999E-2</v>
      </c>
      <c r="G102" s="10">
        <f>Raw_Data!F102</f>
        <v>0.43794737865</v>
      </c>
      <c r="H102" s="10">
        <f>Raw_Data!G102</f>
        <v>1</v>
      </c>
      <c r="I102" s="10">
        <f>Raw_Data!H102</f>
        <v>1E-3</v>
      </c>
      <c r="J102" s="5" t="str">
        <f t="shared" si="22"/>
        <v>Transition</v>
      </c>
      <c r="K102" s="11">
        <f t="shared" si="23"/>
        <v>15.8</v>
      </c>
      <c r="L102" s="12">
        <f t="shared" si="24"/>
        <v>2.15</v>
      </c>
      <c r="M102" s="12">
        <f t="shared" si="25"/>
        <v>5.27</v>
      </c>
      <c r="N102" s="12">
        <f t="shared" si="26"/>
        <v>3.93</v>
      </c>
      <c r="O102" s="12">
        <f t="shared" si="27"/>
        <v>318.89999999999998</v>
      </c>
      <c r="P102" s="5" t="str">
        <f>IF(M102&lt;=Controls!$B$2,"NORMAL",IF(M102&lt;=Controls!$B$3,"CAUTION","BLOCK"))</f>
        <v>NORMAL</v>
      </c>
      <c r="Q102" s="5" t="str">
        <f>IF(P102="BLOCK","Hold",IF(L102&gt;Controls!$B$4,"Hold",IF(P102="CAUTION","Drop",IF(G102&lt;0.25,IF(MOD(ROW(),13)=0,"Turn Left",IF(MOD(ROW(),9)=0,"Turn Right",IF(F102&lt;0.08,"Build","Hold"))),IF(F102&lt;0.08,"Build","Hold")))))</f>
        <v>Build</v>
      </c>
      <c r="R102" s="12">
        <f>ROUND(MAX(0.35,MIN(0.95,0.92 - 0.06*MAX(0,M102-Controls!$B$2) - 0.05*MAX(0,L102-Controls!$B$4) - 0.01*ABS(C102-50) + 0.04*(1-G102))),2)</f>
        <v>0.74</v>
      </c>
      <c r="S102" s="5" t="str">
        <f>IF(P102="BLOCK","BLOCKED",IF(R102&lt;Controls!$B$7,"REDUCED","ACCEPTED"))</f>
        <v>ACCEPTED</v>
      </c>
      <c r="T102" s="5" t="str">
        <f>IF(P102="BLOCK","LIMIT_EXCEEDED - DLS above "&amp;TEXT(Controls!$B$3,"0.0")&amp;" deg/100ft",IF(P102="CAUTION","DLS above operating limit - reduce aggressiveness",IF(L102&gt;Controls!$B$4,"High vibration - hold trajectory",IF(OR(C102&lt;Controls!$B$5,C102&gt;Controls!$B$6),"WOB outside preferred band","Normal operation"))))</f>
        <v>Normal operation</v>
      </c>
    </row>
    <row r="103" spans="1:20" x14ac:dyDescent="0.3">
      <c r="A103" s="7">
        <f>Raw_Data!A103</f>
        <v>3830</v>
      </c>
      <c r="B103" s="8">
        <f>Raw_Data!B103</f>
        <v>27483.212</v>
      </c>
      <c r="C103" s="9">
        <f t="shared" si="21"/>
        <v>27.483211999999998</v>
      </c>
      <c r="D103" s="9">
        <f>ROUND(Controls!$B$8 + (Raw_Data!C103-Controls!$B$12)/MAX(0.000001,(Controls!$B$13-Controls!$B$12))*(Controls!$B$9-Controls!$B$8),1)</f>
        <v>136.6</v>
      </c>
      <c r="E103" s="9">
        <f>ROUND(Controls!$B$10 + (Raw_Data!D103-Controls!$B$14)/MAX(0.000001,(Controls!$B$15-Controls!$B$14))*(Controls!$B$11-Controls!$B$10),1)</f>
        <v>68.900000000000006</v>
      </c>
      <c r="F103" s="10">
        <f>Raw_Data!E103</f>
        <v>7.5792397114000001E-2</v>
      </c>
      <c r="G103" s="10">
        <f>Raw_Data!F103</f>
        <v>0.69367108408900002</v>
      </c>
      <c r="H103" s="10">
        <f>Raw_Data!G103</f>
        <v>1.00903837443</v>
      </c>
      <c r="I103" s="10">
        <f>Raw_Data!H103</f>
        <v>1E-3</v>
      </c>
      <c r="J103" s="5" t="str">
        <f t="shared" si="22"/>
        <v>Shale-prone</v>
      </c>
      <c r="K103" s="11">
        <f t="shared" si="23"/>
        <v>17.100000000000001</v>
      </c>
      <c r="L103" s="12">
        <f t="shared" si="24"/>
        <v>2.0099999999999998</v>
      </c>
      <c r="M103" s="12">
        <f t="shared" si="25"/>
        <v>6.13</v>
      </c>
      <c r="N103" s="12">
        <f t="shared" si="26"/>
        <v>4.13</v>
      </c>
      <c r="O103" s="12">
        <f t="shared" si="27"/>
        <v>319.39999999999998</v>
      </c>
      <c r="P103" s="5" t="str">
        <f>IF(M103&lt;=Controls!$B$2,"NORMAL",IF(M103&lt;=Controls!$B$3,"CAUTION","BLOCK"))</f>
        <v>CAUTION</v>
      </c>
      <c r="Q103" s="5" t="str">
        <f>IF(P103="BLOCK","Hold",IF(L103&gt;Controls!$B$4,"Hold",IF(P103="CAUTION","Drop",IF(G103&lt;0.25,IF(MOD(ROW(),13)=0,"Turn Left",IF(MOD(ROW(),9)=0,"Turn Right",IF(F103&lt;0.08,"Build","Hold"))),IF(F103&lt;0.08,"Build","Hold")))))</f>
        <v>Drop</v>
      </c>
      <c r="R103" s="12">
        <f>ROUND(MAX(0.35,MIN(0.95,0.92 - 0.06*MAX(0,M103-Controls!$B$2) - 0.05*MAX(0,L103-Controls!$B$4) - 0.01*ABS(C103-50) + 0.04*(1-G103))),2)</f>
        <v>0.7</v>
      </c>
      <c r="S103" s="5" t="str">
        <f>IF(P103="BLOCK","BLOCKED",IF(R103&lt;Controls!$B$7,"REDUCED","ACCEPTED"))</f>
        <v>ACCEPTED</v>
      </c>
      <c r="T103" s="5" t="str">
        <f>IF(P103="BLOCK","LIMIT_EXCEEDED - DLS above "&amp;TEXT(Controls!$B$3,"0.0")&amp;" deg/100ft",IF(P103="CAUTION","DLS above operating limit - reduce aggressiveness",IF(L103&gt;Controls!$B$4,"High vibration - hold trajectory",IF(OR(C103&lt;Controls!$B$5,C103&gt;Controls!$B$6),"WOB outside preferred band","Normal operation"))))</f>
        <v>DLS above operating limit - reduce aggressiveness</v>
      </c>
    </row>
    <row r="104" spans="1:20" x14ac:dyDescent="0.3">
      <c r="A104" s="7">
        <f>Raw_Data!A104</f>
        <v>3835</v>
      </c>
      <c r="B104" s="8">
        <f>Raw_Data!B104</f>
        <v>35711.046999999999</v>
      </c>
      <c r="C104" s="9">
        <f t="shared" si="21"/>
        <v>35.711047000000001</v>
      </c>
      <c r="D104" s="9">
        <f>ROUND(Controls!$B$8 + (Raw_Data!C104-Controls!$B$12)/MAX(0.000001,(Controls!$B$13-Controls!$B$12))*(Controls!$B$9-Controls!$B$8),1)</f>
        <v>136.6</v>
      </c>
      <c r="E104" s="9">
        <f>ROUND(Controls!$B$10 + (Raw_Data!D104-Controls!$B$14)/MAX(0.000001,(Controls!$B$15-Controls!$B$14))*(Controls!$B$11-Controls!$B$10),1)</f>
        <v>68.8</v>
      </c>
      <c r="F104" s="10">
        <f>Raw_Data!E104</f>
        <v>0.27934558192600001</v>
      </c>
      <c r="G104" s="10">
        <f>Raw_Data!F104</f>
        <v>1</v>
      </c>
      <c r="H104" s="10">
        <f>Raw_Data!G104</f>
        <v>0.39976270642799999</v>
      </c>
      <c r="I104" s="10">
        <f>Raw_Data!H104</f>
        <v>1E-3</v>
      </c>
      <c r="J104" s="5" t="str">
        <f t="shared" si="22"/>
        <v>Shale-prone</v>
      </c>
      <c r="K104" s="11">
        <f t="shared" si="23"/>
        <v>20.2</v>
      </c>
      <c r="L104" s="12">
        <f t="shared" si="24"/>
        <v>2.44</v>
      </c>
      <c r="M104" s="12">
        <f t="shared" si="25"/>
        <v>7.41</v>
      </c>
      <c r="N104" s="12">
        <f t="shared" si="26"/>
        <v>4.4800000000000004</v>
      </c>
      <c r="O104" s="12">
        <f t="shared" si="27"/>
        <v>319.89999999999998</v>
      </c>
      <c r="P104" s="5" t="str">
        <f>IF(M104&lt;=Controls!$B$2,"NORMAL",IF(M104&lt;=Controls!$B$3,"CAUTION","BLOCK"))</f>
        <v>CAUTION</v>
      </c>
      <c r="Q104" s="5" t="str">
        <f>IF(P104="BLOCK","Hold",IF(L104&gt;Controls!$B$4,"Hold",IF(P104="CAUTION","Drop",IF(G104&lt;0.25,IF(MOD(ROW(),13)=0,"Turn Left",IF(MOD(ROW(),9)=0,"Turn Right",IF(F104&lt;0.08,"Build","Hold"))),IF(F104&lt;0.08,"Build","Hold")))))</f>
        <v>Drop</v>
      </c>
      <c r="R104" s="12">
        <f>ROUND(MAX(0.35,MIN(0.95,0.92 - 0.06*MAX(0,M104-Controls!$B$2) - 0.05*MAX(0,L104-Controls!$B$4) - 0.01*ABS(C104-50) + 0.04*(1-G104))),2)</f>
        <v>0.69</v>
      </c>
      <c r="S104" s="5" t="str">
        <f>IF(P104="BLOCK","BLOCKED",IF(R104&lt;Controls!$B$7,"REDUCED","ACCEPTED"))</f>
        <v>ACCEPTED</v>
      </c>
      <c r="T104" s="5" t="str">
        <f>IF(P104="BLOCK","LIMIT_EXCEEDED - DLS above "&amp;TEXT(Controls!$B$3,"0.0")&amp;" deg/100ft",IF(P104="CAUTION","DLS above operating limit - reduce aggressiveness",IF(L104&gt;Controls!$B$4,"High vibration - hold trajectory",IF(OR(C104&lt;Controls!$B$5,C104&gt;Controls!$B$6),"WOB outside preferred band","Normal operation"))))</f>
        <v>DLS above operating limit - reduce aggressiveness</v>
      </c>
    </row>
    <row r="105" spans="1:20" x14ac:dyDescent="0.3">
      <c r="A105" s="7">
        <f>Raw_Data!A105</f>
        <v>3840</v>
      </c>
      <c r="B105" s="8">
        <f>Raw_Data!B105</f>
        <v>55441.036999999997</v>
      </c>
      <c r="C105" s="9">
        <f t="shared" si="21"/>
        <v>55.441036999999994</v>
      </c>
      <c r="D105" s="9">
        <f>ROUND(Controls!$B$8 + (Raw_Data!C105-Controls!$B$12)/MAX(0.000001,(Controls!$B$13-Controls!$B$12))*(Controls!$B$9-Controls!$B$8),1)</f>
        <v>136.5</v>
      </c>
      <c r="E105" s="9">
        <f>ROUND(Controls!$B$10 + (Raw_Data!D105-Controls!$B$14)/MAX(0.000001,(Controls!$B$15-Controls!$B$14))*(Controls!$B$11-Controls!$B$10),1)</f>
        <v>64.2</v>
      </c>
      <c r="F105" s="10">
        <f>Raw_Data!E105</f>
        <v>0.21521729719999999</v>
      </c>
      <c r="G105" s="10">
        <f>Raw_Data!F105</f>
        <v>0.99998739667400005</v>
      </c>
      <c r="H105" s="10">
        <f>Raw_Data!G105</f>
        <v>0.53481489161999995</v>
      </c>
      <c r="I105" s="10">
        <f>Raw_Data!H105</f>
        <v>1E-3</v>
      </c>
      <c r="J105" s="5" t="str">
        <f t="shared" si="22"/>
        <v>Shale-prone</v>
      </c>
      <c r="K105" s="11">
        <f t="shared" si="23"/>
        <v>23.4</v>
      </c>
      <c r="L105" s="12">
        <f t="shared" si="24"/>
        <v>2.44</v>
      </c>
      <c r="M105" s="12">
        <f t="shared" si="25"/>
        <v>7.41</v>
      </c>
      <c r="N105" s="12">
        <f t="shared" si="26"/>
        <v>4.83</v>
      </c>
      <c r="O105" s="12">
        <f t="shared" si="27"/>
        <v>320.39999999999998</v>
      </c>
      <c r="P105" s="5" t="str">
        <f>IF(M105&lt;=Controls!$B$2,"NORMAL",IF(M105&lt;=Controls!$B$3,"CAUTION","BLOCK"))</f>
        <v>CAUTION</v>
      </c>
      <c r="Q105" s="5" t="str">
        <f>IF(P105="BLOCK","Hold",IF(L105&gt;Controls!$B$4,"Hold",IF(P105="CAUTION","Drop",IF(G105&lt;0.25,IF(MOD(ROW(),13)=0,"Turn Left",IF(MOD(ROW(),9)=0,"Turn Right",IF(F105&lt;0.08,"Build","Hold"))),IF(F105&lt;0.08,"Build","Hold")))))</f>
        <v>Drop</v>
      </c>
      <c r="R105" s="12">
        <f>ROUND(MAX(0.35,MIN(0.95,0.92 - 0.06*MAX(0,M105-Controls!$B$2) - 0.05*MAX(0,L105-Controls!$B$4) - 0.01*ABS(C105-50) + 0.04*(1-G105))),2)</f>
        <v>0.78</v>
      </c>
      <c r="S105" s="5" t="str">
        <f>IF(P105="BLOCK","BLOCKED",IF(R105&lt;Controls!$B$7,"REDUCED","ACCEPTED"))</f>
        <v>ACCEPTED</v>
      </c>
      <c r="T105" s="5" t="str">
        <f>IF(P105="BLOCK","LIMIT_EXCEEDED - DLS above "&amp;TEXT(Controls!$B$3,"0.0")&amp;" deg/100ft",IF(P105="CAUTION","DLS above operating limit - reduce aggressiveness",IF(L105&gt;Controls!$B$4,"High vibration - hold trajectory",IF(OR(C105&lt;Controls!$B$5,C105&gt;Controls!$B$6),"WOB outside preferred band","Normal operation"))))</f>
        <v>DLS above operating limit - reduce aggressiveness</v>
      </c>
    </row>
    <row r="106" spans="1:20" x14ac:dyDescent="0.3">
      <c r="A106" s="7">
        <f>Raw_Data!A106</f>
        <v>3845</v>
      </c>
      <c r="B106" s="8">
        <f>Raw_Data!B106</f>
        <v>69828.84</v>
      </c>
      <c r="C106" s="9">
        <f t="shared" si="21"/>
        <v>69.82884</v>
      </c>
      <c r="D106" s="9">
        <f>ROUND(Controls!$B$8 + (Raw_Data!C106-Controls!$B$12)/MAX(0.000001,(Controls!$B$13-Controls!$B$12))*(Controls!$B$9-Controls!$B$8),1)</f>
        <v>136.6</v>
      </c>
      <c r="E106" s="9">
        <f>ROUND(Controls!$B$10 + (Raw_Data!D106-Controls!$B$14)/MAX(0.000001,(Controls!$B$15-Controls!$B$14))*(Controls!$B$11-Controls!$B$10),1)</f>
        <v>64.3</v>
      </c>
      <c r="F106" s="10">
        <f>Raw_Data!E106</f>
        <v>0.27029466718599998</v>
      </c>
      <c r="G106" s="10">
        <f>Raw_Data!F106</f>
        <v>1</v>
      </c>
      <c r="H106" s="10">
        <f>Raw_Data!G106</f>
        <v>0.35651054464300003</v>
      </c>
      <c r="I106" s="10">
        <f>Raw_Data!H106</f>
        <v>1E-3</v>
      </c>
      <c r="J106" s="5" t="str">
        <f t="shared" si="22"/>
        <v>Shale-prone</v>
      </c>
      <c r="K106" s="11">
        <f t="shared" si="23"/>
        <v>25.6</v>
      </c>
      <c r="L106" s="12">
        <f t="shared" si="24"/>
        <v>2.73</v>
      </c>
      <c r="M106" s="12">
        <f t="shared" si="25"/>
        <v>7.82</v>
      </c>
      <c r="N106" s="12">
        <f t="shared" si="26"/>
        <v>5.23</v>
      </c>
      <c r="O106" s="12">
        <f t="shared" si="27"/>
        <v>320.89999999999998</v>
      </c>
      <c r="P106" s="5" t="str">
        <f>IF(M106&lt;=Controls!$B$2,"NORMAL",IF(M106&lt;=Controls!$B$3,"CAUTION","BLOCK"))</f>
        <v>CAUTION</v>
      </c>
      <c r="Q106" s="5" t="str">
        <f>IF(P106="BLOCK","Hold",IF(L106&gt;Controls!$B$4,"Hold",IF(P106="CAUTION","Drop",IF(G106&lt;0.25,IF(MOD(ROW(),13)=0,"Turn Left",IF(MOD(ROW(),9)=0,"Turn Right",IF(F106&lt;0.08,"Build","Hold"))),IF(F106&lt;0.08,"Build","Hold")))))</f>
        <v>Drop</v>
      </c>
      <c r="R106" s="12">
        <f>ROUND(MAX(0.35,MIN(0.95,0.92 - 0.06*MAX(0,M106-Controls!$B$2) - 0.05*MAX(0,L106-Controls!$B$4) - 0.01*ABS(C106-50) + 0.04*(1-G106))),2)</f>
        <v>0.61</v>
      </c>
      <c r="S106" s="5" t="str">
        <f>IF(P106="BLOCK","BLOCKED",IF(R106&lt;Controls!$B$7,"REDUCED","ACCEPTED"))</f>
        <v>ACCEPTED</v>
      </c>
      <c r="T106" s="5" t="str">
        <f>IF(P106="BLOCK","LIMIT_EXCEEDED - DLS above "&amp;TEXT(Controls!$B$3,"0.0")&amp;" deg/100ft",IF(P106="CAUTION","DLS above operating limit - reduce aggressiveness",IF(L106&gt;Controls!$B$4,"High vibration - hold trajectory",IF(OR(C106&lt;Controls!$B$5,C106&gt;Controls!$B$6),"WOB outside preferred band","Normal operation"))))</f>
        <v>DLS above operating limit - reduce aggressiveness</v>
      </c>
    </row>
    <row r="107" spans="1:20" x14ac:dyDescent="0.3">
      <c r="A107" s="7">
        <f>Raw_Data!A107</f>
        <v>3850</v>
      </c>
      <c r="B107" s="8">
        <f>Raw_Data!B107</f>
        <v>60725.976999999999</v>
      </c>
      <c r="C107" s="9">
        <f t="shared" si="21"/>
        <v>60.725977</v>
      </c>
      <c r="D107" s="9">
        <f>ROUND(Controls!$B$8 + (Raw_Data!C107-Controls!$B$12)/MAX(0.000001,(Controls!$B$13-Controls!$B$12))*(Controls!$B$9-Controls!$B$8),1)</f>
        <v>136.4</v>
      </c>
      <c r="E107" s="9">
        <f>ROUND(Controls!$B$10 + (Raw_Data!D107-Controls!$B$14)/MAX(0.000001,(Controls!$B$15-Controls!$B$14))*(Controls!$B$11-Controls!$B$10),1)</f>
        <v>64.3</v>
      </c>
      <c r="F107" s="10">
        <f>Raw_Data!E107</f>
        <v>0.26495700790499999</v>
      </c>
      <c r="G107" s="10">
        <f>Raw_Data!F107</f>
        <v>1</v>
      </c>
      <c r="H107" s="10">
        <f>Raw_Data!G107</f>
        <v>0.35139347378399999</v>
      </c>
      <c r="I107" s="10">
        <f>Raw_Data!H107</f>
        <v>1E-3</v>
      </c>
      <c r="J107" s="5" t="str">
        <f t="shared" si="22"/>
        <v>Shale-prone</v>
      </c>
      <c r="K107" s="11">
        <f t="shared" si="23"/>
        <v>24.2</v>
      </c>
      <c r="L107" s="12">
        <f t="shared" si="24"/>
        <v>2.5499999999999998</v>
      </c>
      <c r="M107" s="12">
        <f t="shared" si="25"/>
        <v>7.47</v>
      </c>
      <c r="N107" s="12">
        <f t="shared" si="26"/>
        <v>5.59</v>
      </c>
      <c r="O107" s="12">
        <f t="shared" si="27"/>
        <v>321.39999999999998</v>
      </c>
      <c r="P107" s="5" t="str">
        <f>IF(M107&lt;=Controls!$B$2,"NORMAL",IF(M107&lt;=Controls!$B$3,"CAUTION","BLOCK"))</f>
        <v>CAUTION</v>
      </c>
      <c r="Q107" s="5" t="str">
        <f>IF(P107="BLOCK","Hold",IF(L107&gt;Controls!$B$4,"Hold",IF(P107="CAUTION","Drop",IF(G107&lt;0.25,IF(MOD(ROW(),13)=0,"Turn Left",IF(MOD(ROW(),9)=0,"Turn Right",IF(F107&lt;0.08,"Build","Hold"))),IF(F107&lt;0.08,"Build","Hold")))))</f>
        <v>Drop</v>
      </c>
      <c r="R107" s="12">
        <f>ROUND(MAX(0.35,MIN(0.95,0.92 - 0.06*MAX(0,M107-Controls!$B$2) - 0.05*MAX(0,L107-Controls!$B$4) - 0.01*ABS(C107-50) + 0.04*(1-G107))),2)</f>
        <v>0.72</v>
      </c>
      <c r="S107" s="5" t="str">
        <f>IF(P107="BLOCK","BLOCKED",IF(R107&lt;Controls!$B$7,"REDUCED","ACCEPTED"))</f>
        <v>ACCEPTED</v>
      </c>
      <c r="T107" s="5" t="str">
        <f>IF(P107="BLOCK","LIMIT_EXCEEDED - DLS above "&amp;TEXT(Controls!$B$3,"0.0")&amp;" deg/100ft",IF(P107="CAUTION","DLS above operating limit - reduce aggressiveness",IF(L107&gt;Controls!$B$4,"High vibration - hold trajectory",IF(OR(C107&lt;Controls!$B$5,C107&gt;Controls!$B$6),"WOB outside preferred band","Normal operation"))))</f>
        <v>DLS above operating limit - reduce aggressiveness</v>
      </c>
    </row>
    <row r="108" spans="1:20" x14ac:dyDescent="0.3">
      <c r="A108" s="7">
        <f>Raw_Data!A108</f>
        <v>3855</v>
      </c>
      <c r="B108" s="8">
        <f>Raw_Data!B108</f>
        <v>36845.538999999997</v>
      </c>
      <c r="C108" s="9">
        <f t="shared" si="21"/>
        <v>36.845538999999995</v>
      </c>
      <c r="D108" s="9">
        <f>ROUND(Controls!$B$8 + (Raw_Data!C108-Controls!$B$12)/MAX(0.000001,(Controls!$B$13-Controls!$B$12))*(Controls!$B$9-Controls!$B$8),1)</f>
        <v>136.5</v>
      </c>
      <c r="E108" s="9">
        <f>ROUND(Controls!$B$10 + (Raw_Data!D108-Controls!$B$14)/MAX(0.000001,(Controls!$B$15-Controls!$B$14))*(Controls!$B$11-Controls!$B$10),1)</f>
        <v>68.900000000000006</v>
      </c>
      <c r="F108" s="10">
        <f>Raw_Data!E108</f>
        <v>0.221582889753</v>
      </c>
      <c r="G108" s="10">
        <f>Raw_Data!F108</f>
        <v>1</v>
      </c>
      <c r="H108" s="10">
        <f>Raw_Data!G108</f>
        <v>0.529283964005</v>
      </c>
      <c r="I108" s="10">
        <f>Raw_Data!H108</f>
        <v>1E-3</v>
      </c>
      <c r="J108" s="5" t="str">
        <f t="shared" si="22"/>
        <v>Shale-prone</v>
      </c>
      <c r="K108" s="11">
        <f t="shared" si="23"/>
        <v>20.5</v>
      </c>
      <c r="L108" s="12">
        <f t="shared" si="24"/>
        <v>2.4300000000000002</v>
      </c>
      <c r="M108" s="12">
        <f t="shared" si="25"/>
        <v>7.4</v>
      </c>
      <c r="N108" s="12">
        <f t="shared" si="26"/>
        <v>5.94</v>
      </c>
      <c r="O108" s="12">
        <f t="shared" si="27"/>
        <v>321.89999999999998</v>
      </c>
      <c r="P108" s="5" t="str">
        <f>IF(M108&lt;=Controls!$B$2,"NORMAL",IF(M108&lt;=Controls!$B$3,"CAUTION","BLOCK"))</f>
        <v>CAUTION</v>
      </c>
      <c r="Q108" s="5" t="str">
        <f>IF(P108="BLOCK","Hold",IF(L108&gt;Controls!$B$4,"Hold",IF(P108="CAUTION","Drop",IF(G108&lt;0.25,IF(MOD(ROW(),13)=0,"Turn Left",IF(MOD(ROW(),9)=0,"Turn Right",IF(F108&lt;0.08,"Build","Hold"))),IF(F108&lt;0.08,"Build","Hold")))))</f>
        <v>Drop</v>
      </c>
      <c r="R108" s="12">
        <f>ROUND(MAX(0.35,MIN(0.95,0.92 - 0.06*MAX(0,M108-Controls!$B$2) - 0.05*MAX(0,L108-Controls!$B$4) - 0.01*ABS(C108-50) + 0.04*(1-G108))),2)</f>
        <v>0.7</v>
      </c>
      <c r="S108" s="5" t="str">
        <f>IF(P108="BLOCK","BLOCKED",IF(R108&lt;Controls!$B$7,"REDUCED","ACCEPTED"))</f>
        <v>ACCEPTED</v>
      </c>
      <c r="T108" s="5" t="str">
        <f>IF(P108="BLOCK","LIMIT_EXCEEDED - DLS above "&amp;TEXT(Controls!$B$3,"0.0")&amp;" deg/100ft",IF(P108="CAUTION","DLS above operating limit - reduce aggressiveness",IF(L108&gt;Controls!$B$4,"High vibration - hold trajectory",IF(OR(C108&lt;Controls!$B$5,C108&gt;Controls!$B$6),"WOB outside preferred band","Normal operation"))))</f>
        <v>DLS above operating limit - reduce aggressiveness</v>
      </c>
    </row>
    <row r="109" spans="1:20" x14ac:dyDescent="0.3">
      <c r="A109" s="7">
        <f>Raw_Data!A109</f>
        <v>3860</v>
      </c>
      <c r="B109" s="8">
        <f>Raw_Data!B109</f>
        <v>29158.287999999899</v>
      </c>
      <c r="C109" s="9">
        <f t="shared" si="21"/>
        <v>29.158287999999899</v>
      </c>
      <c r="D109" s="9">
        <f>ROUND(Controls!$B$8 + (Raw_Data!C109-Controls!$B$12)/MAX(0.000001,(Controls!$B$13-Controls!$B$12))*(Controls!$B$9-Controls!$B$8),1)</f>
        <v>136.5</v>
      </c>
      <c r="E109" s="9">
        <f>ROUND(Controls!$B$10 + (Raw_Data!D109-Controls!$B$14)/MAX(0.000001,(Controls!$B$15-Controls!$B$14))*(Controls!$B$11-Controls!$B$10),1)</f>
        <v>68.900000000000006</v>
      </c>
      <c r="F109" s="10">
        <f>Raw_Data!E109</f>
        <v>0.18100488910099999</v>
      </c>
      <c r="G109" s="10">
        <f>Raw_Data!F109</f>
        <v>1</v>
      </c>
      <c r="H109" s="10">
        <f>Raw_Data!G109</f>
        <v>0.60400105321999997</v>
      </c>
      <c r="I109" s="10">
        <f>Raw_Data!H109</f>
        <v>1E-3</v>
      </c>
      <c r="J109" s="5" t="str">
        <f t="shared" si="22"/>
        <v>Shale-prone</v>
      </c>
      <c r="K109" s="11">
        <f t="shared" si="23"/>
        <v>19.3</v>
      </c>
      <c r="L109" s="12">
        <f t="shared" si="24"/>
        <v>2.4300000000000002</v>
      </c>
      <c r="M109" s="12">
        <f t="shared" si="25"/>
        <v>8.5</v>
      </c>
      <c r="N109" s="12">
        <f t="shared" si="26"/>
        <v>6.42</v>
      </c>
      <c r="O109" s="12">
        <f t="shared" si="27"/>
        <v>322.39999999999998</v>
      </c>
      <c r="P109" s="5" t="str">
        <f>IF(M109&lt;=Controls!$B$2,"NORMAL",IF(M109&lt;=Controls!$B$3,"CAUTION","BLOCK"))</f>
        <v>BLOCK</v>
      </c>
      <c r="Q109" s="5" t="str">
        <f>IF(P109="BLOCK","Hold",IF(L109&gt;Controls!$B$4,"Hold",IF(P109="CAUTION","Drop",IF(G109&lt;0.25,IF(MOD(ROW(),13)=0,"Turn Left",IF(MOD(ROW(),9)=0,"Turn Right",IF(F109&lt;0.08,"Build","Hold"))),IF(F109&lt;0.08,"Build","Hold")))))</f>
        <v>Hold</v>
      </c>
      <c r="R109" s="12">
        <f>ROUND(MAX(0.35,MIN(0.95,0.92 - 0.06*MAX(0,M109-Controls!$B$2) - 0.05*MAX(0,L109-Controls!$B$4) - 0.01*ABS(C109-50) + 0.04*(1-G109))),2)</f>
        <v>0.56000000000000005</v>
      </c>
      <c r="S109" s="5" t="str">
        <f>IF(P109="BLOCK","BLOCKED",IF(R109&lt;Controls!$B$7,"REDUCED","ACCEPTED"))</f>
        <v>BLOCKED</v>
      </c>
      <c r="T109" s="5" t="str">
        <f>IF(P109="BLOCK","LIMIT_EXCEEDED - DLS above "&amp;TEXT(Controls!$B$3,"0.0")&amp;" deg/100ft",IF(P109="CAUTION","DLS above operating limit - reduce aggressiveness",IF(L109&gt;Controls!$B$4,"High vibration - hold trajectory",IF(OR(C109&lt;Controls!$B$5,C109&gt;Controls!$B$6),"WOB outside preferred band","Normal operation"))))</f>
        <v>LIMIT_EXCEEDED - DLS above 8.0 deg/100ft</v>
      </c>
    </row>
    <row r="110" spans="1:20" x14ac:dyDescent="0.3">
      <c r="A110" s="7">
        <f>Raw_Data!A110</f>
        <v>3865</v>
      </c>
      <c r="B110" s="8">
        <f>Raw_Data!B110</f>
        <v>44807.529000000002</v>
      </c>
      <c r="C110" s="9">
        <f t="shared" si="21"/>
        <v>44.807529000000002</v>
      </c>
      <c r="D110" s="9">
        <f>ROUND(Controls!$B$8 + (Raw_Data!C110-Controls!$B$12)/MAX(0.000001,(Controls!$B$13-Controls!$B$12))*(Controls!$B$9-Controls!$B$8),1)</f>
        <v>136.5</v>
      </c>
      <c r="E110" s="9">
        <f>ROUND(Controls!$B$10 + (Raw_Data!D110-Controls!$B$14)/MAX(0.000001,(Controls!$B$15-Controls!$B$14))*(Controls!$B$11-Controls!$B$10),1)</f>
        <v>68.8</v>
      </c>
      <c r="F110" s="10">
        <f>Raw_Data!E110</f>
        <v>0.15129676364799999</v>
      </c>
      <c r="G110" s="10">
        <f>Raw_Data!F110</f>
        <v>1</v>
      </c>
      <c r="H110" s="10">
        <f>Raw_Data!G110</f>
        <v>0.81733778474300001</v>
      </c>
      <c r="I110" s="10">
        <f>Raw_Data!H110</f>
        <v>1E-3</v>
      </c>
      <c r="J110" s="5" t="str">
        <f t="shared" si="22"/>
        <v>Shale-prone</v>
      </c>
      <c r="K110" s="11">
        <f t="shared" si="23"/>
        <v>21.9</v>
      </c>
      <c r="L110" s="12">
        <f t="shared" si="24"/>
        <v>2.4300000000000002</v>
      </c>
      <c r="M110" s="12">
        <f t="shared" si="25"/>
        <v>8.5</v>
      </c>
      <c r="N110" s="12">
        <f t="shared" si="26"/>
        <v>6.9</v>
      </c>
      <c r="O110" s="12">
        <f t="shared" si="27"/>
        <v>322.89999999999998</v>
      </c>
      <c r="P110" s="5" t="str">
        <f>IF(M110&lt;=Controls!$B$2,"NORMAL",IF(M110&lt;=Controls!$B$3,"CAUTION","BLOCK"))</f>
        <v>BLOCK</v>
      </c>
      <c r="Q110" s="5" t="str">
        <f>IF(P110="BLOCK","Hold",IF(L110&gt;Controls!$B$4,"Hold",IF(P110="CAUTION","Drop",IF(G110&lt;0.25,IF(MOD(ROW(),13)=0,"Turn Left",IF(MOD(ROW(),9)=0,"Turn Right",IF(F110&lt;0.08,"Build","Hold"))),IF(F110&lt;0.08,"Build","Hold")))))</f>
        <v>Hold</v>
      </c>
      <c r="R110" s="12">
        <f>ROUND(MAX(0.35,MIN(0.95,0.92 - 0.06*MAX(0,M110-Controls!$B$2) - 0.05*MAX(0,L110-Controls!$B$4) - 0.01*ABS(C110-50) + 0.04*(1-G110))),2)</f>
        <v>0.72</v>
      </c>
      <c r="S110" s="5" t="str">
        <f>IF(P110="BLOCK","BLOCKED",IF(R110&lt;Controls!$B$7,"REDUCED","ACCEPTED"))</f>
        <v>BLOCKED</v>
      </c>
      <c r="T110" s="5" t="str">
        <f>IF(P110="BLOCK","LIMIT_EXCEEDED - DLS above "&amp;TEXT(Controls!$B$3,"0.0")&amp;" deg/100ft",IF(P110="CAUTION","DLS above operating limit - reduce aggressiveness",IF(L110&gt;Controls!$B$4,"High vibration - hold trajectory",IF(OR(C110&lt;Controls!$B$5,C110&gt;Controls!$B$6),"WOB outside preferred band","Normal operation"))))</f>
        <v>LIMIT_EXCEEDED - DLS above 8.0 deg/100ft</v>
      </c>
    </row>
    <row r="111" spans="1:20" x14ac:dyDescent="0.3">
      <c r="A111" s="7">
        <f>Raw_Data!A111</f>
        <v>3870</v>
      </c>
      <c r="B111" s="8">
        <f>Raw_Data!B111</f>
        <v>58069.453000000001</v>
      </c>
      <c r="C111" s="9">
        <f t="shared" si="21"/>
        <v>58.069453000000003</v>
      </c>
      <c r="D111" s="9">
        <f>ROUND(Controls!$B$8 + (Raw_Data!C111-Controls!$B$12)/MAX(0.000001,(Controls!$B$13-Controls!$B$12))*(Controls!$B$9-Controls!$B$8),1)</f>
        <v>136.5</v>
      </c>
      <c r="E111" s="9">
        <f>ROUND(Controls!$B$10 + (Raw_Data!D111-Controls!$B$14)/MAX(0.000001,(Controls!$B$15-Controls!$B$14))*(Controls!$B$11-Controls!$B$10),1)</f>
        <v>68.900000000000006</v>
      </c>
      <c r="F111" s="10">
        <f>Raw_Data!E111</f>
        <v>0.14788145296899999</v>
      </c>
      <c r="G111" s="10">
        <f>Raw_Data!F111</f>
        <v>1</v>
      </c>
      <c r="H111" s="10">
        <f>Raw_Data!G111</f>
        <v>0.79425043791600003</v>
      </c>
      <c r="I111" s="10">
        <f>Raw_Data!H111</f>
        <v>1E-3</v>
      </c>
      <c r="J111" s="5" t="str">
        <f t="shared" si="22"/>
        <v>Shale-prone</v>
      </c>
      <c r="K111" s="11">
        <f t="shared" si="23"/>
        <v>24</v>
      </c>
      <c r="L111" s="12">
        <f t="shared" si="24"/>
        <v>2.4900000000000002</v>
      </c>
      <c r="M111" s="12">
        <f t="shared" si="25"/>
        <v>8.5299999999999994</v>
      </c>
      <c r="N111" s="12">
        <f t="shared" si="26"/>
        <v>7.38</v>
      </c>
      <c r="O111" s="12">
        <f t="shared" si="27"/>
        <v>323.39999999999998</v>
      </c>
      <c r="P111" s="5" t="str">
        <f>IF(M111&lt;=Controls!$B$2,"NORMAL",IF(M111&lt;=Controls!$B$3,"CAUTION","BLOCK"))</f>
        <v>BLOCK</v>
      </c>
      <c r="Q111" s="5" t="str">
        <f>IF(P111="BLOCK","Hold",IF(L111&gt;Controls!$B$4,"Hold",IF(P111="CAUTION","Drop",IF(G111&lt;0.25,IF(MOD(ROW(),13)=0,"Turn Left",IF(MOD(ROW(),9)=0,"Turn Right",IF(F111&lt;0.08,"Build","Hold"))),IF(F111&lt;0.08,"Build","Hold")))))</f>
        <v>Hold</v>
      </c>
      <c r="R111" s="12">
        <f>ROUND(MAX(0.35,MIN(0.95,0.92 - 0.06*MAX(0,M111-Controls!$B$2) - 0.05*MAX(0,L111-Controls!$B$4) - 0.01*ABS(C111-50) + 0.04*(1-G111))),2)</f>
        <v>0.69</v>
      </c>
      <c r="S111" s="5" t="str">
        <f>IF(P111="BLOCK","BLOCKED",IF(R111&lt;Controls!$B$7,"REDUCED","ACCEPTED"))</f>
        <v>BLOCKED</v>
      </c>
      <c r="T111" s="5" t="str">
        <f>IF(P111="BLOCK","LIMIT_EXCEEDED - DLS above "&amp;TEXT(Controls!$B$3,"0.0")&amp;" deg/100ft",IF(P111="CAUTION","DLS above operating limit - reduce aggressiveness",IF(L111&gt;Controls!$B$4,"High vibration - hold trajectory",IF(OR(C111&lt;Controls!$B$5,C111&gt;Controls!$B$6),"WOB outside preferred band","Normal operation"))))</f>
        <v>LIMIT_EXCEEDED - DLS above 8.0 deg/100ft</v>
      </c>
    </row>
    <row r="112" spans="1:20" x14ac:dyDescent="0.3">
      <c r="A112" s="7">
        <f>Raw_Data!A112</f>
        <v>3875</v>
      </c>
      <c r="B112" s="8">
        <f>Raw_Data!B112</f>
        <v>42989.008999999998</v>
      </c>
      <c r="C112" s="9">
        <f t="shared" si="21"/>
        <v>42.989008999999996</v>
      </c>
      <c r="D112" s="9">
        <f>ROUND(Controls!$B$8 + (Raw_Data!C112-Controls!$B$12)/MAX(0.000001,(Controls!$B$13-Controls!$B$12))*(Controls!$B$9-Controls!$B$8),1)</f>
        <v>136.5</v>
      </c>
      <c r="E112" s="9">
        <f>ROUND(Controls!$B$10 + (Raw_Data!D112-Controls!$B$14)/MAX(0.000001,(Controls!$B$15-Controls!$B$14))*(Controls!$B$11-Controls!$B$10),1)</f>
        <v>68.900000000000006</v>
      </c>
      <c r="F112" s="10">
        <f>Raw_Data!E112</f>
        <v>6.269834799E-3</v>
      </c>
      <c r="G112" s="10">
        <f>Raw_Data!F112</f>
        <v>1.0000000000880001</v>
      </c>
      <c r="H112" s="10">
        <f>Raw_Data!G112</f>
        <v>1.013334866808</v>
      </c>
      <c r="I112" s="10">
        <f>Raw_Data!H112</f>
        <v>1E-3</v>
      </c>
      <c r="J112" s="5" t="str">
        <f t="shared" si="22"/>
        <v>Shale-prone</v>
      </c>
      <c r="K112" s="11">
        <f t="shared" si="23"/>
        <v>21.9</v>
      </c>
      <c r="L112" s="12">
        <f t="shared" si="24"/>
        <v>2.4300000000000002</v>
      </c>
      <c r="M112" s="12">
        <f t="shared" si="25"/>
        <v>8.5</v>
      </c>
      <c r="N112" s="12">
        <f t="shared" si="26"/>
        <v>7.86</v>
      </c>
      <c r="O112" s="12">
        <f t="shared" si="27"/>
        <v>323.89999999999998</v>
      </c>
      <c r="P112" s="5" t="str">
        <f>IF(M112&lt;=Controls!$B$2,"NORMAL",IF(M112&lt;=Controls!$B$3,"CAUTION","BLOCK"))</f>
        <v>BLOCK</v>
      </c>
      <c r="Q112" s="5" t="str">
        <f>IF(P112="BLOCK","Hold",IF(L112&gt;Controls!$B$4,"Hold",IF(P112="CAUTION","Drop",IF(G112&lt;0.25,IF(MOD(ROW(),13)=0,"Turn Left",IF(MOD(ROW(),9)=0,"Turn Right",IF(F112&lt;0.08,"Build","Hold"))),IF(F112&lt;0.08,"Build","Hold")))))</f>
        <v>Hold</v>
      </c>
      <c r="R112" s="12">
        <f>ROUND(MAX(0.35,MIN(0.95,0.92 - 0.06*MAX(0,M112-Controls!$B$2) - 0.05*MAX(0,L112-Controls!$B$4) - 0.01*ABS(C112-50) + 0.04*(1-G112))),2)</f>
        <v>0.7</v>
      </c>
      <c r="S112" s="5" t="str">
        <f>IF(P112="BLOCK","BLOCKED",IF(R112&lt;Controls!$B$7,"REDUCED","ACCEPTED"))</f>
        <v>BLOCKED</v>
      </c>
      <c r="T112" s="5" t="str">
        <f>IF(P112="BLOCK","LIMIT_EXCEEDED - DLS above "&amp;TEXT(Controls!$B$3,"0.0")&amp;" deg/100ft",IF(P112="CAUTION","DLS above operating limit - reduce aggressiveness",IF(L112&gt;Controls!$B$4,"High vibration - hold trajectory",IF(OR(C112&lt;Controls!$B$5,C112&gt;Controls!$B$6),"WOB outside preferred band","Normal operation"))))</f>
        <v>LIMIT_EXCEEDED - DLS above 8.0 deg/100ft</v>
      </c>
    </row>
    <row r="113" spans="1:20" x14ac:dyDescent="0.3">
      <c r="A113" s="7">
        <f>Raw_Data!A113</f>
        <v>3880</v>
      </c>
      <c r="B113" s="8">
        <f>Raw_Data!B113</f>
        <v>63292.934999999998</v>
      </c>
      <c r="C113" s="9">
        <f t="shared" si="21"/>
        <v>63.292935</v>
      </c>
      <c r="D113" s="9">
        <f>ROUND(Controls!$B$8 + (Raw_Data!C113-Controls!$B$12)/MAX(0.000001,(Controls!$B$13-Controls!$B$12))*(Controls!$B$9-Controls!$B$8),1)</f>
        <v>136.5</v>
      </c>
      <c r="E113" s="9">
        <f>ROUND(Controls!$B$10 + (Raw_Data!D113-Controls!$B$14)/MAX(0.000001,(Controls!$B$15-Controls!$B$14))*(Controls!$B$11-Controls!$B$10),1)</f>
        <v>64.3</v>
      </c>
      <c r="F113" s="10">
        <f>Raw_Data!E113</f>
        <v>5.6055725275000003E-2</v>
      </c>
      <c r="G113" s="10">
        <f>Raw_Data!F113</f>
        <v>0.78264212888899998</v>
      </c>
      <c r="H113" s="10">
        <f>Raw_Data!G113</f>
        <v>1</v>
      </c>
      <c r="I113" s="10">
        <f>Raw_Data!H113</f>
        <v>1E-3</v>
      </c>
      <c r="J113" s="5" t="str">
        <f t="shared" si="22"/>
        <v>Shale-prone</v>
      </c>
      <c r="K113" s="11">
        <f t="shared" si="23"/>
        <v>23.5</v>
      </c>
      <c r="L113" s="12">
        <f t="shared" si="24"/>
        <v>2.29</v>
      </c>
      <c r="M113" s="12">
        <f t="shared" si="25"/>
        <v>7.76</v>
      </c>
      <c r="N113" s="12">
        <f t="shared" si="26"/>
        <v>8.25</v>
      </c>
      <c r="O113" s="12">
        <f t="shared" si="27"/>
        <v>324.39999999999998</v>
      </c>
      <c r="P113" s="5" t="str">
        <f>IF(M113&lt;=Controls!$B$2,"NORMAL",IF(M113&lt;=Controls!$B$3,"CAUTION","BLOCK"))</f>
        <v>CAUTION</v>
      </c>
      <c r="Q113" s="5" t="str">
        <f>IF(P113="BLOCK","Hold",IF(L113&gt;Controls!$B$4,"Hold",IF(P113="CAUTION","Drop",IF(G113&lt;0.25,IF(MOD(ROW(),13)=0,"Turn Left",IF(MOD(ROW(),9)=0,"Turn Right",IF(F113&lt;0.08,"Build","Hold"))),IF(F113&lt;0.08,"Build","Hold")))))</f>
        <v>Drop</v>
      </c>
      <c r="R113" s="12">
        <f>ROUND(MAX(0.35,MIN(0.95,0.92 - 0.06*MAX(0,M113-Controls!$B$2) - 0.05*MAX(0,L113-Controls!$B$4) - 0.01*ABS(C113-50) + 0.04*(1-G113))),2)</f>
        <v>0.69</v>
      </c>
      <c r="S113" s="5" t="str">
        <f>IF(P113="BLOCK","BLOCKED",IF(R113&lt;Controls!$B$7,"REDUCED","ACCEPTED"))</f>
        <v>ACCEPTED</v>
      </c>
      <c r="T113" s="5" t="str">
        <f>IF(P113="BLOCK","LIMIT_EXCEEDED - DLS above "&amp;TEXT(Controls!$B$3,"0.0")&amp;" deg/100ft",IF(P113="CAUTION","DLS above operating limit - reduce aggressiveness",IF(L113&gt;Controls!$B$4,"High vibration - hold trajectory",IF(OR(C113&lt;Controls!$B$5,C113&gt;Controls!$B$6),"WOB outside preferred band","Normal operation"))))</f>
        <v>DLS above operating limit - reduce aggressiveness</v>
      </c>
    </row>
    <row r="114" spans="1:20" x14ac:dyDescent="0.3">
      <c r="A114" s="7">
        <f>Raw_Data!A114</f>
        <v>3885</v>
      </c>
      <c r="B114" s="8">
        <f>Raw_Data!B114</f>
        <v>64154.212999999902</v>
      </c>
      <c r="C114" s="9">
        <f t="shared" si="21"/>
        <v>64.154212999999899</v>
      </c>
      <c r="D114" s="9">
        <f>ROUND(Controls!$B$8 + (Raw_Data!C114-Controls!$B$12)/MAX(0.000001,(Controls!$B$13-Controls!$B$12))*(Controls!$B$9-Controls!$B$8),1)</f>
        <v>136.5</v>
      </c>
      <c r="E114" s="9">
        <f>ROUND(Controls!$B$10 + (Raw_Data!D114-Controls!$B$14)/MAX(0.000001,(Controls!$B$15-Controls!$B$14))*(Controls!$B$11-Controls!$B$10),1)</f>
        <v>64.3</v>
      </c>
      <c r="F114" s="10">
        <f>Raw_Data!E114</f>
        <v>8.9573438367999997E-2</v>
      </c>
      <c r="G114" s="10">
        <f>Raw_Data!F114</f>
        <v>0.75958735509700004</v>
      </c>
      <c r="H114" s="10">
        <f>Raw_Data!G114</f>
        <v>1</v>
      </c>
      <c r="I114" s="10">
        <f>Raw_Data!H114</f>
        <v>1E-3</v>
      </c>
      <c r="J114" s="5" t="str">
        <f t="shared" si="22"/>
        <v>Shale-prone</v>
      </c>
      <c r="K114" s="11">
        <f t="shared" si="23"/>
        <v>23.4</v>
      </c>
      <c r="L114" s="12">
        <f t="shared" si="24"/>
        <v>2.2799999999999998</v>
      </c>
      <c r="M114" s="12">
        <f t="shared" si="25"/>
        <v>7.7</v>
      </c>
      <c r="N114" s="12">
        <f t="shared" si="26"/>
        <v>8.6300000000000008</v>
      </c>
      <c r="O114" s="12">
        <f t="shared" si="27"/>
        <v>324.89999999999998</v>
      </c>
      <c r="P114" s="5" t="str">
        <f>IF(M114&lt;=Controls!$B$2,"NORMAL",IF(M114&lt;=Controls!$B$3,"CAUTION","BLOCK"))</f>
        <v>CAUTION</v>
      </c>
      <c r="Q114" s="5" t="str">
        <f>IF(P114="BLOCK","Hold",IF(L114&gt;Controls!$B$4,"Hold",IF(P114="CAUTION","Drop",IF(G114&lt;0.25,IF(MOD(ROW(),13)=0,"Turn Left",IF(MOD(ROW(),9)=0,"Turn Right",IF(F114&lt;0.08,"Build","Hold"))),IF(F114&lt;0.08,"Build","Hold")))))</f>
        <v>Drop</v>
      </c>
      <c r="R114" s="12">
        <f>ROUND(MAX(0.35,MIN(0.95,0.92 - 0.06*MAX(0,M114-Controls!$B$2) - 0.05*MAX(0,L114-Controls!$B$4) - 0.01*ABS(C114-50) + 0.04*(1-G114))),2)</f>
        <v>0.69</v>
      </c>
      <c r="S114" s="5" t="str">
        <f>IF(P114="BLOCK","BLOCKED",IF(R114&lt;Controls!$B$7,"REDUCED","ACCEPTED"))</f>
        <v>ACCEPTED</v>
      </c>
      <c r="T114" s="5" t="str">
        <f>IF(P114="BLOCK","LIMIT_EXCEEDED - DLS above "&amp;TEXT(Controls!$B$3,"0.0")&amp;" deg/100ft",IF(P114="CAUTION","DLS above operating limit - reduce aggressiveness",IF(L114&gt;Controls!$B$4,"High vibration - hold trajectory",IF(OR(C114&lt;Controls!$B$5,C114&gt;Controls!$B$6),"WOB outside preferred band","Normal operation"))))</f>
        <v>DLS above operating limit - reduce aggressiveness</v>
      </c>
    </row>
    <row r="115" spans="1:20" x14ac:dyDescent="0.3">
      <c r="A115" s="7">
        <f>Raw_Data!A115</f>
        <v>3890</v>
      </c>
      <c r="B115" s="8">
        <f>Raw_Data!B115</f>
        <v>56690.940999999999</v>
      </c>
      <c r="C115" s="9">
        <f t="shared" si="21"/>
        <v>56.690941000000002</v>
      </c>
      <c r="D115" s="9">
        <f>ROUND(Controls!$B$8 + (Raw_Data!C115-Controls!$B$12)/MAX(0.000001,(Controls!$B$13-Controls!$B$12))*(Controls!$B$9-Controls!$B$8),1)</f>
        <v>136.5</v>
      </c>
      <c r="E115" s="9">
        <f>ROUND(Controls!$B$10 + (Raw_Data!D115-Controls!$B$14)/MAX(0.000001,(Controls!$B$15-Controls!$B$14))*(Controls!$B$11-Controls!$B$10),1)</f>
        <v>64.3</v>
      </c>
      <c r="F115" s="10">
        <f>Raw_Data!E115</f>
        <v>6.1272519987E-2</v>
      </c>
      <c r="G115" s="10">
        <f>Raw_Data!F115</f>
        <v>0.69120386065499995</v>
      </c>
      <c r="H115" s="10">
        <f>Raw_Data!G115</f>
        <v>1</v>
      </c>
      <c r="I115" s="10">
        <f>Raw_Data!H115</f>
        <v>1E-3</v>
      </c>
      <c r="J115" s="5" t="str">
        <f t="shared" si="22"/>
        <v>Shale-prone</v>
      </c>
      <c r="K115" s="11">
        <f t="shared" si="23"/>
        <v>21.8</v>
      </c>
      <c r="L115" s="12">
        <f t="shared" si="24"/>
        <v>2.0299999999999998</v>
      </c>
      <c r="M115" s="12">
        <f t="shared" si="25"/>
        <v>7.23</v>
      </c>
      <c r="N115" s="12">
        <f t="shared" si="26"/>
        <v>8.9600000000000009</v>
      </c>
      <c r="O115" s="12">
        <f t="shared" si="27"/>
        <v>325.39999999999998</v>
      </c>
      <c r="P115" s="5" t="str">
        <f>IF(M115&lt;=Controls!$B$2,"NORMAL",IF(M115&lt;=Controls!$B$3,"CAUTION","BLOCK"))</f>
        <v>CAUTION</v>
      </c>
      <c r="Q115" s="5" t="str">
        <f>IF(P115="BLOCK","Hold",IF(L115&gt;Controls!$B$4,"Hold",IF(P115="CAUTION","Drop",IF(G115&lt;0.25,IF(MOD(ROW(),13)=0,"Turn Left",IF(MOD(ROW(),9)=0,"Turn Right",IF(F115&lt;0.08,"Build","Hold"))),IF(F115&lt;0.08,"Build","Hold")))))</f>
        <v>Drop</v>
      </c>
      <c r="R115" s="12">
        <f>ROUND(MAX(0.35,MIN(0.95,0.92 - 0.06*MAX(0,M115-Controls!$B$2) - 0.05*MAX(0,L115-Controls!$B$4) - 0.01*ABS(C115-50) + 0.04*(1-G115))),2)</f>
        <v>0.79</v>
      </c>
      <c r="S115" s="5" t="str">
        <f>IF(P115="BLOCK","BLOCKED",IF(R115&lt;Controls!$B$7,"REDUCED","ACCEPTED"))</f>
        <v>ACCEPTED</v>
      </c>
      <c r="T115" s="5" t="str">
        <f>IF(P115="BLOCK","LIMIT_EXCEEDED - DLS above "&amp;TEXT(Controls!$B$3,"0.0")&amp;" deg/100ft",IF(P115="CAUTION","DLS above operating limit - reduce aggressiveness",IF(L115&gt;Controls!$B$4,"High vibration - hold trajectory",IF(OR(C115&lt;Controls!$B$5,C115&gt;Controls!$B$6),"WOB outside preferred band","Normal operation"))))</f>
        <v>DLS above operating limit - reduce aggressiveness</v>
      </c>
    </row>
    <row r="116" spans="1:20" x14ac:dyDescent="0.3">
      <c r="A116" s="7">
        <f>Raw_Data!A116</f>
        <v>3895</v>
      </c>
      <c r="B116" s="8">
        <f>Raw_Data!B116</f>
        <v>38115.807000000001</v>
      </c>
      <c r="C116" s="9">
        <f t="shared" si="21"/>
        <v>38.115807000000004</v>
      </c>
      <c r="D116" s="9">
        <f>ROUND(Controls!$B$8 + (Raw_Data!C116-Controls!$B$12)/MAX(0.000001,(Controls!$B$13-Controls!$B$12))*(Controls!$B$9-Controls!$B$8),1)</f>
        <v>136.69999999999999</v>
      </c>
      <c r="E116" s="9">
        <f>ROUND(Controls!$B$10 + (Raw_Data!D116-Controls!$B$14)/MAX(0.000001,(Controls!$B$15-Controls!$B$14))*(Controls!$B$11-Controls!$B$10),1)</f>
        <v>80</v>
      </c>
      <c r="F116" s="10">
        <f>Raw_Data!E116</f>
        <v>0.106132880235</v>
      </c>
      <c r="G116" s="10">
        <f>Raw_Data!F116</f>
        <v>0.73686929643599997</v>
      </c>
      <c r="H116" s="10">
        <f>Raw_Data!G116</f>
        <v>0.99999936156500002</v>
      </c>
      <c r="I116" s="10">
        <f>Raw_Data!H116</f>
        <v>1E-3</v>
      </c>
      <c r="J116" s="5" t="str">
        <f t="shared" si="22"/>
        <v>Shale-prone</v>
      </c>
      <c r="K116" s="11">
        <f t="shared" si="23"/>
        <v>19</v>
      </c>
      <c r="L116" s="12">
        <f t="shared" si="24"/>
        <v>2.0699999999999998</v>
      </c>
      <c r="M116" s="12">
        <f t="shared" si="25"/>
        <v>7.41</v>
      </c>
      <c r="N116" s="12">
        <f t="shared" si="26"/>
        <v>9.31</v>
      </c>
      <c r="O116" s="12">
        <f t="shared" si="27"/>
        <v>325.89999999999998</v>
      </c>
      <c r="P116" s="5" t="str">
        <f>IF(M116&lt;=Controls!$B$2,"NORMAL",IF(M116&lt;=Controls!$B$3,"CAUTION","BLOCK"))</f>
        <v>CAUTION</v>
      </c>
      <c r="Q116" s="5" t="str">
        <f>IF(P116="BLOCK","Hold",IF(L116&gt;Controls!$B$4,"Hold",IF(P116="CAUTION","Drop",IF(G116&lt;0.25,IF(MOD(ROW(),13)=0,"Turn Left",IF(MOD(ROW(),9)=0,"Turn Right",IF(F116&lt;0.08,"Build","Hold"))),IF(F116&lt;0.08,"Build","Hold")))))</f>
        <v>Drop</v>
      </c>
      <c r="R116" s="12">
        <f>ROUND(MAX(0.35,MIN(0.95,0.92 - 0.06*MAX(0,M116-Controls!$B$2) - 0.05*MAX(0,L116-Controls!$B$4) - 0.01*ABS(C116-50) + 0.04*(1-G116))),2)</f>
        <v>0.73</v>
      </c>
      <c r="S116" s="5" t="str">
        <f>IF(P116="BLOCK","BLOCKED",IF(R116&lt;Controls!$B$7,"REDUCED","ACCEPTED"))</f>
        <v>ACCEPTED</v>
      </c>
      <c r="T116" s="5" t="str">
        <f>IF(P116="BLOCK","LIMIT_EXCEEDED - DLS above "&amp;TEXT(Controls!$B$3,"0.0")&amp;" deg/100ft",IF(P116="CAUTION","DLS above operating limit - reduce aggressiveness",IF(L116&gt;Controls!$B$4,"High vibration - hold trajectory",IF(OR(C116&lt;Controls!$B$5,C116&gt;Controls!$B$6),"WOB outside preferred band","Normal operation"))))</f>
        <v>DLS above operating limit - reduce aggressiveness</v>
      </c>
    </row>
    <row r="117" spans="1:20" x14ac:dyDescent="0.3">
      <c r="A117" s="7">
        <f>Raw_Data!A117</f>
        <v>3900</v>
      </c>
      <c r="B117" s="8">
        <f>Raw_Data!B117</f>
        <v>31893.991999999998</v>
      </c>
      <c r="C117" s="9">
        <f t="shared" si="21"/>
        <v>31.893991999999997</v>
      </c>
      <c r="D117" s="9">
        <f>ROUND(Controls!$B$8 + (Raw_Data!C117-Controls!$B$12)/MAX(0.000001,(Controls!$B$13-Controls!$B$12))*(Controls!$B$9-Controls!$B$8),1)</f>
        <v>136.4</v>
      </c>
      <c r="E117" s="9">
        <f>ROUND(Controls!$B$10 + (Raw_Data!D117-Controls!$B$14)/MAX(0.000001,(Controls!$B$15-Controls!$B$14))*(Controls!$B$11-Controls!$B$10),1)</f>
        <v>68.900000000000006</v>
      </c>
      <c r="F117" s="10">
        <f>Raw_Data!E117</f>
        <v>0.11934987343800001</v>
      </c>
      <c r="G117" s="10">
        <f>Raw_Data!F117</f>
        <v>0.64863952384000001</v>
      </c>
      <c r="H117" s="10">
        <f>Raw_Data!G117</f>
        <v>1.00000000042</v>
      </c>
      <c r="I117" s="10">
        <f>Raw_Data!H117</f>
        <v>1E-3</v>
      </c>
      <c r="J117" s="5" t="str">
        <f t="shared" si="22"/>
        <v>Shale-prone</v>
      </c>
      <c r="K117" s="11">
        <f t="shared" si="23"/>
        <v>17.399999999999999</v>
      </c>
      <c r="L117" s="12">
        <f t="shared" si="24"/>
        <v>1.94</v>
      </c>
      <c r="M117" s="12">
        <f t="shared" si="25"/>
        <v>7.04</v>
      </c>
      <c r="N117" s="12">
        <f t="shared" si="26"/>
        <v>9.61</v>
      </c>
      <c r="O117" s="12">
        <f t="shared" si="27"/>
        <v>326.39999999999998</v>
      </c>
      <c r="P117" s="5" t="str">
        <f>IF(M117&lt;=Controls!$B$2,"NORMAL",IF(M117&lt;=Controls!$B$3,"CAUTION","BLOCK"))</f>
        <v>CAUTION</v>
      </c>
      <c r="Q117" s="5" t="str">
        <f>IF(P117="BLOCK","Hold",IF(L117&gt;Controls!$B$4,"Hold",IF(P117="CAUTION","Drop",IF(G117&lt;0.25,IF(MOD(ROW(),13)=0,"Turn Left",IF(MOD(ROW(),9)=0,"Turn Right",IF(F117&lt;0.08,"Build","Hold"))),IF(F117&lt;0.08,"Build","Hold")))))</f>
        <v>Drop</v>
      </c>
      <c r="R117" s="12">
        <f>ROUND(MAX(0.35,MIN(0.95,0.92 - 0.06*MAX(0,M117-Controls!$B$2) - 0.05*MAX(0,L117-Controls!$B$4) - 0.01*ABS(C117-50) + 0.04*(1-G117))),2)</f>
        <v>0.69</v>
      </c>
      <c r="S117" s="5" t="str">
        <f>IF(P117="BLOCK","BLOCKED",IF(R117&lt;Controls!$B$7,"REDUCED","ACCEPTED"))</f>
        <v>ACCEPTED</v>
      </c>
      <c r="T117" s="5" t="str">
        <f>IF(P117="BLOCK","LIMIT_EXCEEDED - DLS above "&amp;TEXT(Controls!$B$3,"0.0")&amp;" deg/100ft",IF(P117="CAUTION","DLS above operating limit - reduce aggressiveness",IF(L117&gt;Controls!$B$4,"High vibration - hold trajectory",IF(OR(C117&lt;Controls!$B$5,C117&gt;Controls!$B$6),"WOB outside preferred band","Normal operation"))))</f>
        <v>DLS above operating limit - reduce aggressiveness</v>
      </c>
    </row>
    <row r="118" spans="1:20" x14ac:dyDescent="0.3">
      <c r="A118" s="7">
        <f>Raw_Data!A118</f>
        <v>3905</v>
      </c>
      <c r="B118" s="8">
        <f>Raw_Data!B118</f>
        <v>28826.264999999999</v>
      </c>
      <c r="C118" s="9">
        <f t="shared" si="21"/>
        <v>28.826264999999999</v>
      </c>
      <c r="D118" s="9">
        <f>ROUND(Controls!$B$8 + (Raw_Data!C118-Controls!$B$12)/MAX(0.000001,(Controls!$B$13-Controls!$B$12))*(Controls!$B$9-Controls!$B$8),1)</f>
        <v>136.6</v>
      </c>
      <c r="E118" s="9">
        <f>ROUND(Controls!$B$10 + (Raw_Data!D118-Controls!$B$14)/MAX(0.000001,(Controls!$B$15-Controls!$B$14))*(Controls!$B$11-Controls!$B$10),1)</f>
        <v>69</v>
      </c>
      <c r="F118" s="10">
        <f>Raw_Data!E118</f>
        <v>0.116232220673</v>
      </c>
      <c r="G118" s="10">
        <f>Raw_Data!F118</f>
        <v>0.63610840291699999</v>
      </c>
      <c r="H118" s="10">
        <f>Raw_Data!G118</f>
        <v>1.0001664415189999</v>
      </c>
      <c r="I118" s="10">
        <f>Raw_Data!H118</f>
        <v>1E-3</v>
      </c>
      <c r="J118" s="5" t="str">
        <f t="shared" si="22"/>
        <v>Shale-prone</v>
      </c>
      <c r="K118" s="11">
        <f t="shared" si="23"/>
        <v>16.8</v>
      </c>
      <c r="L118" s="12">
        <f t="shared" si="24"/>
        <v>1.93</v>
      </c>
      <c r="M118" s="12">
        <f t="shared" si="25"/>
        <v>6.99</v>
      </c>
      <c r="N118" s="12">
        <f t="shared" si="26"/>
        <v>9.91</v>
      </c>
      <c r="O118" s="12">
        <f t="shared" si="27"/>
        <v>326.89999999999998</v>
      </c>
      <c r="P118" s="5" t="str">
        <f>IF(M118&lt;=Controls!$B$2,"NORMAL",IF(M118&lt;=Controls!$B$3,"CAUTION","BLOCK"))</f>
        <v>CAUTION</v>
      </c>
      <c r="Q118" s="5" t="str">
        <f>IF(P118="BLOCK","Hold",IF(L118&gt;Controls!$B$4,"Hold",IF(P118="CAUTION","Drop",IF(G118&lt;0.25,IF(MOD(ROW(),13)=0,"Turn Left",IF(MOD(ROW(),9)=0,"Turn Right",IF(F118&lt;0.08,"Build","Hold"))),IF(F118&lt;0.08,"Build","Hold")))))</f>
        <v>Drop</v>
      </c>
      <c r="R118" s="12">
        <f>ROUND(MAX(0.35,MIN(0.95,0.92 - 0.06*MAX(0,M118-Controls!$B$2) - 0.05*MAX(0,L118-Controls!$B$4) - 0.01*ABS(C118-50) + 0.04*(1-G118))),2)</f>
        <v>0.66</v>
      </c>
      <c r="S118" s="5" t="str">
        <f>IF(P118="BLOCK","BLOCKED",IF(R118&lt;Controls!$B$7,"REDUCED","ACCEPTED"))</f>
        <v>ACCEPTED</v>
      </c>
      <c r="T118" s="5" t="str">
        <f>IF(P118="BLOCK","LIMIT_EXCEEDED - DLS above "&amp;TEXT(Controls!$B$3,"0.0")&amp;" deg/100ft",IF(P118="CAUTION","DLS above operating limit - reduce aggressiveness",IF(L118&gt;Controls!$B$4,"High vibration - hold trajectory",IF(OR(C118&lt;Controls!$B$5,C118&gt;Controls!$B$6),"WOB outside preferred band","Normal operation"))))</f>
        <v>DLS above operating limit - reduce aggressiveness</v>
      </c>
    </row>
    <row r="119" spans="1:20" x14ac:dyDescent="0.3">
      <c r="A119" s="7">
        <f>Raw_Data!A119</f>
        <v>3910</v>
      </c>
      <c r="B119" s="8">
        <f>Raw_Data!B119</f>
        <v>26972.945</v>
      </c>
      <c r="C119" s="9">
        <f t="shared" si="21"/>
        <v>26.972944999999999</v>
      </c>
      <c r="D119" s="9">
        <f>ROUND(Controls!$B$8 + (Raw_Data!C119-Controls!$B$12)/MAX(0.000001,(Controls!$B$13-Controls!$B$12))*(Controls!$B$9-Controls!$B$8),1)</f>
        <v>136.5</v>
      </c>
      <c r="E119" s="9">
        <f>ROUND(Controls!$B$10 + (Raw_Data!D119-Controls!$B$14)/MAX(0.000001,(Controls!$B$15-Controls!$B$14))*(Controls!$B$11-Controls!$B$10),1)</f>
        <v>69.5</v>
      </c>
      <c r="F119" s="10">
        <f>Raw_Data!E119</f>
        <v>8.7286965893999993E-2</v>
      </c>
      <c r="G119" s="10">
        <f>Raw_Data!F119</f>
        <v>0.929936987263</v>
      </c>
      <c r="H119" s="10">
        <f>Raw_Data!G119</f>
        <v>1</v>
      </c>
      <c r="I119" s="10">
        <f>Raw_Data!H119</f>
        <v>1E-3</v>
      </c>
      <c r="J119" s="5" t="str">
        <f t="shared" si="22"/>
        <v>Shale-prone</v>
      </c>
      <c r="K119" s="11">
        <f t="shared" si="23"/>
        <v>18.7</v>
      </c>
      <c r="L119" s="12">
        <f t="shared" si="24"/>
        <v>2.84</v>
      </c>
      <c r="M119" s="12">
        <f t="shared" si="25"/>
        <v>8.41</v>
      </c>
      <c r="N119" s="12">
        <f t="shared" si="26"/>
        <v>10.38</v>
      </c>
      <c r="O119" s="12">
        <f t="shared" si="27"/>
        <v>327.39999999999998</v>
      </c>
      <c r="P119" s="5" t="str">
        <f>IF(M119&lt;=Controls!$B$2,"NORMAL",IF(M119&lt;=Controls!$B$3,"CAUTION","BLOCK"))</f>
        <v>BLOCK</v>
      </c>
      <c r="Q119" s="5" t="str">
        <f>IF(P119="BLOCK","Hold",IF(L119&gt;Controls!$B$4,"Hold",IF(P119="CAUTION","Drop",IF(G119&lt;0.25,IF(MOD(ROW(),13)=0,"Turn Left",IF(MOD(ROW(),9)=0,"Turn Right",IF(F119&lt;0.08,"Build","Hold"))),IF(F119&lt;0.08,"Build","Hold")))))</f>
        <v>Hold</v>
      </c>
      <c r="R119" s="12">
        <f>ROUND(MAX(0.35,MIN(0.95,0.92 - 0.06*MAX(0,M119-Controls!$B$2) - 0.05*MAX(0,L119-Controls!$B$4) - 0.01*ABS(C119-50) + 0.04*(1-G119))),2)</f>
        <v>0.55000000000000004</v>
      </c>
      <c r="S119" s="5" t="str">
        <f>IF(P119="BLOCK","BLOCKED",IF(R119&lt;Controls!$B$7,"REDUCED","ACCEPTED"))</f>
        <v>BLOCKED</v>
      </c>
      <c r="T119" s="5" t="str">
        <f>IF(P119="BLOCK","LIMIT_EXCEEDED - DLS above "&amp;TEXT(Controls!$B$3,"0.0")&amp;" deg/100ft",IF(P119="CAUTION","DLS above operating limit - reduce aggressiveness",IF(L119&gt;Controls!$B$4,"High vibration - hold trajectory",IF(OR(C119&lt;Controls!$B$5,C119&gt;Controls!$B$6),"WOB outside preferred band","Normal operation"))))</f>
        <v>LIMIT_EXCEEDED - DLS above 8.0 deg/100ft</v>
      </c>
    </row>
    <row r="120" spans="1:20" x14ac:dyDescent="0.3">
      <c r="A120" s="7">
        <f>Raw_Data!A120</f>
        <v>3915</v>
      </c>
      <c r="B120" s="8">
        <f>Raw_Data!B120</f>
        <v>21042.732999999898</v>
      </c>
      <c r="C120" s="9">
        <f t="shared" si="21"/>
        <v>21.042732999999899</v>
      </c>
      <c r="D120" s="9">
        <f>ROUND(Controls!$B$8 + (Raw_Data!C120-Controls!$B$12)/MAX(0.000001,(Controls!$B$13-Controls!$B$12))*(Controls!$B$9-Controls!$B$8),1)</f>
        <v>136.5</v>
      </c>
      <c r="E120" s="9">
        <f>ROUND(Controls!$B$10 + (Raw_Data!D120-Controls!$B$14)/MAX(0.000001,(Controls!$B$15-Controls!$B$14))*(Controls!$B$11-Controls!$B$10),1)</f>
        <v>68.900000000000006</v>
      </c>
      <c r="F120" s="10">
        <f>Raw_Data!E120</f>
        <v>6.2475335585999998E-2</v>
      </c>
      <c r="G120" s="10">
        <f>Raw_Data!F120</f>
        <v>0.75833836853500003</v>
      </c>
      <c r="H120" s="10">
        <f>Raw_Data!G120</f>
        <v>1</v>
      </c>
      <c r="I120" s="10">
        <f>Raw_Data!H120</f>
        <v>1E-3</v>
      </c>
      <c r="J120" s="5" t="str">
        <f t="shared" si="22"/>
        <v>Shale-prone</v>
      </c>
      <c r="K120" s="11">
        <f t="shared" si="23"/>
        <v>16.600000000000001</v>
      </c>
      <c r="L120" s="12">
        <f t="shared" si="24"/>
        <v>2.1</v>
      </c>
      <c r="M120" s="12">
        <f t="shared" si="25"/>
        <v>7.5</v>
      </c>
      <c r="N120" s="12">
        <f t="shared" si="26"/>
        <v>10.74</v>
      </c>
      <c r="O120" s="12">
        <f t="shared" si="27"/>
        <v>327.9</v>
      </c>
      <c r="P120" s="5" t="str">
        <f>IF(M120&lt;=Controls!$B$2,"NORMAL",IF(M120&lt;=Controls!$B$3,"CAUTION","BLOCK"))</f>
        <v>CAUTION</v>
      </c>
      <c r="Q120" s="5" t="str">
        <f>IF(P120="BLOCK","Hold",IF(L120&gt;Controls!$B$4,"Hold",IF(P120="CAUTION","Drop",IF(G120&lt;0.25,IF(MOD(ROW(),13)=0,"Turn Left",IF(MOD(ROW(),9)=0,"Turn Right",IF(F120&lt;0.08,"Build","Hold"))),IF(F120&lt;0.08,"Build","Hold")))))</f>
        <v>Drop</v>
      </c>
      <c r="R120" s="12">
        <f>ROUND(MAX(0.35,MIN(0.95,0.92 - 0.06*MAX(0,M120-Controls!$B$2) - 0.05*MAX(0,L120-Controls!$B$4) - 0.01*ABS(C120-50) + 0.04*(1-G120))),2)</f>
        <v>0.55000000000000004</v>
      </c>
      <c r="S120" s="5" t="str">
        <f>IF(P120="BLOCK","BLOCKED",IF(R120&lt;Controls!$B$7,"REDUCED","ACCEPTED"))</f>
        <v>REDUCED</v>
      </c>
      <c r="T120" s="5" t="str">
        <f>IF(P120="BLOCK","LIMIT_EXCEEDED - DLS above "&amp;TEXT(Controls!$B$3,"0.0")&amp;" deg/100ft",IF(P120="CAUTION","DLS above operating limit - reduce aggressiveness",IF(L120&gt;Controls!$B$4,"High vibration - hold trajectory",IF(OR(C120&lt;Controls!$B$5,C120&gt;Controls!$B$6),"WOB outside preferred band","Normal operation"))))</f>
        <v>DLS above operating limit - reduce aggressiveness</v>
      </c>
    </row>
    <row r="121" spans="1:20" x14ac:dyDescent="0.3">
      <c r="A121" s="7">
        <f>Raw_Data!A121</f>
        <v>3920</v>
      </c>
      <c r="B121" s="8">
        <f>Raw_Data!B121</f>
        <v>37453.207999999999</v>
      </c>
      <c r="C121" s="9">
        <f t="shared" si="21"/>
        <v>37.453207999999997</v>
      </c>
      <c r="D121" s="9">
        <f>ROUND(Controls!$B$8 + (Raw_Data!C121-Controls!$B$12)/MAX(0.000001,(Controls!$B$13-Controls!$B$12))*(Controls!$B$9-Controls!$B$8),1)</f>
        <v>136.6</v>
      </c>
      <c r="E121" s="9">
        <f>ROUND(Controls!$B$10 + (Raw_Data!D121-Controls!$B$14)/MAX(0.000001,(Controls!$B$15-Controls!$B$14))*(Controls!$B$11-Controls!$B$10),1)</f>
        <v>64.3</v>
      </c>
      <c r="F121" s="10">
        <f>Raw_Data!E121</f>
        <v>3.7360369222999998E-2</v>
      </c>
      <c r="G121" s="10">
        <f>Raw_Data!F121</f>
        <v>0.91941186213500004</v>
      </c>
      <c r="H121" s="10">
        <f>Raw_Data!G121</f>
        <v>1</v>
      </c>
      <c r="I121" s="10">
        <f>Raw_Data!H121</f>
        <v>1E-3</v>
      </c>
      <c r="J121" s="5" t="str">
        <f t="shared" si="22"/>
        <v>Shale-prone</v>
      </c>
      <c r="K121" s="11">
        <f t="shared" si="23"/>
        <v>20.399999999999999</v>
      </c>
      <c r="L121" s="12">
        <f t="shared" si="24"/>
        <v>2.3199999999999998</v>
      </c>
      <c r="M121" s="12">
        <f t="shared" si="25"/>
        <v>8.17</v>
      </c>
      <c r="N121" s="12">
        <f t="shared" si="26"/>
        <v>11.18</v>
      </c>
      <c r="O121" s="12">
        <f t="shared" si="27"/>
        <v>328.4</v>
      </c>
      <c r="P121" s="5" t="str">
        <f>IF(M121&lt;=Controls!$B$2,"NORMAL",IF(M121&lt;=Controls!$B$3,"CAUTION","BLOCK"))</f>
        <v>BLOCK</v>
      </c>
      <c r="Q121" s="5" t="str">
        <f>IF(P121="BLOCK","Hold",IF(L121&gt;Controls!$B$4,"Hold",IF(P121="CAUTION","Drop",IF(G121&lt;0.25,IF(MOD(ROW(),13)=0,"Turn Left",IF(MOD(ROW(),9)=0,"Turn Right",IF(F121&lt;0.08,"Build","Hold"))),IF(F121&lt;0.08,"Build","Hold")))))</f>
        <v>Hold</v>
      </c>
      <c r="R121" s="12">
        <f>ROUND(MAX(0.35,MIN(0.95,0.92 - 0.06*MAX(0,M121-Controls!$B$2) - 0.05*MAX(0,L121-Controls!$B$4) - 0.01*ABS(C121-50) + 0.04*(1-G121))),2)</f>
        <v>0.67</v>
      </c>
      <c r="S121" s="5" t="str">
        <f>IF(P121="BLOCK","BLOCKED",IF(R121&lt;Controls!$B$7,"REDUCED","ACCEPTED"))</f>
        <v>BLOCKED</v>
      </c>
      <c r="T121" s="5" t="str">
        <f>IF(P121="BLOCK","LIMIT_EXCEEDED - DLS above "&amp;TEXT(Controls!$B$3,"0.0")&amp;" deg/100ft",IF(P121="CAUTION","DLS above operating limit - reduce aggressiveness",IF(L121&gt;Controls!$B$4,"High vibration - hold trajectory",IF(OR(C121&lt;Controls!$B$5,C121&gt;Controls!$B$6),"WOB outside preferred band","Normal operation"))))</f>
        <v>LIMIT_EXCEEDED - DLS above 8.0 deg/100ft</v>
      </c>
    </row>
    <row r="122" spans="1:20" x14ac:dyDescent="0.3">
      <c r="A122" s="7">
        <f>Raw_Data!A122</f>
        <v>3925</v>
      </c>
      <c r="B122" s="8">
        <f>Raw_Data!B122</f>
        <v>45694.985999999997</v>
      </c>
      <c r="C122" s="9">
        <f t="shared" si="21"/>
        <v>45.694986</v>
      </c>
      <c r="D122" s="9">
        <f>ROUND(Controls!$B$8 + (Raw_Data!C122-Controls!$B$12)/MAX(0.000001,(Controls!$B$13-Controls!$B$12))*(Controls!$B$9-Controls!$B$8),1)</f>
        <v>136.5</v>
      </c>
      <c r="E122" s="9">
        <f>ROUND(Controls!$B$10 + (Raw_Data!D122-Controls!$B$14)/MAX(0.000001,(Controls!$B$15-Controls!$B$14))*(Controls!$B$11-Controls!$B$10),1)</f>
        <v>64.3</v>
      </c>
      <c r="F122" s="10">
        <f>Raw_Data!E122</f>
        <v>5.4432394666E-2</v>
      </c>
      <c r="G122" s="10">
        <f>Raw_Data!F122</f>
        <v>0.76107682575900004</v>
      </c>
      <c r="H122" s="10">
        <f>Raw_Data!G122</f>
        <v>1</v>
      </c>
      <c r="I122" s="10">
        <f>Raw_Data!H122</f>
        <v>1E-3</v>
      </c>
      <c r="J122" s="5" t="str">
        <f t="shared" si="22"/>
        <v>Shale-prone</v>
      </c>
      <c r="K122" s="11">
        <f t="shared" si="23"/>
        <v>20.5</v>
      </c>
      <c r="L122" s="12">
        <f t="shared" si="24"/>
        <v>2.1</v>
      </c>
      <c r="M122" s="12">
        <f t="shared" si="25"/>
        <v>7.51</v>
      </c>
      <c r="N122" s="12">
        <f t="shared" si="26"/>
        <v>11.54</v>
      </c>
      <c r="O122" s="12">
        <f t="shared" si="27"/>
        <v>328.9</v>
      </c>
      <c r="P122" s="5" t="str">
        <f>IF(M122&lt;=Controls!$B$2,"NORMAL",IF(M122&lt;=Controls!$B$3,"CAUTION","BLOCK"))</f>
        <v>CAUTION</v>
      </c>
      <c r="Q122" s="5" t="str">
        <f>IF(P122="BLOCK","Hold",IF(L122&gt;Controls!$B$4,"Hold",IF(P122="CAUTION","Drop",IF(G122&lt;0.25,IF(MOD(ROW(),13)=0,"Turn Left",IF(MOD(ROW(),9)=0,"Turn Right",IF(F122&lt;0.08,"Build","Hold"))),IF(F122&lt;0.08,"Build","Hold")))))</f>
        <v>Drop</v>
      </c>
      <c r="R122" s="12">
        <f>ROUND(MAX(0.35,MIN(0.95,0.92 - 0.06*MAX(0,M122-Controls!$B$2) - 0.05*MAX(0,L122-Controls!$B$4) - 0.01*ABS(C122-50) + 0.04*(1-G122))),2)</f>
        <v>0.8</v>
      </c>
      <c r="S122" s="5" t="str">
        <f>IF(P122="BLOCK","BLOCKED",IF(R122&lt;Controls!$B$7,"REDUCED","ACCEPTED"))</f>
        <v>ACCEPTED</v>
      </c>
      <c r="T122" s="5" t="str">
        <f>IF(P122="BLOCK","LIMIT_EXCEEDED - DLS above "&amp;TEXT(Controls!$B$3,"0.0")&amp;" deg/100ft",IF(P122="CAUTION","DLS above operating limit - reduce aggressiveness",IF(L122&gt;Controls!$B$4,"High vibration - hold trajectory",IF(OR(C122&lt;Controls!$B$5,C122&gt;Controls!$B$6),"WOB outside preferred band","Normal operation"))))</f>
        <v>DLS above operating limit - reduce aggressiveness</v>
      </c>
    </row>
    <row r="123" spans="1:20" x14ac:dyDescent="0.3">
      <c r="A123" s="7">
        <f>Raw_Data!A123</f>
        <v>3940</v>
      </c>
      <c r="B123" s="8">
        <f>Raw_Data!B123</f>
        <v>34610.165000000001</v>
      </c>
      <c r="C123" s="9">
        <f t="shared" si="21"/>
        <v>34.610165000000002</v>
      </c>
      <c r="D123" s="9">
        <f>ROUND(Controls!$B$8 + (Raw_Data!C123-Controls!$B$12)/MAX(0.000001,(Controls!$B$13-Controls!$B$12))*(Controls!$B$9-Controls!$B$8),1)</f>
        <v>136.30000000000001</v>
      </c>
      <c r="E123" s="9">
        <f>ROUND(Controls!$B$10 + (Raw_Data!D123-Controls!$B$14)/MAX(0.000001,(Controls!$B$15-Controls!$B$14))*(Controls!$B$11-Controls!$B$10),1)</f>
        <v>68.900000000000006</v>
      </c>
      <c r="F123" s="10">
        <f>Raw_Data!E123</f>
        <v>8.8467270144999999E-2</v>
      </c>
      <c r="G123" s="10">
        <f>Raw_Data!F123</f>
        <v>0.38269802093700001</v>
      </c>
      <c r="H123" s="10">
        <f>Raw_Data!G123</f>
        <v>1</v>
      </c>
      <c r="I123" s="10">
        <f>Raw_Data!H123</f>
        <v>1E-3</v>
      </c>
      <c r="J123" s="5" t="str">
        <f t="shared" si="22"/>
        <v>Transition</v>
      </c>
      <c r="K123" s="11">
        <f t="shared" si="23"/>
        <v>16</v>
      </c>
      <c r="L123" s="12">
        <f t="shared" si="24"/>
        <v>1.56</v>
      </c>
      <c r="M123" s="12">
        <f t="shared" si="25"/>
        <v>5.93</v>
      </c>
      <c r="N123" s="12">
        <f t="shared" si="26"/>
        <v>11.71</v>
      </c>
      <c r="O123" s="12">
        <f t="shared" si="27"/>
        <v>329.4</v>
      </c>
      <c r="P123" s="5" t="str">
        <f>IF(M123&lt;=Controls!$B$2,"NORMAL",IF(M123&lt;=Controls!$B$3,"CAUTION","BLOCK"))</f>
        <v>NORMAL</v>
      </c>
      <c r="Q123" s="5" t="str">
        <f>IF(P123="BLOCK","Hold",IF(L123&gt;Controls!$B$4,"Hold",IF(P123="CAUTION","Drop",IF(G123&lt;0.25,IF(MOD(ROW(),13)=0,"Turn Left",IF(MOD(ROW(),9)=0,"Turn Right",IF(F123&lt;0.08,"Build","Hold"))),IF(F123&lt;0.08,"Build","Hold")))))</f>
        <v>Hold</v>
      </c>
      <c r="R123" s="12">
        <f>ROUND(MAX(0.35,MIN(0.95,0.92 - 0.06*MAX(0,M123-Controls!$B$2) - 0.05*MAX(0,L123-Controls!$B$4) - 0.01*ABS(C123-50) + 0.04*(1-G123))),2)</f>
        <v>0.79</v>
      </c>
      <c r="S123" s="5" t="str">
        <f>IF(P123="BLOCK","BLOCKED",IF(R123&lt;Controls!$B$7,"REDUCED","ACCEPTED"))</f>
        <v>ACCEPTED</v>
      </c>
      <c r="T123" s="5" t="str">
        <f>IF(P123="BLOCK","LIMIT_EXCEEDED - DLS above "&amp;TEXT(Controls!$B$3,"0.0")&amp;" deg/100ft",IF(P123="CAUTION","DLS above operating limit - reduce aggressiveness",IF(L123&gt;Controls!$B$4,"High vibration - hold trajectory",IF(OR(C123&lt;Controls!$B$5,C123&gt;Controls!$B$6),"WOB outside preferred band","Normal operation"))))</f>
        <v>Normal operation</v>
      </c>
    </row>
    <row r="124" spans="1:20" x14ac:dyDescent="0.3">
      <c r="A124" s="7">
        <f>Raw_Data!A124</f>
        <v>3945</v>
      </c>
      <c r="B124" s="8">
        <f>Raw_Data!B124</f>
        <v>51089.58</v>
      </c>
      <c r="C124" s="9">
        <f t="shared" si="21"/>
        <v>51.089580000000005</v>
      </c>
      <c r="D124" s="9">
        <f>ROUND(Controls!$B$8 + (Raw_Data!C124-Controls!$B$12)/MAX(0.000001,(Controls!$B$13-Controls!$B$12))*(Controls!$B$9-Controls!$B$8),1)</f>
        <v>138.80000000000001</v>
      </c>
      <c r="E124" s="9">
        <f>ROUND(Controls!$B$10 + (Raw_Data!D124-Controls!$B$14)/MAX(0.000001,(Controls!$B$15-Controls!$B$14))*(Controls!$B$11-Controls!$B$10),1)</f>
        <v>68.3</v>
      </c>
      <c r="F124" s="10">
        <f>Raw_Data!E124</f>
        <v>2.5875740232999999E-2</v>
      </c>
      <c r="G124" s="10">
        <f>Raw_Data!F124</f>
        <v>0.25593600560000002</v>
      </c>
      <c r="H124" s="10">
        <f>Raw_Data!G124</f>
        <v>1</v>
      </c>
      <c r="I124" s="10">
        <f>Raw_Data!H124</f>
        <v>1E-3</v>
      </c>
      <c r="J124" s="5" t="str">
        <f t="shared" si="22"/>
        <v>Transition</v>
      </c>
      <c r="K124" s="11">
        <f t="shared" si="23"/>
        <v>17.899999999999999</v>
      </c>
      <c r="L124" s="12">
        <f t="shared" si="24"/>
        <v>1.44</v>
      </c>
      <c r="M124" s="12">
        <f t="shared" si="25"/>
        <v>5.47</v>
      </c>
      <c r="N124" s="12">
        <f t="shared" si="26"/>
        <v>11.83</v>
      </c>
      <c r="O124" s="12">
        <f t="shared" si="27"/>
        <v>331.2</v>
      </c>
      <c r="P124" s="5" t="str">
        <f>IF(M124&lt;=Controls!$B$2,"NORMAL",IF(M124&lt;=Controls!$B$3,"CAUTION","BLOCK"))</f>
        <v>NORMAL</v>
      </c>
      <c r="Q124" s="5" t="str">
        <f>IF(P124="BLOCK","Hold",IF(L124&gt;Controls!$B$4,"Hold",IF(P124="CAUTION","Drop",IF(G124&lt;0.25,IF(MOD(ROW(),13)=0,"Turn Left",IF(MOD(ROW(),9)=0,"Turn Right",IF(F124&lt;0.08,"Build","Hold"))),IF(F124&lt;0.08,"Build","Hold")))))</f>
        <v>Build</v>
      </c>
      <c r="R124" s="12">
        <f>ROUND(MAX(0.35,MIN(0.95,0.92 - 0.06*MAX(0,M124-Controls!$B$2) - 0.05*MAX(0,L124-Controls!$B$4) - 0.01*ABS(C124-50) + 0.04*(1-G124))),2)</f>
        <v>0.94</v>
      </c>
      <c r="S124" s="5" t="str">
        <f>IF(P124="BLOCK","BLOCKED",IF(R124&lt;Controls!$B$7,"REDUCED","ACCEPTED"))</f>
        <v>ACCEPTED</v>
      </c>
      <c r="T124" s="5" t="str">
        <f>IF(P124="BLOCK","LIMIT_EXCEEDED - DLS above "&amp;TEXT(Controls!$B$3,"0.0")&amp;" deg/100ft",IF(P124="CAUTION","DLS above operating limit - reduce aggressiveness",IF(L124&gt;Controls!$B$4,"High vibration - hold trajectory",IF(OR(C124&lt;Controls!$B$5,C124&gt;Controls!$B$6),"WOB outside preferred band","Normal operation"))))</f>
        <v>Normal operation</v>
      </c>
    </row>
    <row r="125" spans="1:20" x14ac:dyDescent="0.3">
      <c r="A125" s="7">
        <f>Raw_Data!A125</f>
        <v>3950</v>
      </c>
      <c r="B125" s="8">
        <f>Raw_Data!B125</f>
        <v>58211.325999999899</v>
      </c>
      <c r="C125" s="9">
        <f t="shared" si="21"/>
        <v>58.2113259999999</v>
      </c>
      <c r="D125" s="9">
        <f>ROUND(Controls!$B$8 + (Raw_Data!C125-Controls!$B$12)/MAX(0.000001,(Controls!$B$13-Controls!$B$12))*(Controls!$B$9-Controls!$B$8),1)</f>
        <v>136.69999999999999</v>
      </c>
      <c r="E125" s="9">
        <f>ROUND(Controls!$B$10 + (Raw_Data!D125-Controls!$B$14)/MAX(0.000001,(Controls!$B$15-Controls!$B$14))*(Controls!$B$11-Controls!$B$10),1)</f>
        <v>59.8</v>
      </c>
      <c r="F125" s="10">
        <f>Raw_Data!E125</f>
        <v>5.9274281376E-2</v>
      </c>
      <c r="G125" s="10">
        <f>Raw_Data!F125</f>
        <v>0.34555422959900001</v>
      </c>
      <c r="H125" s="10">
        <f>Raw_Data!G125</f>
        <v>1</v>
      </c>
      <c r="I125" s="10">
        <f>Raw_Data!H125</f>
        <v>1E-3</v>
      </c>
      <c r="J125" s="5" t="str">
        <f t="shared" si="22"/>
        <v>Transition</v>
      </c>
      <c r="K125" s="11">
        <f t="shared" si="23"/>
        <v>19.600000000000001</v>
      </c>
      <c r="L125" s="12">
        <f t="shared" si="24"/>
        <v>1.59</v>
      </c>
      <c r="M125" s="12">
        <f t="shared" si="25"/>
        <v>5.81</v>
      </c>
      <c r="N125" s="12">
        <f t="shared" si="26"/>
        <v>11.99</v>
      </c>
      <c r="O125" s="12">
        <f t="shared" si="27"/>
        <v>333</v>
      </c>
      <c r="P125" s="5" t="str">
        <f>IF(M125&lt;=Controls!$B$2,"NORMAL",IF(M125&lt;=Controls!$B$3,"CAUTION","BLOCK"))</f>
        <v>NORMAL</v>
      </c>
      <c r="Q125" s="5" t="str">
        <f>IF(P125="BLOCK","Hold",IF(L125&gt;Controls!$B$4,"Hold",IF(P125="CAUTION","Drop",IF(G125&lt;0.25,IF(MOD(ROW(),13)=0,"Turn Left",IF(MOD(ROW(),9)=0,"Turn Right",IF(F125&lt;0.08,"Build","Hold"))),IF(F125&lt;0.08,"Build","Hold")))))</f>
        <v>Build</v>
      </c>
      <c r="R125" s="12">
        <f>ROUND(MAX(0.35,MIN(0.95,0.92 - 0.06*MAX(0,M125-Controls!$B$2) - 0.05*MAX(0,L125-Controls!$B$4) - 0.01*ABS(C125-50) + 0.04*(1-G125))),2)</f>
        <v>0.86</v>
      </c>
      <c r="S125" s="5" t="str">
        <f>IF(P125="BLOCK","BLOCKED",IF(R125&lt;Controls!$B$7,"REDUCED","ACCEPTED"))</f>
        <v>ACCEPTED</v>
      </c>
      <c r="T125" s="5" t="str">
        <f>IF(P125="BLOCK","LIMIT_EXCEEDED - DLS above "&amp;TEXT(Controls!$B$3,"0.0")&amp;" deg/100ft",IF(P125="CAUTION","DLS above operating limit - reduce aggressiveness",IF(L125&gt;Controls!$B$4,"High vibration - hold trajectory",IF(OR(C125&lt;Controls!$B$5,C125&gt;Controls!$B$6),"WOB outside preferred band","Normal operation"))))</f>
        <v>Normal operation</v>
      </c>
    </row>
    <row r="126" spans="1:20" x14ac:dyDescent="0.3">
      <c r="A126" s="7">
        <f>Raw_Data!A126</f>
        <v>3955</v>
      </c>
      <c r="B126" s="8">
        <f>Raw_Data!B126</f>
        <v>86371.097999999998</v>
      </c>
      <c r="C126" s="9">
        <f t="shared" si="21"/>
        <v>86.371098000000003</v>
      </c>
      <c r="D126" s="9">
        <f>ROUND(Controls!$B$8 + (Raw_Data!C126-Controls!$B$12)/MAX(0.000001,(Controls!$B$13-Controls!$B$12))*(Controls!$B$9-Controls!$B$8),1)</f>
        <v>131.30000000000001</v>
      </c>
      <c r="E126" s="9">
        <f>ROUND(Controls!$B$10 + (Raw_Data!D126-Controls!$B$14)/MAX(0.000001,(Controls!$B$15-Controls!$B$14))*(Controls!$B$11-Controls!$B$10),1)</f>
        <v>74.599999999999994</v>
      </c>
      <c r="F126" s="10">
        <f>Raw_Data!E126</f>
        <v>0.19059066993500001</v>
      </c>
      <c r="G126" s="10">
        <f>Raw_Data!F126</f>
        <v>0.16691741626100001</v>
      </c>
      <c r="H126" s="10">
        <f>Raw_Data!G126</f>
        <v>1.0000002999340001</v>
      </c>
      <c r="I126" s="10">
        <f>Raw_Data!H126</f>
        <v>96.627077624145997</v>
      </c>
      <c r="J126" s="5" t="str">
        <f t="shared" si="22"/>
        <v>Cleaner sand</v>
      </c>
      <c r="K126" s="11">
        <f t="shared" si="23"/>
        <v>22.6</v>
      </c>
      <c r="L126" s="12">
        <f t="shared" si="24"/>
        <v>1.94</v>
      </c>
      <c r="M126" s="12">
        <f t="shared" si="25"/>
        <v>6.14</v>
      </c>
      <c r="N126" s="12">
        <f t="shared" si="26"/>
        <v>12.19</v>
      </c>
      <c r="O126" s="12">
        <f t="shared" si="27"/>
        <v>333.5</v>
      </c>
      <c r="P126" s="5" t="str">
        <f>IF(M126&lt;=Controls!$B$2,"NORMAL",IF(M126&lt;=Controls!$B$3,"CAUTION","BLOCK"))</f>
        <v>CAUTION</v>
      </c>
      <c r="Q126" s="5" t="str">
        <f>IF(P126="BLOCK","Hold",IF(L126&gt;Controls!$B$4,"Hold",IF(P126="CAUTION","Drop",IF(G126&lt;0.25,IF(MOD(ROW(),13)=0,"Turn Left",IF(MOD(ROW(),9)=0,"Turn Right",IF(F126&lt;0.08,"Build","Hold"))),IF(F126&lt;0.08,"Build","Hold")))))</f>
        <v>Drop</v>
      </c>
      <c r="R126" s="12">
        <f>ROUND(MAX(0.35,MIN(0.95,0.92 - 0.06*MAX(0,M126-Controls!$B$2) - 0.05*MAX(0,L126-Controls!$B$4) - 0.01*ABS(C126-50) + 0.04*(1-G126))),2)</f>
        <v>0.57999999999999996</v>
      </c>
      <c r="S126" s="5" t="str">
        <f>IF(P126="BLOCK","BLOCKED",IF(R126&lt;Controls!$B$7,"REDUCED","ACCEPTED"))</f>
        <v>REDUCED</v>
      </c>
      <c r="T126" s="5" t="str">
        <f>IF(P126="BLOCK","LIMIT_EXCEEDED - DLS above "&amp;TEXT(Controls!$B$3,"0.0")&amp;" deg/100ft",IF(P126="CAUTION","DLS above operating limit - reduce aggressiveness",IF(L126&gt;Controls!$B$4,"High vibration - hold trajectory",IF(OR(C126&lt;Controls!$B$5,C126&gt;Controls!$B$6),"WOB outside preferred band","Normal operation"))))</f>
        <v>DLS above operating limit - reduce aggressiveness</v>
      </c>
    </row>
    <row r="127" spans="1:20" x14ac:dyDescent="0.3">
      <c r="A127" s="7">
        <f>Raw_Data!A127</f>
        <v>3960</v>
      </c>
      <c r="B127" s="8">
        <f>Raw_Data!B127</f>
        <v>32453.181</v>
      </c>
      <c r="C127" s="9">
        <f t="shared" si="21"/>
        <v>32.453181000000001</v>
      </c>
      <c r="D127" s="9">
        <f>ROUND(Controls!$B$8 + (Raw_Data!C127-Controls!$B$12)/MAX(0.000001,(Controls!$B$13-Controls!$B$12))*(Controls!$B$9-Controls!$B$8),1)</f>
        <v>115.1</v>
      </c>
      <c r="E127" s="9">
        <f>ROUND(Controls!$B$10 + (Raw_Data!D127-Controls!$B$14)/MAX(0.000001,(Controls!$B$15-Controls!$B$14))*(Controls!$B$11-Controls!$B$10),1)</f>
        <v>30</v>
      </c>
      <c r="F127" s="10">
        <f>Raw_Data!E127</f>
        <v>0.22088792939900001</v>
      </c>
      <c r="G127" s="10">
        <f>Raw_Data!F127</f>
        <v>0.25550408516799999</v>
      </c>
      <c r="H127" s="10">
        <f>Raw_Data!G127</f>
        <v>0.96789491415600004</v>
      </c>
      <c r="I127" s="10">
        <f>Raw_Data!H127</f>
        <v>29.314979559798999</v>
      </c>
      <c r="J127" s="5" t="str">
        <f t="shared" si="22"/>
        <v>Transition</v>
      </c>
      <c r="K127" s="11">
        <f t="shared" si="23"/>
        <v>14.5</v>
      </c>
      <c r="L127" s="12">
        <f t="shared" si="24"/>
        <v>1.8</v>
      </c>
      <c r="M127" s="12">
        <f t="shared" si="25"/>
        <v>5.94</v>
      </c>
      <c r="N127" s="12">
        <f t="shared" si="26"/>
        <v>12.36</v>
      </c>
      <c r="O127" s="12">
        <f t="shared" si="27"/>
        <v>334</v>
      </c>
      <c r="P127" s="5" t="str">
        <f>IF(M127&lt;=Controls!$B$2,"NORMAL",IF(M127&lt;=Controls!$B$3,"CAUTION","BLOCK"))</f>
        <v>NORMAL</v>
      </c>
      <c r="Q127" s="5" t="str">
        <f>IF(P127="BLOCK","Hold",IF(L127&gt;Controls!$B$4,"Hold",IF(P127="CAUTION","Drop",IF(G127&lt;0.25,IF(MOD(ROW(),13)=0,"Turn Left",IF(MOD(ROW(),9)=0,"Turn Right",IF(F127&lt;0.08,"Build","Hold"))),IF(F127&lt;0.08,"Build","Hold")))))</f>
        <v>Hold</v>
      </c>
      <c r="R127" s="12">
        <f>ROUND(MAX(0.35,MIN(0.95,0.92 - 0.06*MAX(0,M127-Controls!$B$2) - 0.05*MAX(0,L127-Controls!$B$4) - 0.01*ABS(C127-50) + 0.04*(1-G127))),2)</f>
        <v>0.77</v>
      </c>
      <c r="S127" s="5" t="str">
        <f>IF(P127="BLOCK","BLOCKED",IF(R127&lt;Controls!$B$7,"REDUCED","ACCEPTED"))</f>
        <v>ACCEPTED</v>
      </c>
      <c r="T127" s="5" t="str">
        <f>IF(P127="BLOCK","LIMIT_EXCEEDED - DLS above "&amp;TEXT(Controls!$B$3,"0.0")&amp;" deg/100ft",IF(P127="CAUTION","DLS above operating limit - reduce aggressiveness",IF(L127&gt;Controls!$B$4,"High vibration - hold trajectory",IF(OR(C127&lt;Controls!$B$5,C127&gt;Controls!$B$6),"WOB outside preferred band","Normal operation"))))</f>
        <v>Normal operation</v>
      </c>
    </row>
    <row r="128" spans="1:20" x14ac:dyDescent="0.3">
      <c r="A128" s="7">
        <f>Raw_Data!A128</f>
        <v>3965</v>
      </c>
      <c r="B128" s="8">
        <f>Raw_Data!B128</f>
        <v>32720.292000000001</v>
      </c>
      <c r="C128" s="9">
        <f t="shared" si="21"/>
        <v>32.720292000000001</v>
      </c>
      <c r="D128" s="9">
        <f>ROUND(Controls!$B$8 + (Raw_Data!C128-Controls!$B$12)/MAX(0.000001,(Controls!$B$13-Controls!$B$12))*(Controls!$B$9-Controls!$B$8),1)</f>
        <v>136.6</v>
      </c>
      <c r="E128" s="9">
        <f>ROUND(Controls!$B$10 + (Raw_Data!D128-Controls!$B$14)/MAX(0.000001,(Controls!$B$15-Controls!$B$14))*(Controls!$B$11-Controls!$B$10),1)</f>
        <v>64.3</v>
      </c>
      <c r="F128" s="10">
        <f>Raw_Data!E128</f>
        <v>0.222342725834</v>
      </c>
      <c r="G128" s="10">
        <f>Raw_Data!F128</f>
        <v>0.26268813718200001</v>
      </c>
      <c r="H128" s="10">
        <f>Raw_Data!G128</f>
        <v>1.0026926439229999</v>
      </c>
      <c r="I128" s="10">
        <f>Raw_Data!H128</f>
        <v>25.999092722627001</v>
      </c>
      <c r="J128" s="5" t="str">
        <f t="shared" si="22"/>
        <v>Transition</v>
      </c>
      <c r="K128" s="11">
        <f t="shared" si="23"/>
        <v>14.6</v>
      </c>
      <c r="L128" s="12">
        <f t="shared" si="24"/>
        <v>1.4</v>
      </c>
      <c r="M128" s="12">
        <f t="shared" si="25"/>
        <v>5.44</v>
      </c>
      <c r="N128" s="12">
        <f t="shared" si="26"/>
        <v>12.47</v>
      </c>
      <c r="O128" s="12">
        <f t="shared" si="27"/>
        <v>334.5</v>
      </c>
      <c r="P128" s="5" t="str">
        <f>IF(M128&lt;=Controls!$B$2,"NORMAL",IF(M128&lt;=Controls!$B$3,"CAUTION","BLOCK"))</f>
        <v>NORMAL</v>
      </c>
      <c r="Q128" s="5" t="str">
        <f>IF(P128="BLOCK","Hold",IF(L128&gt;Controls!$B$4,"Hold",IF(P128="CAUTION","Drop",IF(G128&lt;0.25,IF(MOD(ROW(),13)=0,"Turn Left",IF(MOD(ROW(),9)=0,"Turn Right",IF(F128&lt;0.08,"Build","Hold"))),IF(F128&lt;0.08,"Build","Hold")))))</f>
        <v>Hold</v>
      </c>
      <c r="R128" s="12">
        <f>ROUND(MAX(0.35,MIN(0.95,0.92 - 0.06*MAX(0,M128-Controls!$B$2) - 0.05*MAX(0,L128-Controls!$B$4) - 0.01*ABS(C128-50) + 0.04*(1-G128))),2)</f>
        <v>0.78</v>
      </c>
      <c r="S128" s="5" t="str">
        <f>IF(P128="BLOCK","BLOCKED",IF(R128&lt;Controls!$B$7,"REDUCED","ACCEPTED"))</f>
        <v>ACCEPTED</v>
      </c>
      <c r="T128" s="5" t="str">
        <f>IF(P128="BLOCK","LIMIT_EXCEEDED - DLS above "&amp;TEXT(Controls!$B$3,"0.0")&amp;" deg/100ft",IF(P128="CAUTION","DLS above operating limit - reduce aggressiveness",IF(L128&gt;Controls!$B$4,"High vibration - hold trajectory",IF(OR(C128&lt;Controls!$B$5,C128&gt;Controls!$B$6),"WOB outside preferred band","Normal operation"))))</f>
        <v>Normal operation</v>
      </c>
    </row>
    <row r="129" spans="1:20" x14ac:dyDescent="0.3">
      <c r="A129" s="7">
        <f>Raw_Data!A129</f>
        <v>3970</v>
      </c>
      <c r="B129" s="8">
        <f>Raw_Data!B129</f>
        <v>29672.6</v>
      </c>
      <c r="C129" s="9">
        <f t="shared" si="21"/>
        <v>29.672599999999999</v>
      </c>
      <c r="D129" s="9">
        <f>ROUND(Controls!$B$8 + (Raw_Data!C129-Controls!$B$12)/MAX(0.000001,(Controls!$B$13-Controls!$B$12))*(Controls!$B$9-Controls!$B$8),1)</f>
        <v>136.5</v>
      </c>
      <c r="E129" s="9">
        <f>ROUND(Controls!$B$10 + (Raw_Data!D129-Controls!$B$14)/MAX(0.000001,(Controls!$B$15-Controls!$B$14))*(Controls!$B$11-Controls!$B$10),1)</f>
        <v>64.400000000000006</v>
      </c>
      <c r="F129" s="10">
        <f>Raw_Data!E129</f>
        <v>0.23025517948800001</v>
      </c>
      <c r="G129" s="10">
        <f>Raw_Data!F129</f>
        <v>0.183799879788</v>
      </c>
      <c r="H129" s="10">
        <f>Raw_Data!G129</f>
        <v>0.99773213557600005</v>
      </c>
      <c r="I129" s="10">
        <f>Raw_Data!H129</f>
        <v>154.285112655435</v>
      </c>
      <c r="J129" s="5" t="str">
        <f t="shared" si="22"/>
        <v>Cleaner sand</v>
      </c>
      <c r="K129" s="11">
        <f t="shared" si="23"/>
        <v>13.6</v>
      </c>
      <c r="L129" s="12">
        <f t="shared" si="24"/>
        <v>1.29</v>
      </c>
      <c r="M129" s="12">
        <f t="shared" si="25"/>
        <v>5.1100000000000003</v>
      </c>
      <c r="N129" s="12">
        <f t="shared" si="26"/>
        <v>12.54</v>
      </c>
      <c r="O129" s="12">
        <f t="shared" si="27"/>
        <v>335</v>
      </c>
      <c r="P129" s="5" t="str">
        <f>IF(M129&lt;=Controls!$B$2,"NORMAL",IF(M129&lt;=Controls!$B$3,"CAUTION","BLOCK"))</f>
        <v>NORMAL</v>
      </c>
      <c r="Q129" s="5" t="str">
        <f>IF(P129="BLOCK","Hold",IF(L129&gt;Controls!$B$4,"Hold",IF(P129="CAUTION","Drop",IF(G129&lt;0.25,IF(MOD(ROW(),13)=0,"Turn Left",IF(MOD(ROW(),9)=0,"Turn Right",IF(F129&lt;0.08,"Build","Hold"))),IF(F129&lt;0.08,"Build","Hold")))))</f>
        <v>Hold</v>
      </c>
      <c r="R129" s="12">
        <f>ROUND(MAX(0.35,MIN(0.95,0.92 - 0.06*MAX(0,M129-Controls!$B$2) - 0.05*MAX(0,L129-Controls!$B$4) - 0.01*ABS(C129-50) + 0.04*(1-G129))),2)</f>
        <v>0.75</v>
      </c>
      <c r="S129" s="5" t="str">
        <f>IF(P129="BLOCK","BLOCKED",IF(R129&lt;Controls!$B$7,"REDUCED","ACCEPTED"))</f>
        <v>ACCEPTED</v>
      </c>
      <c r="T129" s="5" t="str">
        <f>IF(P129="BLOCK","LIMIT_EXCEEDED - DLS above "&amp;TEXT(Controls!$B$3,"0.0")&amp;" deg/100ft",IF(P129="CAUTION","DLS above operating limit - reduce aggressiveness",IF(L129&gt;Controls!$B$4,"High vibration - hold trajectory",IF(OR(C129&lt;Controls!$B$5,C129&gt;Controls!$B$6),"WOB outside preferred band","Normal operation"))))</f>
        <v>Normal operation</v>
      </c>
    </row>
    <row r="130" spans="1:20" x14ac:dyDescent="0.3">
      <c r="A130" s="7">
        <f>Raw_Data!A130</f>
        <v>3975</v>
      </c>
      <c r="B130" s="8">
        <f>Raw_Data!B130</f>
        <v>43582.532999999901</v>
      </c>
      <c r="C130" s="9">
        <f t="shared" ref="C130:C161" si="28">B130/1000</f>
        <v>43.582532999999898</v>
      </c>
      <c r="D130" s="9">
        <f>ROUND(Controls!$B$8 + (Raw_Data!C130-Controls!$B$12)/MAX(0.000001,(Controls!$B$13-Controls!$B$12))*(Controls!$B$9-Controls!$B$8),1)</f>
        <v>128.80000000000001</v>
      </c>
      <c r="E130" s="9">
        <f>ROUND(Controls!$B$10 + (Raw_Data!D130-Controls!$B$14)/MAX(0.000001,(Controls!$B$15-Controls!$B$14))*(Controls!$B$11-Controls!$B$10),1)</f>
        <v>71.599999999999994</v>
      </c>
      <c r="F130" s="10">
        <f>Raw_Data!E130</f>
        <v>0.25891786337200001</v>
      </c>
      <c r="G130" s="10">
        <f>Raw_Data!F130</f>
        <v>0.214524312775</v>
      </c>
      <c r="H130" s="10">
        <f>Raw_Data!G130</f>
        <v>0.94185370105499999</v>
      </c>
      <c r="I130" s="10">
        <f>Raw_Data!H130</f>
        <v>137.278572447442</v>
      </c>
      <c r="J130" s="5" t="str">
        <f t="shared" ref="J130:J152" si="29">IF(G130&gt;=0.45,"Shale-prone",IF(G130&gt;=0.25,"Transition","Cleaner sand"))</f>
        <v>Cleaner sand</v>
      </c>
      <c r="K130" s="11">
        <f t="shared" ref="K130:K152" si="30">ROUND(6 + 0.16*C130 + 7*G130 + 2*(1-F130),1)</f>
        <v>16</v>
      </c>
      <c r="L130" s="12">
        <f t="shared" ref="L130:L152" si="31">ROUND(MIN(4.8,1 + ABS(D130-135)/45 + 1.4*G130 + 0.2*MAX(0,C130-55)/10 + IF(MOD(ROW(),17)=0,0.5,0)),2)</f>
        <v>1.44</v>
      </c>
      <c r="M130" s="12">
        <f t="shared" ref="M130:M161" si="32">ROUND(MIN(9.2,1.2 + 3.6*G130 + ABS(D130-135)/50 + 0.4*L130 + 0.3*MAX(0,C130-60)/10 + IF(A130&gt;=3700,1.6,0) + IF(A130&gt;=3860,1.1,0)),2)</f>
        <v>5.37</v>
      </c>
      <c r="N130" s="12">
        <f t="shared" si="26"/>
        <v>12.64</v>
      </c>
      <c r="O130" s="12">
        <f t="shared" si="27"/>
        <v>333.2</v>
      </c>
      <c r="P130" s="5" t="str">
        <f>IF(M130&lt;=Controls!$B$2,"NORMAL",IF(M130&lt;=Controls!$B$3,"CAUTION","BLOCK"))</f>
        <v>NORMAL</v>
      </c>
      <c r="Q130" s="5" t="str">
        <f>IF(P130="BLOCK","Hold",IF(L130&gt;Controls!$B$4,"Hold",IF(P130="CAUTION","Drop",IF(G130&lt;0.25,IF(MOD(ROW(),13)=0,"Turn Left",IF(MOD(ROW(),9)=0,"Turn Right",IF(F130&lt;0.08,"Build","Hold"))),IF(F130&lt;0.08,"Build","Hold")))))</f>
        <v>Turn Left</v>
      </c>
      <c r="R130" s="12">
        <f>ROUND(MAX(0.35,MIN(0.95,0.92 - 0.06*MAX(0,M130-Controls!$B$2) - 0.05*MAX(0,L130-Controls!$B$4) - 0.01*ABS(C130-50) + 0.04*(1-G130))),2)</f>
        <v>0.89</v>
      </c>
      <c r="S130" s="5" t="str">
        <f>IF(P130="BLOCK","BLOCKED",IF(R130&lt;Controls!$B$7,"REDUCED","ACCEPTED"))</f>
        <v>ACCEPTED</v>
      </c>
      <c r="T130" s="5" t="str">
        <f>IF(P130="BLOCK","LIMIT_EXCEEDED - DLS above "&amp;TEXT(Controls!$B$3,"0.0")&amp;" deg/100ft",IF(P130="CAUTION","DLS above operating limit - reduce aggressiveness",IF(L130&gt;Controls!$B$4,"High vibration - hold trajectory",IF(OR(C130&lt;Controls!$B$5,C130&gt;Controls!$B$6),"WOB outside preferred band","Normal operation"))))</f>
        <v>Normal operation</v>
      </c>
    </row>
    <row r="131" spans="1:20" x14ac:dyDescent="0.3">
      <c r="A131" s="7">
        <f>Raw_Data!A131</f>
        <v>3980</v>
      </c>
      <c r="B131" s="8">
        <f>Raw_Data!B131</f>
        <v>45641.460999999901</v>
      </c>
      <c r="C131" s="9">
        <f t="shared" si="28"/>
        <v>45.6414609999999</v>
      </c>
      <c r="D131" s="9">
        <f>ROUND(Controls!$B$8 + (Raw_Data!C131-Controls!$B$12)/MAX(0.000001,(Controls!$B$13-Controls!$B$12))*(Controls!$B$9-Controls!$B$8),1)</f>
        <v>136.5</v>
      </c>
      <c r="E131" s="9">
        <f>ROUND(Controls!$B$10 + (Raw_Data!D131-Controls!$B$14)/MAX(0.000001,(Controls!$B$15-Controls!$B$14))*(Controls!$B$11-Controls!$B$10),1)</f>
        <v>68.400000000000006</v>
      </c>
      <c r="F131" s="10">
        <f>Raw_Data!E131</f>
        <v>4.4943206865000002E-2</v>
      </c>
      <c r="G131" s="10">
        <f>Raw_Data!F131</f>
        <v>0.23628333821899999</v>
      </c>
      <c r="H131" s="10">
        <f>Raw_Data!G131</f>
        <v>0.99999403624399996</v>
      </c>
      <c r="I131" s="10">
        <f>Raw_Data!H131</f>
        <v>1.695416166934</v>
      </c>
      <c r="J131" s="5" t="str">
        <f t="shared" si="29"/>
        <v>Cleaner sand</v>
      </c>
      <c r="K131" s="11">
        <f t="shared" si="30"/>
        <v>16.899999999999999</v>
      </c>
      <c r="L131" s="12">
        <f t="shared" si="31"/>
        <v>1.36</v>
      </c>
      <c r="M131" s="12">
        <f t="shared" si="32"/>
        <v>5.32</v>
      </c>
      <c r="N131" s="12">
        <f t="shared" ref="N131:N162" si="33">ROUND(MAX(0,MIN(90,N130 + (M131-4.5)*0.12)),2)</f>
        <v>12.74</v>
      </c>
      <c r="O131" s="12">
        <f t="shared" ref="O131:O152" si="34">ROUND(MOD(O130 + IF(OR(Q131="Turn Right",Q131="Build"),1.8,IF(Q131="Turn Left",-1.8,0.5)),360),2)</f>
        <v>335</v>
      </c>
      <c r="P131" s="5" t="str">
        <f>IF(M131&lt;=Controls!$B$2,"NORMAL",IF(M131&lt;=Controls!$B$3,"CAUTION","BLOCK"))</f>
        <v>NORMAL</v>
      </c>
      <c r="Q131" s="5" t="str">
        <f>IF(P131="BLOCK","Hold",IF(L131&gt;Controls!$B$4,"Hold",IF(P131="CAUTION","Drop",IF(G131&lt;0.25,IF(MOD(ROW(),13)=0,"Turn Left",IF(MOD(ROW(),9)=0,"Turn Right",IF(F131&lt;0.08,"Build","Hold"))),IF(F131&lt;0.08,"Build","Hold")))))</f>
        <v>Build</v>
      </c>
      <c r="R131" s="12">
        <f>ROUND(MAX(0.35,MIN(0.95,0.92 - 0.06*MAX(0,M131-Controls!$B$2) - 0.05*MAX(0,L131-Controls!$B$4) - 0.01*ABS(C131-50) + 0.04*(1-G131))),2)</f>
        <v>0.91</v>
      </c>
      <c r="S131" s="5" t="str">
        <f>IF(P131="BLOCK","BLOCKED",IF(R131&lt;Controls!$B$7,"REDUCED","ACCEPTED"))</f>
        <v>ACCEPTED</v>
      </c>
      <c r="T131" s="5" t="str">
        <f>IF(P131="BLOCK","LIMIT_EXCEEDED - DLS above "&amp;TEXT(Controls!$B$3,"0.0")&amp;" deg/100ft",IF(P131="CAUTION","DLS above operating limit - reduce aggressiveness",IF(L131&gt;Controls!$B$4,"High vibration - hold trajectory",IF(OR(C131&lt;Controls!$B$5,C131&gt;Controls!$B$6),"WOB outside preferred band","Normal operation"))))</f>
        <v>Normal operation</v>
      </c>
    </row>
    <row r="132" spans="1:20" x14ac:dyDescent="0.3">
      <c r="A132" s="7">
        <f>Raw_Data!A132</f>
        <v>3985</v>
      </c>
      <c r="B132" s="8">
        <f>Raw_Data!B132</f>
        <v>45390.125</v>
      </c>
      <c r="C132" s="9">
        <f t="shared" si="28"/>
        <v>45.390124999999998</v>
      </c>
      <c r="D132" s="9">
        <f>ROUND(Controls!$B$8 + (Raw_Data!C132-Controls!$B$12)/MAX(0.000001,(Controls!$B$13-Controls!$B$12))*(Controls!$B$9-Controls!$B$8),1)</f>
        <v>136.5</v>
      </c>
      <c r="E132" s="9">
        <f>ROUND(Controls!$B$10 + (Raw_Data!D132-Controls!$B$14)/MAX(0.000001,(Controls!$B$15-Controls!$B$14))*(Controls!$B$11-Controls!$B$10),1)</f>
        <v>68.900000000000006</v>
      </c>
      <c r="F132" s="10">
        <f>Raw_Data!E132</f>
        <v>0.213101326531</v>
      </c>
      <c r="G132" s="10">
        <f>Raw_Data!F132</f>
        <v>9.8045322059999995E-2</v>
      </c>
      <c r="H132" s="10">
        <f>Raw_Data!G132</f>
        <v>1</v>
      </c>
      <c r="I132" s="10">
        <f>Raw_Data!H132</f>
        <v>665.63702101504202</v>
      </c>
      <c r="J132" s="5" t="str">
        <f t="shared" si="29"/>
        <v>Cleaner sand</v>
      </c>
      <c r="K132" s="11">
        <f t="shared" si="30"/>
        <v>15.5</v>
      </c>
      <c r="L132" s="12">
        <f t="shared" si="31"/>
        <v>1.17</v>
      </c>
      <c r="M132" s="12">
        <f t="shared" si="32"/>
        <v>4.75</v>
      </c>
      <c r="N132" s="12">
        <f t="shared" si="33"/>
        <v>12.77</v>
      </c>
      <c r="O132" s="12">
        <f t="shared" si="34"/>
        <v>335.5</v>
      </c>
      <c r="P132" s="5" t="str">
        <f>IF(M132&lt;=Controls!$B$2,"NORMAL",IF(M132&lt;=Controls!$B$3,"CAUTION","BLOCK"))</f>
        <v>NORMAL</v>
      </c>
      <c r="Q132" s="5" t="str">
        <f>IF(P132="BLOCK","Hold",IF(L132&gt;Controls!$B$4,"Hold",IF(P132="CAUTION","Drop",IF(G132&lt;0.25,IF(MOD(ROW(),13)=0,"Turn Left",IF(MOD(ROW(),9)=0,"Turn Right",IF(F132&lt;0.08,"Build","Hold"))),IF(F132&lt;0.08,"Build","Hold")))))</f>
        <v>Hold</v>
      </c>
      <c r="R132" s="12">
        <f>ROUND(MAX(0.35,MIN(0.95,0.92 - 0.06*MAX(0,M132-Controls!$B$2) - 0.05*MAX(0,L132-Controls!$B$4) - 0.01*ABS(C132-50) + 0.04*(1-G132))),2)</f>
        <v>0.91</v>
      </c>
      <c r="S132" s="5" t="str">
        <f>IF(P132="BLOCK","BLOCKED",IF(R132&lt;Controls!$B$7,"REDUCED","ACCEPTED"))</f>
        <v>ACCEPTED</v>
      </c>
      <c r="T132" s="5" t="str">
        <f>IF(P132="BLOCK","LIMIT_EXCEEDED - DLS above "&amp;TEXT(Controls!$B$3,"0.0")&amp;" deg/100ft",IF(P132="CAUTION","DLS above operating limit - reduce aggressiveness",IF(L132&gt;Controls!$B$4,"High vibration - hold trajectory",IF(OR(C132&lt;Controls!$B$5,C132&gt;Controls!$B$6),"WOB outside preferred band","Normal operation"))))</f>
        <v>Normal operation</v>
      </c>
    </row>
    <row r="133" spans="1:20" x14ac:dyDescent="0.3">
      <c r="A133" s="7">
        <f>Raw_Data!A133</f>
        <v>3990</v>
      </c>
      <c r="B133" s="8">
        <f>Raw_Data!B133</f>
        <v>55678.462</v>
      </c>
      <c r="C133" s="9">
        <f t="shared" si="28"/>
        <v>55.678461999999996</v>
      </c>
      <c r="D133" s="9">
        <f>ROUND(Controls!$B$8 + (Raw_Data!C133-Controls!$B$12)/MAX(0.000001,(Controls!$B$13-Controls!$B$12))*(Controls!$B$9-Controls!$B$8),1)</f>
        <v>136.6</v>
      </c>
      <c r="E133" s="9">
        <f>ROUND(Controls!$B$10 + (Raw_Data!D133-Controls!$B$14)/MAX(0.000001,(Controls!$B$15-Controls!$B$14))*(Controls!$B$11-Controls!$B$10),1)</f>
        <v>71.099999999999994</v>
      </c>
      <c r="F133" s="10">
        <f>Raw_Data!E133</f>
        <v>0.20440728802200001</v>
      </c>
      <c r="G133" s="10">
        <f>Raw_Data!F133</f>
        <v>0.137021577546</v>
      </c>
      <c r="H133" s="10">
        <f>Raw_Data!G133</f>
        <v>0.99949553918699996</v>
      </c>
      <c r="I133" s="10">
        <f>Raw_Data!H133</f>
        <v>252.338113524113</v>
      </c>
      <c r="J133" s="5" t="str">
        <f t="shared" si="29"/>
        <v>Cleaner sand</v>
      </c>
      <c r="K133" s="11">
        <f t="shared" si="30"/>
        <v>17.5</v>
      </c>
      <c r="L133" s="12">
        <f t="shared" si="31"/>
        <v>1.24</v>
      </c>
      <c r="M133" s="12">
        <f t="shared" si="32"/>
        <v>4.92</v>
      </c>
      <c r="N133" s="12">
        <f t="shared" si="33"/>
        <v>12.82</v>
      </c>
      <c r="O133" s="12">
        <f t="shared" si="34"/>
        <v>336</v>
      </c>
      <c r="P133" s="5" t="str">
        <f>IF(M133&lt;=Controls!$B$2,"NORMAL",IF(M133&lt;=Controls!$B$3,"CAUTION","BLOCK"))</f>
        <v>NORMAL</v>
      </c>
      <c r="Q133" s="5" t="str">
        <f>IF(P133="BLOCK","Hold",IF(L133&gt;Controls!$B$4,"Hold",IF(P133="CAUTION","Drop",IF(G133&lt;0.25,IF(MOD(ROW(),13)=0,"Turn Left",IF(MOD(ROW(),9)=0,"Turn Right",IF(F133&lt;0.08,"Build","Hold"))),IF(F133&lt;0.08,"Build","Hold")))))</f>
        <v>Hold</v>
      </c>
      <c r="R133" s="12">
        <f>ROUND(MAX(0.35,MIN(0.95,0.92 - 0.06*MAX(0,M133-Controls!$B$2) - 0.05*MAX(0,L133-Controls!$B$4) - 0.01*ABS(C133-50) + 0.04*(1-G133))),2)</f>
        <v>0.9</v>
      </c>
      <c r="S133" s="5" t="str">
        <f>IF(P133="BLOCK","BLOCKED",IF(R133&lt;Controls!$B$7,"REDUCED","ACCEPTED"))</f>
        <v>ACCEPTED</v>
      </c>
      <c r="T133" s="5" t="str">
        <f>IF(P133="BLOCK","LIMIT_EXCEEDED - DLS above "&amp;TEXT(Controls!$B$3,"0.0")&amp;" deg/100ft",IF(P133="CAUTION","DLS above operating limit - reduce aggressiveness",IF(L133&gt;Controls!$B$4,"High vibration - hold trajectory",IF(OR(C133&lt;Controls!$B$5,C133&gt;Controls!$B$6),"WOB outside preferred band","Normal operation"))))</f>
        <v>Normal operation</v>
      </c>
    </row>
    <row r="134" spans="1:20" x14ac:dyDescent="0.3">
      <c r="A134" s="7">
        <f>Raw_Data!A134</f>
        <v>3995</v>
      </c>
      <c r="B134" s="8">
        <f>Raw_Data!B134</f>
        <v>65754.122000000003</v>
      </c>
      <c r="C134" s="9">
        <f t="shared" si="28"/>
        <v>65.75412200000001</v>
      </c>
      <c r="D134" s="9">
        <f>ROUND(Controls!$B$8 + (Raw_Data!C134-Controls!$B$12)/MAX(0.000001,(Controls!$B$13-Controls!$B$12))*(Controls!$B$9-Controls!$B$8),1)</f>
        <v>136.5</v>
      </c>
      <c r="E134" s="9">
        <f>ROUND(Controls!$B$10 + (Raw_Data!D134-Controls!$B$14)/MAX(0.000001,(Controls!$B$15-Controls!$B$14))*(Controls!$B$11-Controls!$B$10),1)</f>
        <v>69.5</v>
      </c>
      <c r="F134" s="10">
        <f>Raw_Data!E134</f>
        <v>0.20910503406200001</v>
      </c>
      <c r="G134" s="10">
        <f>Raw_Data!F134</f>
        <v>0.108711489733</v>
      </c>
      <c r="H134" s="10">
        <f>Raw_Data!G134</f>
        <v>0.99999999993499999</v>
      </c>
      <c r="I134" s="10">
        <f>Raw_Data!H134</f>
        <v>495.14971388297897</v>
      </c>
      <c r="J134" s="5" t="str">
        <f t="shared" si="29"/>
        <v>Cleaner sand</v>
      </c>
      <c r="K134" s="11">
        <f t="shared" si="30"/>
        <v>18.899999999999999</v>
      </c>
      <c r="L134" s="12">
        <f t="shared" si="31"/>
        <v>1.4</v>
      </c>
      <c r="M134" s="12">
        <f t="shared" si="32"/>
        <v>5.05</v>
      </c>
      <c r="N134" s="12">
        <f t="shared" si="33"/>
        <v>12.89</v>
      </c>
      <c r="O134" s="12">
        <f t="shared" si="34"/>
        <v>336.5</v>
      </c>
      <c r="P134" s="5" t="str">
        <f>IF(M134&lt;=Controls!$B$2,"NORMAL",IF(M134&lt;=Controls!$B$3,"CAUTION","BLOCK"))</f>
        <v>NORMAL</v>
      </c>
      <c r="Q134" s="5" t="str">
        <f>IF(P134="BLOCK","Hold",IF(L134&gt;Controls!$B$4,"Hold",IF(P134="CAUTION","Drop",IF(G134&lt;0.25,IF(MOD(ROW(),13)=0,"Turn Left",IF(MOD(ROW(),9)=0,"Turn Right",IF(F134&lt;0.08,"Build","Hold"))),IF(F134&lt;0.08,"Build","Hold")))))</f>
        <v>Hold</v>
      </c>
      <c r="R134" s="12">
        <f>ROUND(MAX(0.35,MIN(0.95,0.92 - 0.06*MAX(0,M134-Controls!$B$2) - 0.05*MAX(0,L134-Controls!$B$4) - 0.01*ABS(C134-50) + 0.04*(1-G134))),2)</f>
        <v>0.8</v>
      </c>
      <c r="S134" s="5" t="str">
        <f>IF(P134="BLOCK","BLOCKED",IF(R134&lt;Controls!$B$7,"REDUCED","ACCEPTED"))</f>
        <v>ACCEPTED</v>
      </c>
      <c r="T134" s="5" t="str">
        <f>IF(P134="BLOCK","LIMIT_EXCEEDED - DLS above "&amp;TEXT(Controls!$B$3,"0.0")&amp;" deg/100ft",IF(P134="CAUTION","DLS above operating limit - reduce aggressiveness",IF(L134&gt;Controls!$B$4,"High vibration - hold trajectory",IF(OR(C134&lt;Controls!$B$5,C134&gt;Controls!$B$6),"WOB outside preferred band","Normal operation"))))</f>
        <v>Normal operation</v>
      </c>
    </row>
    <row r="135" spans="1:20" x14ac:dyDescent="0.3">
      <c r="A135" s="7">
        <f>Raw_Data!A135</f>
        <v>4000</v>
      </c>
      <c r="B135" s="8">
        <f>Raw_Data!B135</f>
        <v>72975.357999999993</v>
      </c>
      <c r="C135" s="9">
        <f t="shared" si="28"/>
        <v>72.975358</v>
      </c>
      <c r="D135" s="9">
        <f>ROUND(Controls!$B$8 + (Raw_Data!C135-Controls!$B$12)/MAX(0.000001,(Controls!$B$13-Controls!$B$12))*(Controls!$B$9-Controls!$B$8),1)</f>
        <v>136.5</v>
      </c>
      <c r="E135" s="9">
        <f>ROUND(Controls!$B$10 + (Raw_Data!D135-Controls!$B$14)/MAX(0.000001,(Controls!$B$15-Controls!$B$14))*(Controls!$B$11-Controls!$B$10),1)</f>
        <v>65.3</v>
      </c>
      <c r="F135" s="10">
        <f>Raw_Data!E135</f>
        <v>0.20105613811600001</v>
      </c>
      <c r="G135" s="10">
        <f>Raw_Data!F135</f>
        <v>9.2304054534999999E-2</v>
      </c>
      <c r="H135" s="10">
        <f>Raw_Data!G135</f>
        <v>0.99999999999</v>
      </c>
      <c r="I135" s="10">
        <f>Raw_Data!H135</f>
        <v>599.32078994999199</v>
      </c>
      <c r="J135" s="5" t="str">
        <f t="shared" si="29"/>
        <v>Cleaner sand</v>
      </c>
      <c r="K135" s="11">
        <f t="shared" si="30"/>
        <v>19.899999999999999</v>
      </c>
      <c r="L135" s="12">
        <f t="shared" si="31"/>
        <v>1.52</v>
      </c>
      <c r="M135" s="12">
        <f t="shared" si="32"/>
        <v>5.26</v>
      </c>
      <c r="N135" s="12">
        <f t="shared" si="33"/>
        <v>12.98</v>
      </c>
      <c r="O135" s="12">
        <f t="shared" si="34"/>
        <v>338.3</v>
      </c>
      <c r="P135" s="5" t="str">
        <f>IF(M135&lt;=Controls!$B$2,"NORMAL",IF(M135&lt;=Controls!$B$3,"CAUTION","BLOCK"))</f>
        <v>NORMAL</v>
      </c>
      <c r="Q135" s="5" t="str">
        <f>IF(P135="BLOCK","Hold",IF(L135&gt;Controls!$B$4,"Hold",IF(P135="CAUTION","Drop",IF(G135&lt;0.25,IF(MOD(ROW(),13)=0,"Turn Left",IF(MOD(ROW(),9)=0,"Turn Right",IF(F135&lt;0.08,"Build","Hold"))),IF(F135&lt;0.08,"Build","Hold")))))</f>
        <v>Turn Right</v>
      </c>
      <c r="R135" s="12">
        <f>ROUND(MAX(0.35,MIN(0.95,0.92 - 0.06*MAX(0,M135-Controls!$B$2) - 0.05*MAX(0,L135-Controls!$B$4) - 0.01*ABS(C135-50) + 0.04*(1-G135))),2)</f>
        <v>0.73</v>
      </c>
      <c r="S135" s="5" t="str">
        <f>IF(P135="BLOCK","BLOCKED",IF(R135&lt;Controls!$B$7,"REDUCED","ACCEPTED"))</f>
        <v>ACCEPTED</v>
      </c>
      <c r="T135" s="5" t="str">
        <f>IF(P135="BLOCK","LIMIT_EXCEEDED - DLS above "&amp;TEXT(Controls!$B$3,"0.0")&amp;" deg/100ft",IF(P135="CAUTION","DLS above operating limit - reduce aggressiveness",IF(L135&gt;Controls!$B$4,"High vibration - hold trajectory",IF(OR(C135&lt;Controls!$B$5,C135&gt;Controls!$B$6),"WOB outside preferred band","Normal operation"))))</f>
        <v>Normal operation</v>
      </c>
    </row>
    <row r="136" spans="1:20" x14ac:dyDescent="0.3">
      <c r="A136" s="7">
        <f>Raw_Data!A136</f>
        <v>4005</v>
      </c>
      <c r="B136" s="8">
        <f>Raw_Data!B136</f>
        <v>77870.782999999996</v>
      </c>
      <c r="C136" s="9">
        <f t="shared" si="28"/>
        <v>77.870782999999989</v>
      </c>
      <c r="D136" s="9">
        <f>ROUND(Controls!$B$8 + (Raw_Data!C136-Controls!$B$12)/MAX(0.000001,(Controls!$B$13-Controls!$B$12))*(Controls!$B$9-Controls!$B$8),1)</f>
        <v>136.5</v>
      </c>
      <c r="E136" s="9">
        <f>ROUND(Controls!$B$10 + (Raw_Data!D136-Controls!$B$14)/MAX(0.000001,(Controls!$B$15-Controls!$B$14))*(Controls!$B$11-Controls!$B$10),1)</f>
        <v>65.2</v>
      </c>
      <c r="F136" s="10">
        <f>Raw_Data!E136</f>
        <v>0.23536316168499999</v>
      </c>
      <c r="G136" s="10">
        <f>Raw_Data!F136</f>
        <v>0.15757987569699999</v>
      </c>
      <c r="H136" s="10">
        <f>Raw_Data!G136</f>
        <v>0.99324823041499999</v>
      </c>
      <c r="I136" s="10">
        <f>Raw_Data!H136</f>
        <v>290.38776481249801</v>
      </c>
      <c r="J136" s="5" t="str">
        <f t="shared" si="29"/>
        <v>Cleaner sand</v>
      </c>
      <c r="K136" s="11">
        <f t="shared" si="30"/>
        <v>21.1</v>
      </c>
      <c r="L136" s="12">
        <f t="shared" si="31"/>
        <v>2.21</v>
      </c>
      <c r="M136" s="12">
        <f t="shared" si="32"/>
        <v>5.92</v>
      </c>
      <c r="N136" s="12">
        <f t="shared" si="33"/>
        <v>13.15</v>
      </c>
      <c r="O136" s="12">
        <f t="shared" si="34"/>
        <v>338.8</v>
      </c>
      <c r="P136" s="5" t="str">
        <f>IF(M136&lt;=Controls!$B$2,"NORMAL",IF(M136&lt;=Controls!$B$3,"CAUTION","BLOCK"))</f>
        <v>NORMAL</v>
      </c>
      <c r="Q136" s="5" t="str">
        <f>IF(P136="BLOCK","Hold",IF(L136&gt;Controls!$B$4,"Hold",IF(P136="CAUTION","Drop",IF(G136&lt;0.25,IF(MOD(ROW(),13)=0,"Turn Left",IF(MOD(ROW(),9)=0,"Turn Right",IF(F136&lt;0.08,"Build","Hold"))),IF(F136&lt;0.08,"Build","Hold")))))</f>
        <v>Hold</v>
      </c>
      <c r="R136" s="12">
        <f>ROUND(MAX(0.35,MIN(0.95,0.92 - 0.06*MAX(0,M136-Controls!$B$2) - 0.05*MAX(0,L136-Controls!$B$4) - 0.01*ABS(C136-50) + 0.04*(1-G136))),2)</f>
        <v>0.67</v>
      </c>
      <c r="S136" s="5" t="str">
        <f>IF(P136="BLOCK","BLOCKED",IF(R136&lt;Controls!$B$7,"REDUCED","ACCEPTED"))</f>
        <v>ACCEPTED</v>
      </c>
      <c r="T136" s="5" t="str">
        <f>IF(P136="BLOCK","LIMIT_EXCEEDED - DLS above "&amp;TEXT(Controls!$B$3,"0.0")&amp;" deg/100ft",IF(P136="CAUTION","DLS above operating limit - reduce aggressiveness",IF(L136&gt;Controls!$B$4,"High vibration - hold trajectory",IF(OR(C136&lt;Controls!$B$5,C136&gt;Controls!$B$6),"WOB outside preferred band","Normal operation"))))</f>
        <v>Normal operation</v>
      </c>
    </row>
    <row r="137" spans="1:20" x14ac:dyDescent="0.3">
      <c r="A137" s="7">
        <f>Raw_Data!A137</f>
        <v>4010</v>
      </c>
      <c r="B137" s="8">
        <f>Raw_Data!B137</f>
        <v>78076.673999999999</v>
      </c>
      <c r="C137" s="9">
        <f t="shared" si="28"/>
        <v>78.076673999999997</v>
      </c>
      <c r="D137" s="9">
        <f>ROUND(Controls!$B$8 + (Raw_Data!C137-Controls!$B$12)/MAX(0.000001,(Controls!$B$13-Controls!$B$12))*(Controls!$B$9-Controls!$B$8),1)</f>
        <v>136.5</v>
      </c>
      <c r="E137" s="9">
        <f>ROUND(Controls!$B$10 + (Raw_Data!D137-Controls!$B$14)/MAX(0.000001,(Controls!$B$15-Controls!$B$14))*(Controls!$B$11-Controls!$B$10),1)</f>
        <v>65.400000000000006</v>
      </c>
      <c r="F137" s="10">
        <f>Raw_Data!E137</f>
        <v>0.20075014835499999</v>
      </c>
      <c r="G137" s="10">
        <f>Raw_Data!F137</f>
        <v>0.13436096709000001</v>
      </c>
      <c r="H137" s="10">
        <f>Raw_Data!G137</f>
        <v>1.0000000000010001</v>
      </c>
      <c r="I137" s="10">
        <f>Raw_Data!H137</f>
        <v>248.25002441770701</v>
      </c>
      <c r="J137" s="5" t="str">
        <f t="shared" si="29"/>
        <v>Cleaner sand</v>
      </c>
      <c r="K137" s="11">
        <f t="shared" si="30"/>
        <v>21</v>
      </c>
      <c r="L137" s="12">
        <f t="shared" si="31"/>
        <v>1.68</v>
      </c>
      <c r="M137" s="12">
        <f t="shared" si="32"/>
        <v>5.63</v>
      </c>
      <c r="N137" s="12">
        <f t="shared" si="33"/>
        <v>13.29</v>
      </c>
      <c r="O137" s="12">
        <f t="shared" si="34"/>
        <v>339.3</v>
      </c>
      <c r="P137" s="5" t="str">
        <f>IF(M137&lt;=Controls!$B$2,"NORMAL",IF(M137&lt;=Controls!$B$3,"CAUTION","BLOCK"))</f>
        <v>NORMAL</v>
      </c>
      <c r="Q137" s="5" t="str">
        <f>IF(P137="BLOCK","Hold",IF(L137&gt;Controls!$B$4,"Hold",IF(P137="CAUTION","Drop",IF(G137&lt;0.25,IF(MOD(ROW(),13)=0,"Turn Left",IF(MOD(ROW(),9)=0,"Turn Right",IF(F137&lt;0.08,"Build","Hold"))),IF(F137&lt;0.08,"Build","Hold")))))</f>
        <v>Hold</v>
      </c>
      <c r="R137" s="12">
        <f>ROUND(MAX(0.35,MIN(0.95,0.92 - 0.06*MAX(0,M137-Controls!$B$2) - 0.05*MAX(0,L137-Controls!$B$4) - 0.01*ABS(C137-50) + 0.04*(1-G137))),2)</f>
        <v>0.67</v>
      </c>
      <c r="S137" s="5" t="str">
        <f>IF(P137="BLOCK","BLOCKED",IF(R137&lt;Controls!$B$7,"REDUCED","ACCEPTED"))</f>
        <v>ACCEPTED</v>
      </c>
      <c r="T137" s="5" t="str">
        <f>IF(P137="BLOCK","LIMIT_EXCEEDED - DLS above "&amp;TEXT(Controls!$B$3,"0.0")&amp;" deg/100ft",IF(P137="CAUTION","DLS above operating limit - reduce aggressiveness",IF(L137&gt;Controls!$B$4,"High vibration - hold trajectory",IF(OR(C137&lt;Controls!$B$5,C137&gt;Controls!$B$6),"WOB outside preferred band","Normal operation"))))</f>
        <v>Normal operation</v>
      </c>
    </row>
    <row r="138" spans="1:20" x14ac:dyDescent="0.3">
      <c r="A138" s="7">
        <f>Raw_Data!A138</f>
        <v>4015</v>
      </c>
      <c r="B138" s="8">
        <f>Raw_Data!B138</f>
        <v>62886.436999999998</v>
      </c>
      <c r="C138" s="9">
        <f t="shared" si="28"/>
        <v>62.886437000000001</v>
      </c>
      <c r="D138" s="9">
        <f>ROUND(Controls!$B$8 + (Raw_Data!C138-Controls!$B$12)/MAX(0.000001,(Controls!$B$13-Controls!$B$12))*(Controls!$B$9-Controls!$B$8),1)</f>
        <v>136.6</v>
      </c>
      <c r="E138" s="9">
        <f>ROUND(Controls!$B$10 + (Raw_Data!D138-Controls!$B$14)/MAX(0.000001,(Controls!$B$15-Controls!$B$14))*(Controls!$B$11-Controls!$B$10),1)</f>
        <v>59.7</v>
      </c>
      <c r="F138" s="10">
        <f>Raw_Data!E138</f>
        <v>0.20031277512000001</v>
      </c>
      <c r="G138" s="10">
        <f>Raw_Data!F138</f>
        <v>0.137424459561</v>
      </c>
      <c r="H138" s="10">
        <f>Raw_Data!G138</f>
        <v>1.0000172022530001</v>
      </c>
      <c r="I138" s="10">
        <f>Raw_Data!H138</f>
        <v>230.78841651532301</v>
      </c>
      <c r="J138" s="5" t="str">
        <f t="shared" si="29"/>
        <v>Cleaner sand</v>
      </c>
      <c r="K138" s="11">
        <f t="shared" si="30"/>
        <v>18.600000000000001</v>
      </c>
      <c r="L138" s="12">
        <f t="shared" si="31"/>
        <v>1.39</v>
      </c>
      <c r="M138" s="12">
        <f t="shared" si="32"/>
        <v>5.07</v>
      </c>
      <c r="N138" s="12">
        <f t="shared" si="33"/>
        <v>13.36</v>
      </c>
      <c r="O138" s="12">
        <f t="shared" si="34"/>
        <v>339.8</v>
      </c>
      <c r="P138" s="5" t="str">
        <f>IF(M138&lt;=Controls!$B$2,"NORMAL",IF(M138&lt;=Controls!$B$3,"CAUTION","BLOCK"))</f>
        <v>NORMAL</v>
      </c>
      <c r="Q138" s="5" t="str">
        <f>IF(P138="BLOCK","Hold",IF(L138&gt;Controls!$B$4,"Hold",IF(P138="CAUTION","Drop",IF(G138&lt;0.25,IF(MOD(ROW(),13)=0,"Turn Left",IF(MOD(ROW(),9)=0,"Turn Right",IF(F138&lt;0.08,"Build","Hold"))),IF(F138&lt;0.08,"Build","Hold")))))</f>
        <v>Hold</v>
      </c>
      <c r="R138" s="12">
        <f>ROUND(MAX(0.35,MIN(0.95,0.92 - 0.06*MAX(0,M138-Controls!$B$2) - 0.05*MAX(0,L138-Controls!$B$4) - 0.01*ABS(C138-50) + 0.04*(1-G138))),2)</f>
        <v>0.83</v>
      </c>
      <c r="S138" s="5" t="str">
        <f>IF(P138="BLOCK","BLOCKED",IF(R138&lt;Controls!$B$7,"REDUCED","ACCEPTED"))</f>
        <v>ACCEPTED</v>
      </c>
      <c r="T138" s="5" t="str">
        <f>IF(P138="BLOCK","LIMIT_EXCEEDED - DLS above "&amp;TEXT(Controls!$B$3,"0.0")&amp;" deg/100ft",IF(P138="CAUTION","DLS above operating limit - reduce aggressiveness",IF(L138&gt;Controls!$B$4,"High vibration - hold trajectory",IF(OR(C138&lt;Controls!$B$5,C138&gt;Controls!$B$6),"WOB outside preferred band","Normal operation"))))</f>
        <v>Normal operation</v>
      </c>
    </row>
    <row r="139" spans="1:20" x14ac:dyDescent="0.3">
      <c r="A139" s="7">
        <f>Raw_Data!A139</f>
        <v>4020</v>
      </c>
      <c r="B139" s="8">
        <f>Raw_Data!B139</f>
        <v>42217.173999999999</v>
      </c>
      <c r="C139" s="9">
        <f t="shared" si="28"/>
        <v>42.217174</v>
      </c>
      <c r="D139" s="9">
        <f>ROUND(Controls!$B$8 + (Raw_Data!C139-Controls!$B$12)/MAX(0.000001,(Controls!$B$13-Controls!$B$12))*(Controls!$B$9-Controls!$B$8),1)</f>
        <v>136.6</v>
      </c>
      <c r="E139" s="9">
        <f>ROUND(Controls!$B$10 + (Raw_Data!D139-Controls!$B$14)/MAX(0.000001,(Controls!$B$15-Controls!$B$14))*(Controls!$B$11-Controls!$B$10),1)</f>
        <v>69.400000000000006</v>
      </c>
      <c r="F139" s="10">
        <f>Raw_Data!E139</f>
        <v>0.20462421761999999</v>
      </c>
      <c r="G139" s="10">
        <f>Raw_Data!F139</f>
        <v>0.13934361706599999</v>
      </c>
      <c r="H139" s="10">
        <f>Raw_Data!G139</f>
        <v>1.0000431862400001</v>
      </c>
      <c r="I139" s="10">
        <f>Raw_Data!H139</f>
        <v>242.06341258811199</v>
      </c>
      <c r="J139" s="5" t="str">
        <f t="shared" si="29"/>
        <v>Cleaner sand</v>
      </c>
      <c r="K139" s="11">
        <f t="shared" si="30"/>
        <v>15.3</v>
      </c>
      <c r="L139" s="12">
        <f t="shared" si="31"/>
        <v>1.23</v>
      </c>
      <c r="M139" s="12">
        <f t="shared" si="32"/>
        <v>4.93</v>
      </c>
      <c r="N139" s="12">
        <f t="shared" si="33"/>
        <v>13.41</v>
      </c>
      <c r="O139" s="12">
        <f t="shared" si="34"/>
        <v>340.3</v>
      </c>
      <c r="P139" s="5" t="str">
        <f>IF(M139&lt;=Controls!$B$2,"NORMAL",IF(M139&lt;=Controls!$B$3,"CAUTION","BLOCK"))</f>
        <v>NORMAL</v>
      </c>
      <c r="Q139" s="5" t="str">
        <f>IF(P139="BLOCK","Hold",IF(L139&gt;Controls!$B$4,"Hold",IF(P139="CAUTION","Drop",IF(G139&lt;0.25,IF(MOD(ROW(),13)=0,"Turn Left",IF(MOD(ROW(),9)=0,"Turn Right",IF(F139&lt;0.08,"Build","Hold"))),IF(F139&lt;0.08,"Build","Hold")))))</f>
        <v>Hold</v>
      </c>
      <c r="R139" s="12">
        <f>ROUND(MAX(0.35,MIN(0.95,0.92 - 0.06*MAX(0,M139-Controls!$B$2) - 0.05*MAX(0,L139-Controls!$B$4) - 0.01*ABS(C139-50) + 0.04*(1-G139))),2)</f>
        <v>0.88</v>
      </c>
      <c r="S139" s="5" t="str">
        <f>IF(P139="BLOCK","BLOCKED",IF(R139&lt;Controls!$B$7,"REDUCED","ACCEPTED"))</f>
        <v>ACCEPTED</v>
      </c>
      <c r="T139" s="5" t="str">
        <f>IF(P139="BLOCK","LIMIT_EXCEEDED - DLS above "&amp;TEXT(Controls!$B$3,"0.0")&amp;" deg/100ft",IF(P139="CAUTION","DLS above operating limit - reduce aggressiveness",IF(L139&gt;Controls!$B$4,"High vibration - hold trajectory",IF(OR(C139&lt;Controls!$B$5,C139&gt;Controls!$B$6),"WOB outside preferred band","Normal operation"))))</f>
        <v>Normal operation</v>
      </c>
    </row>
    <row r="140" spans="1:20" x14ac:dyDescent="0.3">
      <c r="A140" s="7">
        <f>Raw_Data!A140</f>
        <v>4025</v>
      </c>
      <c r="B140" s="8">
        <f>Raw_Data!B140</f>
        <v>31794.46</v>
      </c>
      <c r="C140" s="9">
        <f t="shared" si="28"/>
        <v>31.794460000000001</v>
      </c>
      <c r="D140" s="9">
        <f>ROUND(Controls!$B$8 + (Raw_Data!C140-Controls!$B$12)/MAX(0.000001,(Controls!$B$13-Controls!$B$12))*(Controls!$B$9-Controls!$B$8),1)</f>
        <v>136.6</v>
      </c>
      <c r="E140" s="9">
        <f>ROUND(Controls!$B$10 + (Raw_Data!D140-Controls!$B$14)/MAX(0.000001,(Controls!$B$15-Controls!$B$14))*(Controls!$B$11-Controls!$B$10),1)</f>
        <v>69.5</v>
      </c>
      <c r="F140" s="10">
        <f>Raw_Data!E140</f>
        <v>0.214039681988</v>
      </c>
      <c r="G140" s="10">
        <f>Raw_Data!F140</f>
        <v>0.11357325782200001</v>
      </c>
      <c r="H140" s="10">
        <f>Raw_Data!G140</f>
        <v>0.99999194525599999</v>
      </c>
      <c r="I140" s="10">
        <f>Raw_Data!H140</f>
        <v>490.272980512765</v>
      </c>
      <c r="J140" s="5" t="str">
        <f t="shared" si="29"/>
        <v>Cleaner sand</v>
      </c>
      <c r="K140" s="11">
        <f t="shared" si="30"/>
        <v>13.5</v>
      </c>
      <c r="L140" s="12">
        <f t="shared" si="31"/>
        <v>1.19</v>
      </c>
      <c r="M140" s="12">
        <f t="shared" si="32"/>
        <v>4.82</v>
      </c>
      <c r="N140" s="12">
        <f t="shared" si="33"/>
        <v>13.45</v>
      </c>
      <c r="O140" s="12">
        <f t="shared" si="34"/>
        <v>340.8</v>
      </c>
      <c r="P140" s="5" t="str">
        <f>IF(M140&lt;=Controls!$B$2,"NORMAL",IF(M140&lt;=Controls!$B$3,"CAUTION","BLOCK"))</f>
        <v>NORMAL</v>
      </c>
      <c r="Q140" s="5" t="str">
        <f>IF(P140="BLOCK","Hold",IF(L140&gt;Controls!$B$4,"Hold",IF(P140="CAUTION","Drop",IF(G140&lt;0.25,IF(MOD(ROW(),13)=0,"Turn Left",IF(MOD(ROW(),9)=0,"Turn Right",IF(F140&lt;0.08,"Build","Hold"))),IF(F140&lt;0.08,"Build","Hold")))))</f>
        <v>Hold</v>
      </c>
      <c r="R140" s="12">
        <f>ROUND(MAX(0.35,MIN(0.95,0.92 - 0.06*MAX(0,M140-Controls!$B$2) - 0.05*MAX(0,L140-Controls!$B$4) - 0.01*ABS(C140-50) + 0.04*(1-G140))),2)</f>
        <v>0.77</v>
      </c>
      <c r="S140" s="5" t="str">
        <f>IF(P140="BLOCK","BLOCKED",IF(R140&lt;Controls!$B$7,"REDUCED","ACCEPTED"))</f>
        <v>ACCEPTED</v>
      </c>
      <c r="T140" s="5" t="str">
        <f>IF(P140="BLOCK","LIMIT_EXCEEDED - DLS above "&amp;TEXT(Controls!$B$3,"0.0")&amp;" deg/100ft",IF(P140="CAUTION","DLS above operating limit - reduce aggressiveness",IF(L140&gt;Controls!$B$4,"High vibration - hold trajectory",IF(OR(C140&lt;Controls!$B$5,C140&gt;Controls!$B$6),"WOB outside preferred band","Normal operation"))))</f>
        <v>Normal operation</v>
      </c>
    </row>
    <row r="141" spans="1:20" x14ac:dyDescent="0.3">
      <c r="A141" s="7">
        <f>Raw_Data!A141</f>
        <v>4030</v>
      </c>
      <c r="B141" s="8">
        <f>Raw_Data!B141</f>
        <v>27584.206999999999</v>
      </c>
      <c r="C141" s="9">
        <f t="shared" si="28"/>
        <v>27.584206999999999</v>
      </c>
      <c r="D141" s="9">
        <f>ROUND(Controls!$B$8 + (Raw_Data!C141-Controls!$B$12)/MAX(0.000001,(Controls!$B$13-Controls!$B$12))*(Controls!$B$9-Controls!$B$8),1)</f>
        <v>136.69999999999999</v>
      </c>
      <c r="E141" s="9">
        <f>ROUND(Controls!$B$10 + (Raw_Data!D141-Controls!$B$14)/MAX(0.000001,(Controls!$B$15-Controls!$B$14))*(Controls!$B$11-Controls!$B$10),1)</f>
        <v>69.599999999999994</v>
      </c>
      <c r="F141" s="10">
        <f>Raw_Data!E141</f>
        <v>0.22400036098699999</v>
      </c>
      <c r="G141" s="10">
        <f>Raw_Data!F141</f>
        <v>0.10459185076700001</v>
      </c>
      <c r="H141" s="10">
        <f>Raw_Data!G141</f>
        <v>0.99979601454099998</v>
      </c>
      <c r="I141" s="10">
        <f>Raw_Data!H141</f>
        <v>709.15893477716202</v>
      </c>
      <c r="J141" s="5" t="str">
        <f t="shared" si="29"/>
        <v>Cleaner sand</v>
      </c>
      <c r="K141" s="11">
        <f t="shared" si="30"/>
        <v>12.7</v>
      </c>
      <c r="L141" s="12">
        <f t="shared" si="31"/>
        <v>1.18</v>
      </c>
      <c r="M141" s="12">
        <f t="shared" si="32"/>
        <v>4.78</v>
      </c>
      <c r="N141" s="12">
        <f t="shared" si="33"/>
        <v>13.48</v>
      </c>
      <c r="O141" s="12">
        <f t="shared" si="34"/>
        <v>341.3</v>
      </c>
      <c r="P141" s="5" t="str">
        <f>IF(M141&lt;=Controls!$B$2,"NORMAL",IF(M141&lt;=Controls!$B$3,"CAUTION","BLOCK"))</f>
        <v>NORMAL</v>
      </c>
      <c r="Q141" s="5" t="str">
        <f>IF(P141="BLOCK","Hold",IF(L141&gt;Controls!$B$4,"Hold",IF(P141="CAUTION","Drop",IF(G141&lt;0.25,IF(MOD(ROW(),13)=0,"Turn Left",IF(MOD(ROW(),9)=0,"Turn Right",IF(F141&lt;0.08,"Build","Hold"))),IF(F141&lt;0.08,"Build","Hold")))))</f>
        <v>Hold</v>
      </c>
      <c r="R141" s="12">
        <f>ROUND(MAX(0.35,MIN(0.95,0.92 - 0.06*MAX(0,M141-Controls!$B$2) - 0.05*MAX(0,L141-Controls!$B$4) - 0.01*ABS(C141-50) + 0.04*(1-G141))),2)</f>
        <v>0.73</v>
      </c>
      <c r="S141" s="5" t="str">
        <f>IF(P141="BLOCK","BLOCKED",IF(R141&lt;Controls!$B$7,"REDUCED","ACCEPTED"))</f>
        <v>ACCEPTED</v>
      </c>
      <c r="T141" s="5" t="str">
        <f>IF(P141="BLOCK","LIMIT_EXCEEDED - DLS above "&amp;TEXT(Controls!$B$3,"0.0")&amp;" deg/100ft",IF(P141="CAUTION","DLS above operating limit - reduce aggressiveness",IF(L141&gt;Controls!$B$4,"High vibration - hold trajectory",IF(OR(C141&lt;Controls!$B$5,C141&gt;Controls!$B$6),"WOB outside preferred band","Normal operation"))))</f>
        <v>Normal operation</v>
      </c>
    </row>
    <row r="142" spans="1:20" x14ac:dyDescent="0.3">
      <c r="A142" s="7">
        <f>Raw_Data!A142</f>
        <v>4035</v>
      </c>
      <c r="B142" s="8">
        <f>Raw_Data!B142</f>
        <v>29556.685000000001</v>
      </c>
      <c r="C142" s="9">
        <f t="shared" si="28"/>
        <v>29.556685000000002</v>
      </c>
      <c r="D142" s="9">
        <f>ROUND(Controls!$B$8 + (Raw_Data!C142-Controls!$B$12)/MAX(0.000001,(Controls!$B$13-Controls!$B$12))*(Controls!$B$9-Controls!$B$8),1)</f>
        <v>136.6</v>
      </c>
      <c r="E142" s="9">
        <f>ROUND(Controls!$B$10 + (Raw_Data!D142-Controls!$B$14)/MAX(0.000001,(Controls!$B$15-Controls!$B$14))*(Controls!$B$11-Controls!$B$10),1)</f>
        <v>69.400000000000006</v>
      </c>
      <c r="F142" s="10">
        <f>Raw_Data!E142</f>
        <v>0.23022529961099999</v>
      </c>
      <c r="G142" s="10">
        <f>Raw_Data!F142</f>
        <v>0.113885279475</v>
      </c>
      <c r="H142" s="10">
        <f>Raw_Data!G142</f>
        <v>0.99999999990199995</v>
      </c>
      <c r="I142" s="10">
        <f>Raw_Data!H142</f>
        <v>661.41331733107495</v>
      </c>
      <c r="J142" s="5" t="str">
        <f t="shared" si="29"/>
        <v>Cleaner sand</v>
      </c>
      <c r="K142" s="11">
        <f t="shared" si="30"/>
        <v>13.1</v>
      </c>
      <c r="L142" s="12">
        <f t="shared" si="31"/>
        <v>1.19</v>
      </c>
      <c r="M142" s="12">
        <f t="shared" si="32"/>
        <v>4.82</v>
      </c>
      <c r="N142" s="12">
        <f t="shared" si="33"/>
        <v>13.52</v>
      </c>
      <c r="O142" s="12">
        <f t="shared" si="34"/>
        <v>341.8</v>
      </c>
      <c r="P142" s="5" t="str">
        <f>IF(M142&lt;=Controls!$B$2,"NORMAL",IF(M142&lt;=Controls!$B$3,"CAUTION","BLOCK"))</f>
        <v>NORMAL</v>
      </c>
      <c r="Q142" s="5" t="str">
        <f>IF(P142="BLOCK","Hold",IF(L142&gt;Controls!$B$4,"Hold",IF(P142="CAUTION","Drop",IF(G142&lt;0.25,IF(MOD(ROW(),13)=0,"Turn Left",IF(MOD(ROW(),9)=0,"Turn Right",IF(F142&lt;0.08,"Build","Hold"))),IF(F142&lt;0.08,"Build","Hold")))))</f>
        <v>Hold</v>
      </c>
      <c r="R142" s="12">
        <f>ROUND(MAX(0.35,MIN(0.95,0.92 - 0.06*MAX(0,M142-Controls!$B$2) - 0.05*MAX(0,L142-Controls!$B$4) - 0.01*ABS(C142-50) + 0.04*(1-G142))),2)</f>
        <v>0.75</v>
      </c>
      <c r="S142" s="5" t="str">
        <f>IF(P142="BLOCK","BLOCKED",IF(R142&lt;Controls!$B$7,"REDUCED","ACCEPTED"))</f>
        <v>ACCEPTED</v>
      </c>
      <c r="T142" s="5" t="str">
        <f>IF(P142="BLOCK","LIMIT_EXCEEDED - DLS above "&amp;TEXT(Controls!$B$3,"0.0")&amp;" deg/100ft",IF(P142="CAUTION","DLS above operating limit - reduce aggressiveness",IF(L142&gt;Controls!$B$4,"High vibration - hold trajectory",IF(OR(C142&lt;Controls!$B$5,C142&gt;Controls!$B$6),"WOB outside preferred band","Normal operation"))))</f>
        <v>Normal operation</v>
      </c>
    </row>
    <row r="143" spans="1:20" x14ac:dyDescent="0.3">
      <c r="A143" s="7">
        <f>Raw_Data!A143</f>
        <v>4040</v>
      </c>
      <c r="B143" s="8">
        <f>Raw_Data!B143</f>
        <v>34031.727999999901</v>
      </c>
      <c r="C143" s="9">
        <f t="shared" si="28"/>
        <v>34.031727999999902</v>
      </c>
      <c r="D143" s="9">
        <f>ROUND(Controls!$B$8 + (Raw_Data!C143-Controls!$B$12)/MAX(0.000001,(Controls!$B$13-Controls!$B$12))*(Controls!$B$9-Controls!$B$8),1)</f>
        <v>136.6</v>
      </c>
      <c r="E143" s="9">
        <f>ROUND(Controls!$B$10 + (Raw_Data!D143-Controls!$B$14)/MAX(0.000001,(Controls!$B$15-Controls!$B$14))*(Controls!$B$11-Controls!$B$10),1)</f>
        <v>68.900000000000006</v>
      </c>
      <c r="F143" s="10">
        <f>Raw_Data!E143</f>
        <v>0.153503760973</v>
      </c>
      <c r="G143" s="10">
        <f>Raw_Data!F143</f>
        <v>0.18705676875400001</v>
      </c>
      <c r="H143" s="10">
        <f>Raw_Data!G143</f>
        <v>1.0047286413759999</v>
      </c>
      <c r="I143" s="10">
        <f>Raw_Data!H143</f>
        <v>35.65380065566</v>
      </c>
      <c r="J143" s="5" t="str">
        <f t="shared" si="29"/>
        <v>Cleaner sand</v>
      </c>
      <c r="K143" s="11">
        <f t="shared" si="30"/>
        <v>14.4</v>
      </c>
      <c r="L143" s="12">
        <f t="shared" si="31"/>
        <v>1.3</v>
      </c>
      <c r="M143" s="12">
        <f t="shared" si="32"/>
        <v>5.13</v>
      </c>
      <c r="N143" s="12">
        <f t="shared" si="33"/>
        <v>13.6</v>
      </c>
      <c r="O143" s="12">
        <f t="shared" si="34"/>
        <v>340</v>
      </c>
      <c r="P143" s="5" t="str">
        <f>IF(M143&lt;=Controls!$B$2,"NORMAL",IF(M143&lt;=Controls!$B$3,"CAUTION","BLOCK"))</f>
        <v>NORMAL</v>
      </c>
      <c r="Q143" s="5" t="str">
        <f>IF(P143="BLOCK","Hold",IF(L143&gt;Controls!$B$4,"Hold",IF(P143="CAUTION","Drop",IF(G143&lt;0.25,IF(MOD(ROW(),13)=0,"Turn Left",IF(MOD(ROW(),9)=0,"Turn Right",IF(F143&lt;0.08,"Build","Hold"))),IF(F143&lt;0.08,"Build","Hold")))))</f>
        <v>Turn Left</v>
      </c>
      <c r="R143" s="12">
        <f>ROUND(MAX(0.35,MIN(0.95,0.92 - 0.06*MAX(0,M143-Controls!$B$2) - 0.05*MAX(0,L143-Controls!$B$4) - 0.01*ABS(C143-50) + 0.04*(1-G143))),2)</f>
        <v>0.79</v>
      </c>
      <c r="S143" s="5" t="str">
        <f>IF(P143="BLOCK","BLOCKED",IF(R143&lt;Controls!$B$7,"REDUCED","ACCEPTED"))</f>
        <v>ACCEPTED</v>
      </c>
      <c r="T143" s="5" t="str">
        <f>IF(P143="BLOCK","LIMIT_EXCEEDED - DLS above "&amp;TEXT(Controls!$B$3,"0.0")&amp;" deg/100ft",IF(P143="CAUTION","DLS above operating limit - reduce aggressiveness",IF(L143&gt;Controls!$B$4,"High vibration - hold trajectory",IF(OR(C143&lt;Controls!$B$5,C143&gt;Controls!$B$6),"WOB outside preferred band","Normal operation"))))</f>
        <v>Normal operation</v>
      </c>
    </row>
    <row r="144" spans="1:20" x14ac:dyDescent="0.3">
      <c r="A144" s="7">
        <f>Raw_Data!A144</f>
        <v>4045</v>
      </c>
      <c r="B144" s="8">
        <f>Raw_Data!B144</f>
        <v>42810.41</v>
      </c>
      <c r="C144" s="9">
        <f t="shared" si="28"/>
        <v>42.810410000000005</v>
      </c>
      <c r="D144" s="9">
        <f>ROUND(Controls!$B$8 + (Raw_Data!C144-Controls!$B$12)/MAX(0.000001,(Controls!$B$13-Controls!$B$12))*(Controls!$B$9-Controls!$B$8),1)</f>
        <v>136.5</v>
      </c>
      <c r="E144" s="9">
        <f>ROUND(Controls!$B$10 + (Raw_Data!D144-Controls!$B$14)/MAX(0.000001,(Controls!$B$15-Controls!$B$14))*(Controls!$B$11-Controls!$B$10),1)</f>
        <v>67.400000000000006</v>
      </c>
      <c r="F144" s="10">
        <f>Raw_Data!E144</f>
        <v>0.17402062191600001</v>
      </c>
      <c r="G144" s="10">
        <f>Raw_Data!F144</f>
        <v>0.253722647227</v>
      </c>
      <c r="H144" s="10">
        <f>Raw_Data!G144</f>
        <v>0.99215515092200002</v>
      </c>
      <c r="I144" s="10">
        <f>Raw_Data!H144</f>
        <v>12.817196626396999</v>
      </c>
      <c r="J144" s="5" t="str">
        <f t="shared" si="29"/>
        <v>Transition</v>
      </c>
      <c r="K144" s="11">
        <f t="shared" si="30"/>
        <v>16.3</v>
      </c>
      <c r="L144" s="12">
        <f t="shared" si="31"/>
        <v>1.39</v>
      </c>
      <c r="M144" s="12">
        <f t="shared" si="32"/>
        <v>5.4</v>
      </c>
      <c r="N144" s="12">
        <f t="shared" si="33"/>
        <v>13.71</v>
      </c>
      <c r="O144" s="12">
        <f t="shared" si="34"/>
        <v>340.5</v>
      </c>
      <c r="P144" s="5" t="str">
        <f>IF(M144&lt;=Controls!$B$2,"NORMAL",IF(M144&lt;=Controls!$B$3,"CAUTION","BLOCK"))</f>
        <v>NORMAL</v>
      </c>
      <c r="Q144" s="5" t="str">
        <f>IF(P144="BLOCK","Hold",IF(L144&gt;Controls!$B$4,"Hold",IF(P144="CAUTION","Drop",IF(G144&lt;0.25,IF(MOD(ROW(),13)=0,"Turn Left",IF(MOD(ROW(),9)=0,"Turn Right",IF(F144&lt;0.08,"Build","Hold"))),IF(F144&lt;0.08,"Build","Hold")))))</f>
        <v>Hold</v>
      </c>
      <c r="R144" s="12">
        <f>ROUND(MAX(0.35,MIN(0.95,0.92 - 0.06*MAX(0,M144-Controls!$B$2) - 0.05*MAX(0,L144-Controls!$B$4) - 0.01*ABS(C144-50) + 0.04*(1-G144))),2)</f>
        <v>0.88</v>
      </c>
      <c r="S144" s="5" t="str">
        <f>IF(P144="BLOCK","BLOCKED",IF(R144&lt;Controls!$B$7,"REDUCED","ACCEPTED"))</f>
        <v>ACCEPTED</v>
      </c>
      <c r="T144" s="5" t="str">
        <f>IF(P144="BLOCK","LIMIT_EXCEEDED - DLS above "&amp;TEXT(Controls!$B$3,"0.0")&amp;" deg/100ft",IF(P144="CAUTION","DLS above operating limit - reduce aggressiveness",IF(L144&gt;Controls!$B$4,"High vibration - hold trajectory",IF(OR(C144&lt;Controls!$B$5,C144&gt;Controls!$B$6),"WOB outside preferred band","Normal operation"))))</f>
        <v>Normal operation</v>
      </c>
    </row>
    <row r="145" spans="1:20" x14ac:dyDescent="0.3">
      <c r="A145" s="7">
        <f>Raw_Data!A145</f>
        <v>4050</v>
      </c>
      <c r="B145" s="8">
        <f>Raw_Data!B145</f>
        <v>48561.64</v>
      </c>
      <c r="C145" s="9">
        <f t="shared" si="28"/>
        <v>48.561639999999997</v>
      </c>
      <c r="D145" s="9">
        <f>ROUND(Controls!$B$8 + (Raw_Data!C145-Controls!$B$12)/MAX(0.000001,(Controls!$B$13-Controls!$B$12))*(Controls!$B$9-Controls!$B$8),1)</f>
        <v>135.19999999999999</v>
      </c>
      <c r="E145" s="9">
        <f>ROUND(Controls!$B$10 + (Raw_Data!D145-Controls!$B$14)/MAX(0.000001,(Controls!$B$15-Controls!$B$14))*(Controls!$B$11-Controls!$B$10),1)</f>
        <v>64.900000000000006</v>
      </c>
      <c r="F145" s="10">
        <f>Raw_Data!E145</f>
        <v>0.210908789431</v>
      </c>
      <c r="G145" s="10">
        <f>Raw_Data!F145</f>
        <v>0.16089676749199999</v>
      </c>
      <c r="H145" s="10">
        <f>Raw_Data!G145</f>
        <v>1.0000000049469999</v>
      </c>
      <c r="I145" s="10">
        <f>Raw_Data!H145</f>
        <v>164.66167768883199</v>
      </c>
      <c r="J145" s="5" t="str">
        <f t="shared" si="29"/>
        <v>Cleaner sand</v>
      </c>
      <c r="K145" s="11">
        <f t="shared" si="30"/>
        <v>16.5</v>
      </c>
      <c r="L145" s="12">
        <f t="shared" si="31"/>
        <v>1.23</v>
      </c>
      <c r="M145" s="12">
        <f t="shared" si="32"/>
        <v>4.9800000000000004</v>
      </c>
      <c r="N145" s="12">
        <f t="shared" si="33"/>
        <v>13.77</v>
      </c>
      <c r="O145" s="12">
        <f t="shared" si="34"/>
        <v>341</v>
      </c>
      <c r="P145" s="5" t="str">
        <f>IF(M145&lt;=Controls!$B$2,"NORMAL",IF(M145&lt;=Controls!$B$3,"CAUTION","BLOCK"))</f>
        <v>NORMAL</v>
      </c>
      <c r="Q145" s="5" t="str">
        <f>IF(P145="BLOCK","Hold",IF(L145&gt;Controls!$B$4,"Hold",IF(P145="CAUTION","Drop",IF(G145&lt;0.25,IF(MOD(ROW(),13)=0,"Turn Left",IF(MOD(ROW(),9)=0,"Turn Right",IF(F145&lt;0.08,"Build","Hold"))),IF(F145&lt;0.08,"Build","Hold")))))</f>
        <v>Hold</v>
      </c>
      <c r="R145" s="12">
        <f>ROUND(MAX(0.35,MIN(0.95,0.92 - 0.06*MAX(0,M145-Controls!$B$2) - 0.05*MAX(0,L145-Controls!$B$4) - 0.01*ABS(C145-50) + 0.04*(1-G145))),2)</f>
        <v>0.94</v>
      </c>
      <c r="S145" s="5" t="str">
        <f>IF(P145="BLOCK","BLOCKED",IF(R145&lt;Controls!$B$7,"REDUCED","ACCEPTED"))</f>
        <v>ACCEPTED</v>
      </c>
      <c r="T145" s="5" t="str">
        <f>IF(P145="BLOCK","LIMIT_EXCEEDED - DLS above "&amp;TEXT(Controls!$B$3,"0.0")&amp;" deg/100ft",IF(P145="CAUTION","DLS above operating limit - reduce aggressiveness",IF(L145&gt;Controls!$B$4,"High vibration - hold trajectory",IF(OR(C145&lt;Controls!$B$5,C145&gt;Controls!$B$6),"WOB outside preferred band","Normal operation"))))</f>
        <v>Normal operation</v>
      </c>
    </row>
    <row r="146" spans="1:20" x14ac:dyDescent="0.3">
      <c r="A146" s="7">
        <f>Raw_Data!A146</f>
        <v>4055</v>
      </c>
      <c r="B146" s="8">
        <f>Raw_Data!B146</f>
        <v>48997.73</v>
      </c>
      <c r="C146" s="9">
        <f t="shared" si="28"/>
        <v>48.997730000000004</v>
      </c>
      <c r="D146" s="9">
        <f>ROUND(Controls!$B$8 + (Raw_Data!C146-Controls!$B$12)/MAX(0.000001,(Controls!$B$13-Controls!$B$12))*(Controls!$B$9-Controls!$B$8),1)</f>
        <v>135.5</v>
      </c>
      <c r="E146" s="9">
        <f>ROUND(Controls!$B$10 + (Raw_Data!D146-Controls!$B$14)/MAX(0.000001,(Controls!$B$15-Controls!$B$14))*(Controls!$B$11-Controls!$B$10),1)</f>
        <v>65.3</v>
      </c>
      <c r="F146" s="10">
        <f>Raw_Data!E146</f>
        <v>0.22853542033800001</v>
      </c>
      <c r="G146" s="10">
        <f>Raw_Data!F146</f>
        <v>0.23981851907400001</v>
      </c>
      <c r="H146" s="10">
        <f>Raw_Data!G146</f>
        <v>1</v>
      </c>
      <c r="I146" s="10">
        <f>Raw_Data!H146</f>
        <v>46.740324971875999</v>
      </c>
      <c r="J146" s="5" t="str">
        <f t="shared" si="29"/>
        <v>Cleaner sand</v>
      </c>
      <c r="K146" s="11">
        <f t="shared" si="30"/>
        <v>17.100000000000001</v>
      </c>
      <c r="L146" s="12">
        <f t="shared" si="31"/>
        <v>1.35</v>
      </c>
      <c r="M146" s="12">
        <f t="shared" si="32"/>
        <v>5.31</v>
      </c>
      <c r="N146" s="12">
        <f t="shared" si="33"/>
        <v>13.87</v>
      </c>
      <c r="O146" s="12">
        <f t="shared" si="34"/>
        <v>341.5</v>
      </c>
      <c r="P146" s="5" t="str">
        <f>IF(M146&lt;=Controls!$B$2,"NORMAL",IF(M146&lt;=Controls!$B$3,"CAUTION","BLOCK"))</f>
        <v>NORMAL</v>
      </c>
      <c r="Q146" s="5" t="str">
        <f>IF(P146="BLOCK","Hold",IF(L146&gt;Controls!$B$4,"Hold",IF(P146="CAUTION","Drop",IF(G146&lt;0.25,IF(MOD(ROW(),13)=0,"Turn Left",IF(MOD(ROW(),9)=0,"Turn Right",IF(F146&lt;0.08,"Build","Hold"))),IF(F146&lt;0.08,"Build","Hold")))))</f>
        <v>Hold</v>
      </c>
      <c r="R146" s="12">
        <f>ROUND(MAX(0.35,MIN(0.95,0.92 - 0.06*MAX(0,M146-Controls!$B$2) - 0.05*MAX(0,L146-Controls!$B$4) - 0.01*ABS(C146-50) + 0.04*(1-G146))),2)</f>
        <v>0.94</v>
      </c>
      <c r="S146" s="5" t="str">
        <f>IF(P146="BLOCK","BLOCKED",IF(R146&lt;Controls!$B$7,"REDUCED","ACCEPTED"))</f>
        <v>ACCEPTED</v>
      </c>
      <c r="T146" s="5" t="str">
        <f>IF(P146="BLOCK","LIMIT_EXCEEDED - DLS above "&amp;TEXT(Controls!$B$3,"0.0")&amp;" deg/100ft",IF(P146="CAUTION","DLS above operating limit - reduce aggressiveness",IF(L146&gt;Controls!$B$4,"High vibration - hold trajectory",IF(OR(C146&lt;Controls!$B$5,C146&gt;Controls!$B$6),"WOB outside preferred band","Normal operation"))))</f>
        <v>Normal operation</v>
      </c>
    </row>
    <row r="147" spans="1:20" x14ac:dyDescent="0.3">
      <c r="A147" s="7">
        <f>Raw_Data!A147</f>
        <v>4060</v>
      </c>
      <c r="B147" s="8">
        <f>Raw_Data!B147</f>
        <v>54226.758999999998</v>
      </c>
      <c r="C147" s="9">
        <f t="shared" si="28"/>
        <v>54.226759000000001</v>
      </c>
      <c r="D147" s="9">
        <f>ROUND(Controls!$B$8 + (Raw_Data!C147-Controls!$B$12)/MAX(0.000001,(Controls!$B$13-Controls!$B$12))*(Controls!$B$9-Controls!$B$8),1)</f>
        <v>136.4</v>
      </c>
      <c r="E147" s="9">
        <f>ROUND(Controls!$B$10 + (Raw_Data!D147-Controls!$B$14)/MAX(0.000001,(Controls!$B$15-Controls!$B$14))*(Controls!$B$11-Controls!$B$10),1)</f>
        <v>69.5</v>
      </c>
      <c r="F147" s="10">
        <f>Raw_Data!E147</f>
        <v>0.156014219206</v>
      </c>
      <c r="G147" s="10">
        <f>Raw_Data!F147</f>
        <v>0.25840014311100001</v>
      </c>
      <c r="H147" s="10">
        <f>Raw_Data!G147</f>
        <v>1</v>
      </c>
      <c r="I147" s="10">
        <f>Raw_Data!H147</f>
        <v>7.762621677646</v>
      </c>
      <c r="J147" s="5" t="str">
        <f t="shared" si="29"/>
        <v>Transition</v>
      </c>
      <c r="K147" s="11">
        <f t="shared" si="30"/>
        <v>18.2</v>
      </c>
      <c r="L147" s="12">
        <f t="shared" si="31"/>
        <v>1.39</v>
      </c>
      <c r="M147" s="12">
        <f t="shared" si="32"/>
        <v>5.41</v>
      </c>
      <c r="N147" s="12">
        <f t="shared" si="33"/>
        <v>13.98</v>
      </c>
      <c r="O147" s="12">
        <f t="shared" si="34"/>
        <v>342</v>
      </c>
      <c r="P147" s="5" t="str">
        <f>IF(M147&lt;=Controls!$B$2,"NORMAL",IF(M147&lt;=Controls!$B$3,"CAUTION","BLOCK"))</f>
        <v>NORMAL</v>
      </c>
      <c r="Q147" s="5" t="str">
        <f>IF(P147="BLOCK","Hold",IF(L147&gt;Controls!$B$4,"Hold",IF(P147="CAUTION","Drop",IF(G147&lt;0.25,IF(MOD(ROW(),13)=0,"Turn Left",IF(MOD(ROW(),9)=0,"Turn Right",IF(F147&lt;0.08,"Build","Hold"))),IF(F147&lt;0.08,"Build","Hold")))))</f>
        <v>Hold</v>
      </c>
      <c r="R147" s="12">
        <f>ROUND(MAX(0.35,MIN(0.95,0.92 - 0.06*MAX(0,M147-Controls!$B$2) - 0.05*MAX(0,L147-Controls!$B$4) - 0.01*ABS(C147-50) + 0.04*(1-G147))),2)</f>
        <v>0.91</v>
      </c>
      <c r="S147" s="5" t="str">
        <f>IF(P147="BLOCK","BLOCKED",IF(R147&lt;Controls!$B$7,"REDUCED","ACCEPTED"))</f>
        <v>ACCEPTED</v>
      </c>
      <c r="T147" s="5" t="str">
        <f>IF(P147="BLOCK","LIMIT_EXCEEDED - DLS above "&amp;TEXT(Controls!$B$3,"0.0")&amp;" deg/100ft",IF(P147="CAUTION","DLS above operating limit - reduce aggressiveness",IF(L147&gt;Controls!$B$4,"High vibration - hold trajectory",IF(OR(C147&lt;Controls!$B$5,C147&gt;Controls!$B$6),"WOB outside preferred band","Normal operation"))))</f>
        <v>Normal operation</v>
      </c>
    </row>
    <row r="148" spans="1:20" x14ac:dyDescent="0.3">
      <c r="A148" s="7">
        <f>Raw_Data!A148</f>
        <v>4065</v>
      </c>
      <c r="B148" s="8">
        <f>Raw_Data!B148</f>
        <v>71081.751999999993</v>
      </c>
      <c r="C148" s="9">
        <f t="shared" si="28"/>
        <v>71.081751999999994</v>
      </c>
      <c r="D148" s="9">
        <f>ROUND(Controls!$B$8 + (Raw_Data!C148-Controls!$B$12)/MAX(0.000001,(Controls!$B$13-Controls!$B$12))*(Controls!$B$9-Controls!$B$8),1)</f>
        <v>143.6</v>
      </c>
      <c r="E148" s="9">
        <f>ROUND(Controls!$B$10 + (Raw_Data!D148-Controls!$B$14)/MAX(0.000001,(Controls!$B$15-Controls!$B$14))*(Controls!$B$11-Controls!$B$10),1)</f>
        <v>69.5</v>
      </c>
      <c r="F148" s="10">
        <f>Raw_Data!E148</f>
        <v>8.7738425288999999E-2</v>
      </c>
      <c r="G148" s="10">
        <f>Raw_Data!F148</f>
        <v>0.29158569139000001</v>
      </c>
      <c r="H148" s="10">
        <f>Raw_Data!G148</f>
        <v>1</v>
      </c>
      <c r="I148" s="10">
        <f>Raw_Data!H148</f>
        <v>0.16292465510500001</v>
      </c>
      <c r="J148" s="5" t="str">
        <f t="shared" si="29"/>
        <v>Transition</v>
      </c>
      <c r="K148" s="11">
        <f t="shared" si="30"/>
        <v>21.2</v>
      </c>
      <c r="L148" s="12">
        <f t="shared" si="31"/>
        <v>1.92</v>
      </c>
      <c r="M148" s="12">
        <f t="shared" si="32"/>
        <v>6.22</v>
      </c>
      <c r="N148" s="12">
        <f t="shared" si="33"/>
        <v>14.19</v>
      </c>
      <c r="O148" s="12">
        <f t="shared" si="34"/>
        <v>342.5</v>
      </c>
      <c r="P148" s="5" t="str">
        <f>IF(M148&lt;=Controls!$B$2,"NORMAL",IF(M148&lt;=Controls!$B$3,"CAUTION","BLOCK"))</f>
        <v>CAUTION</v>
      </c>
      <c r="Q148" s="5" t="str">
        <f>IF(P148="BLOCK","Hold",IF(L148&gt;Controls!$B$4,"Hold",IF(P148="CAUTION","Drop",IF(G148&lt;0.25,IF(MOD(ROW(),13)=0,"Turn Left",IF(MOD(ROW(),9)=0,"Turn Right",IF(F148&lt;0.08,"Build","Hold"))),IF(F148&lt;0.08,"Build","Hold")))))</f>
        <v>Drop</v>
      </c>
      <c r="R148" s="12">
        <f>ROUND(MAX(0.35,MIN(0.95,0.92 - 0.06*MAX(0,M148-Controls!$B$2) - 0.05*MAX(0,L148-Controls!$B$4) - 0.01*ABS(C148-50) + 0.04*(1-G148))),2)</f>
        <v>0.72</v>
      </c>
      <c r="S148" s="5" t="str">
        <f>IF(P148="BLOCK","BLOCKED",IF(R148&lt;Controls!$B$7,"REDUCED","ACCEPTED"))</f>
        <v>ACCEPTED</v>
      </c>
      <c r="T148" s="5" t="str">
        <f>IF(P148="BLOCK","LIMIT_EXCEEDED - DLS above "&amp;TEXT(Controls!$B$3,"0.0")&amp;" deg/100ft",IF(P148="CAUTION","DLS above operating limit - reduce aggressiveness",IF(L148&gt;Controls!$B$4,"High vibration - hold trajectory",IF(OR(C148&lt;Controls!$B$5,C148&gt;Controls!$B$6),"WOB outside preferred band","Normal operation"))))</f>
        <v>DLS above operating limit - reduce aggressiveness</v>
      </c>
    </row>
    <row r="149" spans="1:20" x14ac:dyDescent="0.3">
      <c r="A149" s="7">
        <f>Raw_Data!A149</f>
        <v>4070</v>
      </c>
      <c r="B149" s="8">
        <f>Raw_Data!B149</f>
        <v>72756.625999999902</v>
      </c>
      <c r="C149" s="9">
        <f t="shared" si="28"/>
        <v>72.756625999999898</v>
      </c>
      <c r="D149" s="9">
        <f>ROUND(Controls!$B$8 + (Raw_Data!C149-Controls!$B$12)/MAX(0.000001,(Controls!$B$13-Controls!$B$12))*(Controls!$B$9-Controls!$B$8),1)</f>
        <v>159.19999999999999</v>
      </c>
      <c r="E149" s="9">
        <f>ROUND(Controls!$B$10 + (Raw_Data!D149-Controls!$B$14)/MAX(0.000001,(Controls!$B$15-Controls!$B$14))*(Controls!$B$11-Controls!$B$10),1)</f>
        <v>69.599999999999994</v>
      </c>
      <c r="F149" s="10">
        <f>Raw_Data!E149</f>
        <v>1.9423712523E-2</v>
      </c>
      <c r="G149" s="10">
        <f>Raw_Data!F149</f>
        <v>0.50317481273099995</v>
      </c>
      <c r="H149" s="10">
        <f>Raw_Data!G149</f>
        <v>1.0000000223209999</v>
      </c>
      <c r="I149" s="10">
        <f>Raw_Data!H149</f>
        <v>-1.1240698119999999E-3</v>
      </c>
      <c r="J149" s="5" t="str">
        <f t="shared" si="29"/>
        <v>Shale-prone</v>
      </c>
      <c r="K149" s="11">
        <f t="shared" si="30"/>
        <v>23.1</v>
      </c>
      <c r="L149" s="12">
        <f t="shared" si="31"/>
        <v>2.6</v>
      </c>
      <c r="M149" s="12">
        <f t="shared" si="32"/>
        <v>7.62</v>
      </c>
      <c r="N149" s="12">
        <f t="shared" si="33"/>
        <v>14.56</v>
      </c>
      <c r="O149" s="12">
        <f t="shared" si="34"/>
        <v>343</v>
      </c>
      <c r="P149" s="5" t="str">
        <f>IF(M149&lt;=Controls!$B$2,"NORMAL",IF(M149&lt;=Controls!$B$3,"CAUTION","BLOCK"))</f>
        <v>CAUTION</v>
      </c>
      <c r="Q149" s="5" t="str">
        <f>IF(P149="BLOCK","Hold",IF(L149&gt;Controls!$B$4,"Hold",IF(P149="CAUTION","Drop",IF(G149&lt;0.25,IF(MOD(ROW(),13)=0,"Turn Left",IF(MOD(ROW(),9)=0,"Turn Right",IF(F149&lt;0.08,"Build","Hold"))),IF(F149&lt;0.08,"Build","Hold")))))</f>
        <v>Drop</v>
      </c>
      <c r="R149" s="12">
        <f>ROUND(MAX(0.35,MIN(0.95,0.92 - 0.06*MAX(0,M149-Controls!$B$2) - 0.05*MAX(0,L149-Controls!$B$4) - 0.01*ABS(C149-50) + 0.04*(1-G149))),2)</f>
        <v>0.62</v>
      </c>
      <c r="S149" s="5" t="str">
        <f>IF(P149="BLOCK","BLOCKED",IF(R149&lt;Controls!$B$7,"REDUCED","ACCEPTED"))</f>
        <v>ACCEPTED</v>
      </c>
      <c r="T149" s="5" t="str">
        <f>IF(P149="BLOCK","LIMIT_EXCEEDED - DLS above "&amp;TEXT(Controls!$B$3,"0.0")&amp;" deg/100ft",IF(P149="CAUTION","DLS above operating limit - reduce aggressiveness",IF(L149&gt;Controls!$B$4,"High vibration - hold trajectory",IF(OR(C149&lt;Controls!$B$5,C149&gt;Controls!$B$6),"WOB outside preferred band","Normal operation"))))</f>
        <v>DLS above operating limit - reduce aggressiveness</v>
      </c>
    </row>
    <row r="150" spans="1:20" x14ac:dyDescent="0.3">
      <c r="A150" s="7">
        <f>Raw_Data!A150</f>
        <v>4075</v>
      </c>
      <c r="B150" s="8">
        <f>Raw_Data!B150</f>
        <v>83526.789000000004</v>
      </c>
      <c r="C150" s="9">
        <f t="shared" si="28"/>
        <v>83.526789000000008</v>
      </c>
      <c r="D150" s="9">
        <f>ROUND(Controls!$B$8 + (Raw_Data!C150-Controls!$B$12)/MAX(0.000001,(Controls!$B$13-Controls!$B$12))*(Controls!$B$9-Controls!$B$8),1)</f>
        <v>159.19999999999999</v>
      </c>
      <c r="E150" s="9">
        <f>ROUND(Controls!$B$10 + (Raw_Data!D150-Controls!$B$14)/MAX(0.000001,(Controls!$B$15-Controls!$B$14))*(Controls!$B$11-Controls!$B$10),1)</f>
        <v>69.400000000000006</v>
      </c>
      <c r="F150" s="10">
        <f>Raw_Data!E150</f>
        <v>5.4682587226000001E-2</v>
      </c>
      <c r="G150" s="10">
        <f>Raw_Data!F150</f>
        <v>0.68964006743899997</v>
      </c>
      <c r="H150" s="10">
        <f>Raw_Data!G150</f>
        <v>1.000097983836</v>
      </c>
      <c r="I150" s="10">
        <f>Raw_Data!H150</f>
        <v>2.26149794E-3</v>
      </c>
      <c r="J150" s="5" t="str">
        <f t="shared" si="29"/>
        <v>Shale-prone</v>
      </c>
      <c r="K150" s="11">
        <f t="shared" si="30"/>
        <v>26.1</v>
      </c>
      <c r="L150" s="12">
        <f t="shared" si="31"/>
        <v>3.07</v>
      </c>
      <c r="M150" s="12">
        <f t="shared" si="32"/>
        <v>8.8000000000000007</v>
      </c>
      <c r="N150" s="12">
        <f t="shared" si="33"/>
        <v>15.08</v>
      </c>
      <c r="O150" s="12">
        <f t="shared" si="34"/>
        <v>343.5</v>
      </c>
      <c r="P150" s="5" t="str">
        <f>IF(M150&lt;=Controls!$B$2,"NORMAL",IF(M150&lt;=Controls!$B$3,"CAUTION","BLOCK"))</f>
        <v>BLOCK</v>
      </c>
      <c r="Q150" s="5" t="str">
        <f>IF(P150="BLOCK","Hold",IF(L150&gt;Controls!$B$4,"Hold",IF(P150="CAUTION","Drop",IF(G150&lt;0.25,IF(MOD(ROW(),13)=0,"Turn Left",IF(MOD(ROW(),9)=0,"Turn Right",IF(F150&lt;0.08,"Build","Hold"))),IF(F150&lt;0.08,"Build","Hold")))))</f>
        <v>Hold</v>
      </c>
      <c r="R150" s="12">
        <f>ROUND(MAX(0.35,MIN(0.95,0.92 - 0.06*MAX(0,M150-Controls!$B$2) - 0.05*MAX(0,L150-Controls!$B$4) - 0.01*ABS(C150-50) + 0.04*(1-G150))),2)</f>
        <v>0.43</v>
      </c>
      <c r="S150" s="5" t="str">
        <f>IF(P150="BLOCK","BLOCKED",IF(R150&lt;Controls!$B$7,"REDUCED","ACCEPTED"))</f>
        <v>BLOCKED</v>
      </c>
      <c r="T150" s="5" t="str">
        <f>IF(P150="BLOCK","LIMIT_EXCEEDED - DLS above "&amp;TEXT(Controls!$B$3,"0.0")&amp;" deg/100ft",IF(P150="CAUTION","DLS above operating limit - reduce aggressiveness",IF(L150&gt;Controls!$B$4,"High vibration - hold trajectory",IF(OR(C150&lt;Controls!$B$5,C150&gt;Controls!$B$6),"WOB outside preferred band","Normal operation"))))</f>
        <v>LIMIT_EXCEEDED - DLS above 8.0 deg/100ft</v>
      </c>
    </row>
    <row r="151" spans="1:20" x14ac:dyDescent="0.3">
      <c r="A151" s="7">
        <f>Raw_Data!A151</f>
        <v>4080</v>
      </c>
      <c r="B151" s="8">
        <f>Raw_Data!B151</f>
        <v>84496.548999999999</v>
      </c>
      <c r="C151" s="9">
        <f t="shared" si="28"/>
        <v>84.496549000000002</v>
      </c>
      <c r="D151" s="9">
        <f>ROUND(Controls!$B$8 + (Raw_Data!C151-Controls!$B$12)/MAX(0.000001,(Controls!$B$13-Controls!$B$12))*(Controls!$B$9-Controls!$B$8),1)</f>
        <v>159.30000000000001</v>
      </c>
      <c r="E151" s="9">
        <f>ROUND(Controls!$B$10 + (Raw_Data!D151-Controls!$B$14)/MAX(0.000001,(Controls!$B$15-Controls!$B$14))*(Controls!$B$11-Controls!$B$10),1)</f>
        <v>66.7</v>
      </c>
      <c r="F151" s="10">
        <f>Raw_Data!E151</f>
        <v>2.2856999999999999E-2</v>
      </c>
      <c r="G151" s="10">
        <f>Raw_Data!F151</f>
        <v>0.64010001464400001</v>
      </c>
      <c r="H151" s="10">
        <f>Raw_Data!G151</f>
        <v>1</v>
      </c>
      <c r="I151" s="10">
        <f>Raw_Data!H151</f>
        <v>1E-3</v>
      </c>
      <c r="J151" s="5" t="str">
        <f t="shared" si="29"/>
        <v>Shale-prone</v>
      </c>
      <c r="K151" s="11">
        <f t="shared" si="30"/>
        <v>26</v>
      </c>
      <c r="L151" s="12">
        <f t="shared" si="31"/>
        <v>3.03</v>
      </c>
      <c r="M151" s="12">
        <f t="shared" si="32"/>
        <v>8.64</v>
      </c>
      <c r="N151" s="12">
        <f t="shared" si="33"/>
        <v>15.58</v>
      </c>
      <c r="O151" s="12">
        <f t="shared" si="34"/>
        <v>344</v>
      </c>
      <c r="P151" s="5" t="str">
        <f>IF(M151&lt;=Controls!$B$2,"NORMAL",IF(M151&lt;=Controls!$B$3,"CAUTION","BLOCK"))</f>
        <v>BLOCK</v>
      </c>
      <c r="Q151" s="5" t="str">
        <f>IF(P151="BLOCK","Hold",IF(L151&gt;Controls!$B$4,"Hold",IF(P151="CAUTION","Drop",IF(G151&lt;0.25,IF(MOD(ROW(),13)=0,"Turn Left",IF(MOD(ROW(),9)=0,"Turn Right",IF(F151&lt;0.08,"Build","Hold"))),IF(F151&lt;0.08,"Build","Hold")))))</f>
        <v>Hold</v>
      </c>
      <c r="R151" s="12">
        <f>ROUND(MAX(0.35,MIN(0.95,0.92 - 0.06*MAX(0,M151-Controls!$B$2) - 0.05*MAX(0,L151-Controls!$B$4) - 0.01*ABS(C151-50) + 0.04*(1-G151))),2)</f>
        <v>0.43</v>
      </c>
      <c r="S151" s="5" t="str">
        <f>IF(P151="BLOCK","BLOCKED",IF(R151&lt;Controls!$B$7,"REDUCED","ACCEPTED"))</f>
        <v>BLOCKED</v>
      </c>
      <c r="T151" s="5" t="str">
        <f>IF(P151="BLOCK","LIMIT_EXCEEDED - DLS above "&amp;TEXT(Controls!$B$3,"0.0")&amp;" deg/100ft",IF(P151="CAUTION","DLS above operating limit - reduce aggressiveness",IF(L151&gt;Controls!$B$4,"High vibration - hold trajectory",IF(OR(C151&lt;Controls!$B$5,C151&gt;Controls!$B$6),"WOB outside preferred band","Normal operation"))))</f>
        <v>LIMIT_EXCEEDED - DLS above 8.0 deg/100ft</v>
      </c>
    </row>
    <row r="152" spans="1:20" x14ac:dyDescent="0.3">
      <c r="A152" s="7">
        <f>Raw_Data!A152</f>
        <v>4085</v>
      </c>
      <c r="B152" s="8">
        <f>Raw_Data!B152</f>
        <v>86658.558999999994</v>
      </c>
      <c r="C152" s="9">
        <f t="shared" si="28"/>
        <v>86.658558999999997</v>
      </c>
      <c r="D152" s="9">
        <f>ROUND(Controls!$B$8 + (Raw_Data!C152-Controls!$B$12)/MAX(0.000001,(Controls!$B$13-Controls!$B$12))*(Controls!$B$9-Controls!$B$8),1)</f>
        <v>159.1</v>
      </c>
      <c r="E152" s="9">
        <f>ROUND(Controls!$B$10 + (Raw_Data!D152-Controls!$B$14)/MAX(0.000001,(Controls!$B$15-Controls!$B$14))*(Controls!$B$11-Controls!$B$10),1)</f>
        <v>67.2</v>
      </c>
      <c r="F152" s="10">
        <f>Raw_Data!E152</f>
        <v>2.2856999999999999E-2</v>
      </c>
      <c r="G152" s="10">
        <f>Raw_Data!F152</f>
        <v>0.6401</v>
      </c>
      <c r="H152" s="10">
        <f>Raw_Data!G152</f>
        <v>1</v>
      </c>
      <c r="I152" s="10">
        <f>Raw_Data!H152</f>
        <v>1E-3</v>
      </c>
      <c r="J152" s="5" t="str">
        <f t="shared" si="29"/>
        <v>Shale-prone</v>
      </c>
      <c r="K152" s="11">
        <f t="shared" si="30"/>
        <v>26.3</v>
      </c>
      <c r="L152" s="12">
        <f t="shared" si="31"/>
        <v>3.06</v>
      </c>
      <c r="M152" s="12">
        <f t="shared" si="32"/>
        <v>8.7100000000000009</v>
      </c>
      <c r="N152" s="12">
        <f t="shared" si="33"/>
        <v>16.09</v>
      </c>
      <c r="O152" s="12">
        <f t="shared" si="34"/>
        <v>344.5</v>
      </c>
      <c r="P152" s="5" t="str">
        <f>IF(M152&lt;=Controls!$B$2,"NORMAL",IF(M152&lt;=Controls!$B$3,"CAUTION","BLOCK"))</f>
        <v>BLOCK</v>
      </c>
      <c r="Q152" s="5" t="str">
        <f>IF(P152="BLOCK","Hold",IF(L152&gt;Controls!$B$4,"Hold",IF(P152="CAUTION","Drop",IF(G152&lt;0.25,IF(MOD(ROW(),13)=0,"Turn Left",IF(MOD(ROW(),9)=0,"Turn Right",IF(F152&lt;0.08,"Build","Hold"))),IF(F152&lt;0.08,"Build","Hold")))))</f>
        <v>Hold</v>
      </c>
      <c r="R152" s="12">
        <f>ROUND(MAX(0.35,MIN(0.95,0.92 - 0.06*MAX(0,M152-Controls!$B$2) - 0.05*MAX(0,L152-Controls!$B$4) - 0.01*ABS(C152-50) + 0.04*(1-G152))),2)</f>
        <v>0.4</v>
      </c>
      <c r="S152" s="5" t="str">
        <f>IF(P152="BLOCK","BLOCKED",IF(R152&lt;Controls!$B$7,"REDUCED","ACCEPTED"))</f>
        <v>BLOCKED</v>
      </c>
      <c r="T152" s="5" t="str">
        <f>IF(P152="BLOCK","LIMIT_EXCEEDED - DLS above "&amp;TEXT(Controls!$B$3,"0.0")&amp;" deg/100ft",IF(P152="CAUTION","DLS above operating limit - reduce aggressiveness",IF(L152&gt;Controls!$B$4,"High vibration - hold trajectory",IF(OR(C152&lt;Controls!$B$5,C152&gt;Controls!$B$6),"WOB outside preferred band","Normal operation"))))</f>
        <v>LIMIT_EXCEEDED - DLS above 8.0 deg/100ft</v>
      </c>
    </row>
  </sheetData>
  <conditionalFormatting sqref="P2:P152">
    <cfRule type="expression" dxfId="6" priority="1">
      <formula>$P2="NORMAL"</formula>
    </cfRule>
    <cfRule type="expression" dxfId="5" priority="2">
      <formula>$P2="CAUTION"</formula>
    </cfRule>
    <cfRule type="expression" dxfId="4" priority="3">
      <formula>$P2="BLOCK"</formula>
    </cfRule>
  </conditionalFormatting>
  <conditionalFormatting sqref="S2:S152">
    <cfRule type="expression" dxfId="2" priority="4">
      <formula>$S2="ACCEPTED"</formula>
    </cfRule>
    <cfRule type="expression" dxfId="1" priority="5">
      <formula>$S2="REDUCED"</formula>
    </cfRule>
    <cfRule type="expression" dxfId="0" priority="6">
      <formula>$S2="BLOCKED"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lessThan" id="{00000000-000E-0000-0200-000007000000}">
            <xm:f>Controls!$B$7</xm:f>
            <x14:dxf>
              <fill>
                <patternFill>
                  <bgColor rgb="FFFFF2CC"/>
                </patternFill>
              </fill>
            </x14:dxf>
          </x14:cfRule>
          <xm:sqref>R2:R152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Normal="150" zoomScaleSheetLayoutView="100" workbookViewId="0"/>
  </sheetViews>
  <sheetFormatPr defaultRowHeight="14.4" x14ac:dyDescent="0.3"/>
  <cols>
    <col min="1" max="1" width="28" customWidth="1"/>
    <col min="2" max="2" width="16" customWidth="1"/>
    <col min="3" max="3" width="6" customWidth="1"/>
    <col min="4" max="4" width="48" customWidth="1"/>
  </cols>
  <sheetData>
    <row r="1" spans="1:4" x14ac:dyDescent="0.3">
      <c r="A1" s="18" t="s">
        <v>51</v>
      </c>
      <c r="B1" s="17"/>
      <c r="C1" s="17"/>
      <c r="D1" s="17"/>
    </row>
    <row r="3" spans="1:4" x14ac:dyDescent="0.3">
      <c r="A3" s="1" t="s">
        <v>52</v>
      </c>
      <c r="B3">
        <f>COUNTA(Dashboard_Data!A:A)-1</f>
        <v>151</v>
      </c>
      <c r="D3" s="13" t="s">
        <v>53</v>
      </c>
    </row>
    <row r="4" spans="1:4" x14ac:dyDescent="0.3">
      <c r="A4" s="1" t="s">
        <v>54</v>
      </c>
      <c r="B4">
        <f>COUNTIF(Dashboard_Data!P:P,"CAUTION")</f>
        <v>17</v>
      </c>
      <c r="D4" t="s">
        <v>55</v>
      </c>
    </row>
    <row r="5" spans="1:4" x14ac:dyDescent="0.3">
      <c r="A5" s="1" t="s">
        <v>56</v>
      </c>
      <c r="B5">
        <f>COUNTIF(Dashboard_Data!P:P,"BLOCK")</f>
        <v>9</v>
      </c>
      <c r="D5" t="s">
        <v>57</v>
      </c>
    </row>
    <row r="6" spans="1:4" x14ac:dyDescent="0.3">
      <c r="A6" s="1" t="s">
        <v>58</v>
      </c>
      <c r="B6">
        <f>COUNTIF(Dashboard_Data!S:S,"ACCEPTED")</f>
        <v>138</v>
      </c>
    </row>
    <row r="7" spans="1:4" x14ac:dyDescent="0.3">
      <c r="A7" s="1" t="s">
        <v>59</v>
      </c>
      <c r="B7">
        <f>COUNTIF(Dashboard_Data!S:S,"REDUCED")</f>
        <v>4</v>
      </c>
    </row>
    <row r="8" spans="1:4" x14ac:dyDescent="0.3">
      <c r="A8" s="1" t="s">
        <v>60</v>
      </c>
      <c r="B8">
        <f>COUNTIF(Dashboard_Data!S:S,"BLOCKED")</f>
        <v>9</v>
      </c>
    </row>
    <row r="9" spans="1:4" x14ac:dyDescent="0.3">
      <c r="A9" s="1" t="s">
        <v>61</v>
      </c>
      <c r="B9" s="14">
        <f>AVERAGE(Dashboard_Data!R:R)</f>
        <v>0.79894039735099365</v>
      </c>
    </row>
    <row r="10" spans="1:4" x14ac:dyDescent="0.3">
      <c r="A10" s="1" t="s">
        <v>62</v>
      </c>
      <c r="B10" s="14">
        <f>MAX(Dashboard_Data!M:M)</f>
        <v>8.8000000000000007</v>
      </c>
    </row>
    <row r="11" spans="1:4" x14ac:dyDescent="0.3">
      <c r="A11" s="1" t="s">
        <v>63</v>
      </c>
      <c r="B11">
        <f>MAX(Dashboard_Data!L:L)</f>
        <v>3.07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2"/>
  <sheetViews>
    <sheetView topLeftCell="A2" zoomScaleNormal="150" zoomScaleSheetLayoutView="100" workbookViewId="0"/>
  </sheetViews>
  <sheetFormatPr defaultRowHeight="14.4" x14ac:dyDescent="0.3"/>
  <cols>
    <col min="1" max="1" width="12" customWidth="1"/>
    <col min="2" max="2" width="14" customWidth="1"/>
    <col min="3" max="4" width="12" customWidth="1"/>
    <col min="5" max="7" width="10" customWidth="1"/>
    <col min="8" max="8" width="12" customWidth="1"/>
  </cols>
  <sheetData>
    <row r="1" spans="1:8" x14ac:dyDescent="0.3">
      <c r="A1" s="15" t="s">
        <v>64</v>
      </c>
      <c r="B1" s="15" t="s">
        <v>65</v>
      </c>
      <c r="C1" s="15" t="s">
        <v>66</v>
      </c>
      <c r="D1" s="15" t="s">
        <v>67</v>
      </c>
      <c r="E1" s="15" t="s">
        <v>36</v>
      </c>
      <c r="F1" s="15" t="s">
        <v>37</v>
      </c>
      <c r="G1" s="15" t="s">
        <v>38</v>
      </c>
      <c r="H1" s="15" t="s">
        <v>39</v>
      </c>
    </row>
    <row r="2" spans="1:8" x14ac:dyDescent="0.3">
      <c r="A2">
        <v>3305</v>
      </c>
      <c r="B2">
        <v>26217.8639999999</v>
      </c>
      <c r="C2">
        <v>1.3147203000000001</v>
      </c>
      <c r="D2">
        <v>4.0880539999999998E-3</v>
      </c>
      <c r="E2">
        <v>8.6711005494999993E-2</v>
      </c>
      <c r="F2">
        <v>7.1718794646000006E-2</v>
      </c>
      <c r="G2">
        <v>1.0000000001139999</v>
      </c>
      <c r="H2">
        <v>1E-3</v>
      </c>
    </row>
    <row r="3" spans="1:8" x14ac:dyDescent="0.3">
      <c r="A3">
        <v>3310</v>
      </c>
      <c r="B3">
        <v>83492.293000000005</v>
      </c>
      <c r="C3">
        <v>1.3286739000000001</v>
      </c>
      <c r="D3">
        <v>5.159383E-3</v>
      </c>
      <c r="E3">
        <v>9.5208497586000002E-2</v>
      </c>
      <c r="F3">
        <v>0.116548315173</v>
      </c>
      <c r="G3">
        <v>1</v>
      </c>
      <c r="H3">
        <v>1E-3</v>
      </c>
    </row>
    <row r="4" spans="1:8" x14ac:dyDescent="0.3">
      <c r="A4">
        <v>3315</v>
      </c>
      <c r="B4">
        <v>97087.881999999998</v>
      </c>
      <c r="C4">
        <v>1.4201163000000001</v>
      </c>
      <c r="D4">
        <v>5.9714692999999998E-3</v>
      </c>
      <c r="E4">
        <v>6.1636098298E-2</v>
      </c>
      <c r="F4">
        <v>0.104283234455</v>
      </c>
      <c r="G4">
        <v>1</v>
      </c>
      <c r="H4">
        <v>1E-3</v>
      </c>
    </row>
    <row r="5" spans="1:8" x14ac:dyDescent="0.3">
      <c r="A5">
        <v>3320</v>
      </c>
      <c r="B5">
        <v>54793.205999999998</v>
      </c>
      <c r="C5">
        <v>1.5939307</v>
      </c>
      <c r="D5">
        <v>5.4191088999999996E-3</v>
      </c>
      <c r="E5">
        <v>4.3497663737000002E-2</v>
      </c>
      <c r="F5">
        <v>0.11003981104299999</v>
      </c>
      <c r="G5">
        <v>1</v>
      </c>
      <c r="H5">
        <v>1E-3</v>
      </c>
    </row>
    <row r="6" spans="1:8" x14ac:dyDescent="0.3">
      <c r="A6">
        <v>3325</v>
      </c>
      <c r="B6">
        <v>50301.578999999998</v>
      </c>
      <c r="C6">
        <v>1.653262</v>
      </c>
      <c r="D6">
        <v>5.4352482999999998E-3</v>
      </c>
      <c r="E6">
        <v>3.5252240772000003E-2</v>
      </c>
      <c r="F6">
        <v>0.12080770566600001</v>
      </c>
      <c r="G6">
        <v>1</v>
      </c>
      <c r="H6">
        <v>1E-3</v>
      </c>
    </row>
    <row r="7" spans="1:8" x14ac:dyDescent="0.3">
      <c r="A7">
        <v>3330</v>
      </c>
      <c r="B7">
        <v>56835.194000000003</v>
      </c>
      <c r="C7">
        <v>1.6574500000000001</v>
      </c>
      <c r="D7">
        <v>4.7382739999999998E-3</v>
      </c>
      <c r="E7">
        <v>1.5965128094000001E-2</v>
      </c>
      <c r="F7">
        <v>8.5564924968E-2</v>
      </c>
      <c r="G7">
        <v>1</v>
      </c>
      <c r="H7">
        <v>1E-3</v>
      </c>
    </row>
    <row r="8" spans="1:8" x14ac:dyDescent="0.3">
      <c r="A8">
        <v>3335</v>
      </c>
      <c r="B8">
        <v>37638.027999999998</v>
      </c>
      <c r="C8">
        <v>2.1392383000000001</v>
      </c>
      <c r="D8">
        <v>8.8117672000000008E-3</v>
      </c>
      <c r="E8">
        <v>4.6243123376999998E-2</v>
      </c>
      <c r="F8">
        <v>0.109858974537</v>
      </c>
      <c r="G8">
        <v>1</v>
      </c>
      <c r="H8">
        <v>1E-3</v>
      </c>
    </row>
    <row r="9" spans="1:8" x14ac:dyDescent="0.3">
      <c r="A9">
        <v>3340</v>
      </c>
      <c r="B9">
        <v>37638.027999999998</v>
      </c>
      <c r="C9">
        <v>2.1392383000000001</v>
      </c>
      <c r="D9">
        <v>8.8117672000000008E-3</v>
      </c>
      <c r="E9">
        <v>4.1236564598E-2</v>
      </c>
      <c r="F9">
        <v>7.1368258062999998E-2</v>
      </c>
      <c r="G9">
        <v>1</v>
      </c>
      <c r="H9">
        <v>1E-3</v>
      </c>
    </row>
    <row r="10" spans="1:8" x14ac:dyDescent="0.3">
      <c r="A10">
        <v>3345</v>
      </c>
      <c r="B10">
        <v>44564.582999999999</v>
      </c>
      <c r="C10">
        <v>1.9748064000000001</v>
      </c>
      <c r="D10">
        <v>8.4562083000000003E-3</v>
      </c>
      <c r="E10">
        <v>1.3781888835000001E-2</v>
      </c>
      <c r="F10">
        <v>9.0755599032000006E-2</v>
      </c>
      <c r="G10">
        <v>1</v>
      </c>
      <c r="H10">
        <v>1E-3</v>
      </c>
    </row>
    <row r="11" spans="1:8" x14ac:dyDescent="0.3">
      <c r="A11">
        <v>3350</v>
      </c>
      <c r="B11">
        <v>60928.602999999901</v>
      </c>
      <c r="C11">
        <v>1.7357419000000001</v>
      </c>
      <c r="D11">
        <v>7.3915491999999999E-3</v>
      </c>
      <c r="E11">
        <v>1.7082658694999999E-2</v>
      </c>
      <c r="F11">
        <v>9.7655747698999998E-2</v>
      </c>
      <c r="G11">
        <v>1</v>
      </c>
      <c r="H11">
        <v>1E-3</v>
      </c>
    </row>
    <row r="12" spans="1:8" x14ac:dyDescent="0.3">
      <c r="A12">
        <v>3355</v>
      </c>
      <c r="B12">
        <v>40202.383999999998</v>
      </c>
      <c r="C12">
        <v>2.5205150999999999</v>
      </c>
      <c r="D12">
        <v>6.7930478999999998E-3</v>
      </c>
      <c r="E12">
        <v>1.4316008389999999E-2</v>
      </c>
      <c r="F12">
        <v>8.9343110867000003E-2</v>
      </c>
      <c r="G12">
        <v>1</v>
      </c>
      <c r="H12">
        <v>1E-3</v>
      </c>
    </row>
    <row r="13" spans="1:8" x14ac:dyDescent="0.3">
      <c r="A13">
        <v>3360</v>
      </c>
      <c r="B13">
        <v>43788.455000000002</v>
      </c>
      <c r="C13">
        <v>2.5870525999999998</v>
      </c>
      <c r="D13">
        <v>6.7808329000000004E-3</v>
      </c>
      <c r="E13">
        <v>5.3798958819999999E-2</v>
      </c>
      <c r="F13">
        <v>9.6550292750000002E-2</v>
      </c>
      <c r="G13">
        <v>1</v>
      </c>
      <c r="H13">
        <v>1E-3</v>
      </c>
    </row>
    <row r="14" spans="1:8" x14ac:dyDescent="0.3">
      <c r="A14">
        <v>3365</v>
      </c>
      <c r="B14">
        <v>44938.123</v>
      </c>
      <c r="C14">
        <v>2.6299641</v>
      </c>
      <c r="D14">
        <v>6.7834211E-3</v>
      </c>
      <c r="E14">
        <v>3.779870146E-2</v>
      </c>
      <c r="F14">
        <v>0.111597018839</v>
      </c>
      <c r="G14">
        <v>1</v>
      </c>
      <c r="H14">
        <v>1E-3</v>
      </c>
    </row>
    <row r="15" spans="1:8" x14ac:dyDescent="0.3">
      <c r="A15">
        <v>3370</v>
      </c>
      <c r="B15">
        <v>45959.357000000004</v>
      </c>
      <c r="C15">
        <v>2.6392329999999999</v>
      </c>
      <c r="D15">
        <v>3.4027230999999999E-3</v>
      </c>
      <c r="E15">
        <v>3.652622573E-2</v>
      </c>
      <c r="F15">
        <v>9.2511973472999998E-2</v>
      </c>
      <c r="G15">
        <v>1</v>
      </c>
      <c r="H15">
        <v>1E-3</v>
      </c>
    </row>
    <row r="16" spans="1:8" x14ac:dyDescent="0.3">
      <c r="A16">
        <v>3375</v>
      </c>
      <c r="B16">
        <v>27652.132000000001</v>
      </c>
      <c r="C16">
        <v>2.5934010999999999</v>
      </c>
      <c r="D16">
        <v>7.3812824000000004E-3</v>
      </c>
      <c r="E16">
        <v>3.0479465314999999E-2</v>
      </c>
      <c r="F16">
        <v>0.11383898299300001</v>
      </c>
      <c r="G16">
        <v>1</v>
      </c>
      <c r="H16">
        <v>1E-3</v>
      </c>
    </row>
    <row r="17" spans="1:8" x14ac:dyDescent="0.3">
      <c r="A17">
        <v>3380</v>
      </c>
      <c r="B17">
        <v>29439.337</v>
      </c>
      <c r="C17">
        <v>2.5458528</v>
      </c>
      <c r="D17">
        <v>7.3796551999999998E-3</v>
      </c>
      <c r="E17">
        <v>2.6482121187E-2</v>
      </c>
      <c r="F17">
        <v>8.7976159425000006E-2</v>
      </c>
      <c r="G17">
        <v>1</v>
      </c>
      <c r="H17">
        <v>1E-3</v>
      </c>
    </row>
    <row r="18" spans="1:8" x14ac:dyDescent="0.3">
      <c r="A18">
        <v>3390</v>
      </c>
      <c r="B18">
        <v>51058.512999999999</v>
      </c>
      <c r="C18">
        <v>2.5862395</v>
      </c>
      <c r="D18">
        <v>7.3764058000000002E-3</v>
      </c>
      <c r="E18">
        <v>3.2047358025E-2</v>
      </c>
      <c r="F18">
        <v>7.0752103794999993E-2</v>
      </c>
      <c r="G18">
        <v>1</v>
      </c>
      <c r="H18">
        <v>1E-3</v>
      </c>
    </row>
    <row r="19" spans="1:8" x14ac:dyDescent="0.3">
      <c r="A19">
        <v>3395</v>
      </c>
      <c r="B19">
        <v>54386.650999999998</v>
      </c>
      <c r="C19">
        <v>2.5757272000000002</v>
      </c>
      <c r="D19">
        <v>7.1235496999999997E-3</v>
      </c>
      <c r="E19">
        <v>2.4143295786E-2</v>
      </c>
      <c r="F19">
        <v>0.111945171782</v>
      </c>
      <c r="G19">
        <v>1</v>
      </c>
      <c r="H19">
        <v>1E-3</v>
      </c>
    </row>
    <row r="20" spans="1:8" x14ac:dyDescent="0.3">
      <c r="A20">
        <v>3400</v>
      </c>
      <c r="B20">
        <v>42902.547999999901</v>
      </c>
      <c r="C20">
        <v>2.5644255</v>
      </c>
      <c r="D20">
        <v>6.9761735000000002E-3</v>
      </c>
      <c r="E20">
        <v>1.9745276629E-2</v>
      </c>
      <c r="F20">
        <v>5.5927879061000003E-2</v>
      </c>
      <c r="G20">
        <v>1</v>
      </c>
      <c r="H20">
        <v>1E-3</v>
      </c>
    </row>
    <row r="21" spans="1:8" x14ac:dyDescent="0.3">
      <c r="A21">
        <v>3405</v>
      </c>
      <c r="B21">
        <v>90190.589000000007</v>
      </c>
      <c r="C21">
        <v>2.6031916000000002</v>
      </c>
      <c r="D21">
        <v>6.7889398000000002E-3</v>
      </c>
      <c r="E21">
        <v>2.9681877209999999E-3</v>
      </c>
      <c r="F21">
        <v>6.4927597862000003E-2</v>
      </c>
      <c r="G21">
        <v>1</v>
      </c>
      <c r="H21">
        <v>1E-3</v>
      </c>
    </row>
    <row r="22" spans="1:8" x14ac:dyDescent="0.3">
      <c r="A22">
        <v>3415</v>
      </c>
      <c r="B22">
        <v>32214.547999999999</v>
      </c>
      <c r="C22">
        <v>2.6391501000000002</v>
      </c>
      <c r="D22">
        <v>7.3838962999999997E-3</v>
      </c>
      <c r="E22">
        <v>3.6297619615999997E-2</v>
      </c>
      <c r="F22">
        <v>6.7104465259000004E-2</v>
      </c>
      <c r="G22">
        <v>1</v>
      </c>
      <c r="H22">
        <v>1E-3</v>
      </c>
    </row>
    <row r="23" spans="1:8" x14ac:dyDescent="0.3">
      <c r="A23">
        <v>3420</v>
      </c>
      <c r="B23">
        <v>47159.142</v>
      </c>
      <c r="C23">
        <v>2.6165824</v>
      </c>
      <c r="D23">
        <v>7.3603439E-3</v>
      </c>
      <c r="E23">
        <v>2.4594233207000001E-2</v>
      </c>
      <c r="F23">
        <v>7.3955891647999997E-2</v>
      </c>
      <c r="G23">
        <v>1</v>
      </c>
      <c r="H23">
        <v>1E-3</v>
      </c>
    </row>
    <row r="24" spans="1:8" x14ac:dyDescent="0.3">
      <c r="A24">
        <v>3425</v>
      </c>
      <c r="B24">
        <v>60347.171999999999</v>
      </c>
      <c r="C24">
        <v>2.3783772000000001</v>
      </c>
      <c r="D24">
        <v>6.7103746999999997E-3</v>
      </c>
      <c r="E24">
        <v>4.8633772095E-2</v>
      </c>
      <c r="F24">
        <v>8.6399469155000005E-2</v>
      </c>
      <c r="G24">
        <v>1</v>
      </c>
      <c r="H24">
        <v>1E-3</v>
      </c>
    </row>
    <row r="25" spans="1:8" x14ac:dyDescent="0.3">
      <c r="A25">
        <v>3430</v>
      </c>
      <c r="B25">
        <v>47047.4909999999</v>
      </c>
      <c r="C25">
        <v>1.9995411999999999</v>
      </c>
      <c r="D25">
        <v>7.3790048999999996E-3</v>
      </c>
      <c r="E25">
        <v>8.7484317938999995E-2</v>
      </c>
      <c r="F25">
        <v>9.1781874888999998E-2</v>
      </c>
      <c r="G25">
        <v>1</v>
      </c>
      <c r="H25">
        <v>1E-3</v>
      </c>
    </row>
    <row r="26" spans="1:8" x14ac:dyDescent="0.3">
      <c r="A26">
        <v>3435</v>
      </c>
      <c r="B26">
        <v>49582.124000000003</v>
      </c>
      <c r="C26">
        <v>1.9996400000000001</v>
      </c>
      <c r="D26">
        <v>7.1659378999999997E-3</v>
      </c>
      <c r="E26">
        <v>5.4966144071999998E-2</v>
      </c>
      <c r="F26">
        <v>6.7739423258000003E-2</v>
      </c>
      <c r="G26">
        <v>1</v>
      </c>
      <c r="H26">
        <v>1E-3</v>
      </c>
    </row>
    <row r="27" spans="1:8" x14ac:dyDescent="0.3">
      <c r="A27">
        <v>3440</v>
      </c>
      <c r="B27">
        <v>41336.436000000002</v>
      </c>
      <c r="C27">
        <v>2.0006841999999998</v>
      </c>
      <c r="D27">
        <v>6.7949865E-3</v>
      </c>
      <c r="E27">
        <v>9.8985089944999993E-2</v>
      </c>
      <c r="F27">
        <v>6.7067307756000005E-2</v>
      </c>
      <c r="G27">
        <v>1.007839057113</v>
      </c>
      <c r="H27">
        <v>1E-3</v>
      </c>
    </row>
    <row r="28" spans="1:8" x14ac:dyDescent="0.3">
      <c r="A28">
        <v>3445</v>
      </c>
      <c r="B28">
        <v>60644.639000000003</v>
      </c>
      <c r="C28">
        <v>1.9690418999999999</v>
      </c>
      <c r="D28">
        <v>6.7825142E-3</v>
      </c>
      <c r="E28">
        <v>7.8905269547000001E-2</v>
      </c>
      <c r="F28">
        <v>6.2588588205000004E-2</v>
      </c>
      <c r="G28">
        <v>0.99999180571299995</v>
      </c>
      <c r="H28">
        <v>1E-3</v>
      </c>
    </row>
    <row r="29" spans="1:8" x14ac:dyDescent="0.3">
      <c r="A29">
        <v>3450</v>
      </c>
      <c r="B29">
        <v>52260.515999999901</v>
      </c>
      <c r="C29">
        <v>1.9936775</v>
      </c>
      <c r="D29">
        <v>6.7877609000000002E-3</v>
      </c>
      <c r="E29">
        <v>9.5700091611000002E-2</v>
      </c>
      <c r="F29">
        <v>8.9433020712000003E-2</v>
      </c>
      <c r="G29">
        <v>1</v>
      </c>
      <c r="H29">
        <v>1E-3</v>
      </c>
    </row>
    <row r="30" spans="1:8" x14ac:dyDescent="0.3">
      <c r="A30">
        <v>3455</v>
      </c>
      <c r="B30">
        <v>21961.022999999899</v>
      </c>
      <c r="C30">
        <v>1.999962</v>
      </c>
      <c r="D30">
        <v>7.3662375E-3</v>
      </c>
      <c r="E30">
        <v>9.4331718376000004E-2</v>
      </c>
      <c r="F30">
        <v>0.10233250223400001</v>
      </c>
      <c r="G30">
        <v>1</v>
      </c>
      <c r="H30">
        <v>1E-3</v>
      </c>
    </row>
    <row r="31" spans="1:8" x14ac:dyDescent="0.3">
      <c r="A31">
        <v>3460</v>
      </c>
      <c r="B31">
        <v>25584.315999999999</v>
      </c>
      <c r="C31">
        <v>2.0026297999999998</v>
      </c>
      <c r="D31">
        <v>7.3647377000000003E-3</v>
      </c>
      <c r="E31">
        <v>8.7120268636999995E-2</v>
      </c>
      <c r="F31">
        <v>0.12462050475600001</v>
      </c>
      <c r="G31">
        <v>1</v>
      </c>
      <c r="H31">
        <v>1E-3</v>
      </c>
    </row>
    <row r="32" spans="1:8" x14ac:dyDescent="0.3">
      <c r="A32">
        <v>3465</v>
      </c>
      <c r="B32">
        <v>19615.561000000002</v>
      </c>
      <c r="C32">
        <v>1.9985111</v>
      </c>
      <c r="D32">
        <v>7.3849518999999997E-3</v>
      </c>
      <c r="E32">
        <v>0.123971971047</v>
      </c>
      <c r="F32">
        <v>8.2058336891999997E-2</v>
      </c>
      <c r="G32">
        <v>1</v>
      </c>
      <c r="H32">
        <v>1E-3</v>
      </c>
    </row>
    <row r="33" spans="1:8" x14ac:dyDescent="0.3">
      <c r="A33">
        <v>3470</v>
      </c>
      <c r="B33">
        <v>46578.190999999999</v>
      </c>
      <c r="C33">
        <v>1.9961233</v>
      </c>
      <c r="D33">
        <v>7.3622671999999997E-3</v>
      </c>
      <c r="E33">
        <v>0.105504189311</v>
      </c>
      <c r="F33">
        <v>0.103100923089</v>
      </c>
      <c r="G33">
        <v>1</v>
      </c>
      <c r="H33">
        <v>1E-3</v>
      </c>
    </row>
    <row r="34" spans="1:8" x14ac:dyDescent="0.3">
      <c r="A34">
        <v>3475</v>
      </c>
      <c r="B34">
        <v>43748.485000000001</v>
      </c>
      <c r="C34">
        <v>2.0013828</v>
      </c>
      <c r="D34">
        <v>2.9692832000000001E-3</v>
      </c>
      <c r="E34">
        <v>0.10398322737600001</v>
      </c>
      <c r="F34">
        <v>8.0596944160999995E-2</v>
      </c>
      <c r="G34">
        <v>1</v>
      </c>
      <c r="H34">
        <v>1E-3</v>
      </c>
    </row>
    <row r="35" spans="1:8" x14ac:dyDescent="0.3">
      <c r="A35">
        <v>3480</v>
      </c>
      <c r="B35">
        <v>31236.811000000002</v>
      </c>
      <c r="C35">
        <v>1.9993623</v>
      </c>
      <c r="D35">
        <v>2.7096240999999999E-3</v>
      </c>
      <c r="E35">
        <v>8.6571257493000001E-2</v>
      </c>
      <c r="F35">
        <v>0.13969478517</v>
      </c>
      <c r="G35">
        <v>1</v>
      </c>
      <c r="H35">
        <v>1E-3</v>
      </c>
    </row>
    <row r="36" spans="1:8" x14ac:dyDescent="0.3">
      <c r="A36">
        <v>3485</v>
      </c>
      <c r="B36">
        <v>30930.061000000002</v>
      </c>
      <c r="C36">
        <v>2.0007435</v>
      </c>
      <c r="D36">
        <v>2.7175196E-3</v>
      </c>
      <c r="E36">
        <v>8.6426790197000003E-2</v>
      </c>
      <c r="F36">
        <v>0.11457675803800001</v>
      </c>
      <c r="G36">
        <v>1</v>
      </c>
      <c r="H36">
        <v>1E-3</v>
      </c>
    </row>
    <row r="37" spans="1:8" x14ac:dyDescent="0.3">
      <c r="A37">
        <v>3490</v>
      </c>
      <c r="B37">
        <v>28597.028999999999</v>
      </c>
      <c r="C37">
        <v>1.999536</v>
      </c>
      <c r="D37">
        <v>2.7179359999999998E-3</v>
      </c>
      <c r="E37">
        <v>9.0819492345000002E-2</v>
      </c>
      <c r="F37">
        <v>0.10859971722300001</v>
      </c>
      <c r="G37">
        <v>1</v>
      </c>
      <c r="H37">
        <v>1E-3</v>
      </c>
    </row>
    <row r="38" spans="1:8" x14ac:dyDescent="0.3">
      <c r="A38">
        <v>3495</v>
      </c>
      <c r="B38">
        <v>17397.72</v>
      </c>
      <c r="C38">
        <v>1.9998483</v>
      </c>
      <c r="D38">
        <v>2.9773611E-3</v>
      </c>
      <c r="E38">
        <v>6.4107145330000004E-2</v>
      </c>
      <c r="F38">
        <v>0.128194534222</v>
      </c>
      <c r="G38">
        <v>1</v>
      </c>
      <c r="H38">
        <v>1E-3</v>
      </c>
    </row>
    <row r="39" spans="1:8" x14ac:dyDescent="0.3">
      <c r="A39">
        <v>3500</v>
      </c>
      <c r="B39">
        <v>16961.916000000001</v>
      </c>
      <c r="C39">
        <v>2.0002430000000002</v>
      </c>
      <c r="D39">
        <v>5.8303925E-3</v>
      </c>
      <c r="E39">
        <v>3.7509364913999997E-2</v>
      </c>
      <c r="F39">
        <v>0.11632042628100001</v>
      </c>
      <c r="G39">
        <v>1</v>
      </c>
      <c r="H39">
        <v>1E-3</v>
      </c>
    </row>
    <row r="40" spans="1:8" x14ac:dyDescent="0.3">
      <c r="A40">
        <v>3505</v>
      </c>
      <c r="B40">
        <v>27492.81</v>
      </c>
      <c r="C40">
        <v>1.9988977999999999</v>
      </c>
      <c r="D40">
        <v>7.3725691999999999E-3</v>
      </c>
      <c r="E40">
        <v>7.4408956829999998E-2</v>
      </c>
      <c r="F40">
        <v>0.14479012801400001</v>
      </c>
      <c r="G40">
        <v>1.000007899199</v>
      </c>
      <c r="H40">
        <v>1E-3</v>
      </c>
    </row>
    <row r="41" spans="1:8" x14ac:dyDescent="0.3">
      <c r="A41">
        <v>3510</v>
      </c>
      <c r="B41">
        <v>36827.998</v>
      </c>
      <c r="C41">
        <v>1.9994763</v>
      </c>
      <c r="D41">
        <v>7.3928129000000002E-3</v>
      </c>
      <c r="E41">
        <v>9.8724562759999995E-2</v>
      </c>
      <c r="F41">
        <v>9.4706889803000002E-2</v>
      </c>
      <c r="G41">
        <v>1</v>
      </c>
      <c r="H41">
        <v>1E-3</v>
      </c>
    </row>
    <row r="42" spans="1:8" x14ac:dyDescent="0.3">
      <c r="A42">
        <v>3515</v>
      </c>
      <c r="B42">
        <v>38973.616999999998</v>
      </c>
      <c r="C42">
        <v>2.0011975</v>
      </c>
      <c r="D42">
        <v>7.3702387999999997E-3</v>
      </c>
      <c r="E42">
        <v>8.6612015050999996E-2</v>
      </c>
      <c r="F42">
        <v>0.10847901817900001</v>
      </c>
      <c r="G42">
        <v>1</v>
      </c>
      <c r="H42">
        <v>1E-3</v>
      </c>
    </row>
    <row r="43" spans="1:8" x14ac:dyDescent="0.3">
      <c r="A43">
        <v>3520</v>
      </c>
      <c r="B43">
        <v>42748.817000000003</v>
      </c>
      <c r="C43">
        <v>2.0015654000000001</v>
      </c>
      <c r="D43">
        <v>6.7953361000000004E-3</v>
      </c>
      <c r="E43">
        <v>6.0490959466999998E-2</v>
      </c>
      <c r="F43">
        <v>0.19310016059400001</v>
      </c>
      <c r="G43">
        <v>1</v>
      </c>
      <c r="H43">
        <v>1E-3</v>
      </c>
    </row>
    <row r="44" spans="1:8" x14ac:dyDescent="0.3">
      <c r="A44">
        <v>3525</v>
      </c>
      <c r="B44">
        <v>49323.529000000002</v>
      </c>
      <c r="C44">
        <v>2.0011171999999999</v>
      </c>
      <c r="D44">
        <v>6.8002067999999999E-3</v>
      </c>
      <c r="E44">
        <v>7.7220248426000004E-2</v>
      </c>
      <c r="F44">
        <v>0.15345021186900001</v>
      </c>
      <c r="G44">
        <v>1</v>
      </c>
      <c r="H44">
        <v>1E-3</v>
      </c>
    </row>
    <row r="45" spans="1:8" x14ac:dyDescent="0.3">
      <c r="A45">
        <v>3530</v>
      </c>
      <c r="B45">
        <v>52143.352999999901</v>
      </c>
      <c r="C45">
        <v>2.0002998000000001</v>
      </c>
      <c r="D45">
        <v>6.7872395999999998E-3</v>
      </c>
      <c r="E45">
        <v>7.5330780257000005E-2</v>
      </c>
      <c r="F45">
        <v>0.124592334294</v>
      </c>
      <c r="G45">
        <v>1</v>
      </c>
      <c r="H45">
        <v>1E-3</v>
      </c>
    </row>
    <row r="46" spans="1:8" x14ac:dyDescent="0.3">
      <c r="A46">
        <v>3535</v>
      </c>
      <c r="B46">
        <v>47116.200999999899</v>
      </c>
      <c r="C46">
        <v>2.0001419</v>
      </c>
      <c r="D46">
        <v>7.4238726E-3</v>
      </c>
      <c r="E46">
        <v>5.0825771786E-2</v>
      </c>
      <c r="F46">
        <v>8.5855181252999999E-2</v>
      </c>
      <c r="G46">
        <v>1</v>
      </c>
      <c r="H46">
        <v>1E-3</v>
      </c>
    </row>
    <row r="47" spans="1:8" x14ac:dyDescent="0.3">
      <c r="A47">
        <v>3540</v>
      </c>
      <c r="B47">
        <v>45256.052000000003</v>
      </c>
      <c r="C47">
        <v>2.0000450999999999</v>
      </c>
      <c r="D47">
        <v>8.8215706000000001E-3</v>
      </c>
      <c r="E47">
        <v>6.6195214451999995E-2</v>
      </c>
      <c r="F47">
        <v>9.6113033570999998E-2</v>
      </c>
      <c r="G47">
        <v>1</v>
      </c>
      <c r="H47">
        <v>1E-3</v>
      </c>
    </row>
    <row r="48" spans="1:8" x14ac:dyDescent="0.3">
      <c r="A48">
        <v>3545</v>
      </c>
      <c r="B48">
        <v>24169.525000000001</v>
      </c>
      <c r="C48">
        <v>1.9989965999999999</v>
      </c>
      <c r="D48">
        <v>8.8187939E-3</v>
      </c>
      <c r="E48">
        <v>9.3641539309000002E-2</v>
      </c>
      <c r="F48">
        <v>7.4818295406000004E-2</v>
      </c>
      <c r="G48">
        <v>0.99995851113599998</v>
      </c>
      <c r="H48">
        <v>1E-3</v>
      </c>
    </row>
    <row r="49" spans="1:8" x14ac:dyDescent="0.3">
      <c r="A49">
        <v>3550</v>
      </c>
      <c r="B49">
        <v>25216.4179999999</v>
      </c>
      <c r="C49">
        <v>2.0021794000000002</v>
      </c>
      <c r="D49">
        <v>8.8132485000000007E-3</v>
      </c>
      <c r="E49">
        <v>6.6022211957000004E-2</v>
      </c>
      <c r="F49">
        <v>0.15184274166799999</v>
      </c>
      <c r="G49">
        <v>1</v>
      </c>
      <c r="H49">
        <v>1E-3</v>
      </c>
    </row>
    <row r="50" spans="1:8" x14ac:dyDescent="0.3">
      <c r="A50">
        <v>3555</v>
      </c>
      <c r="B50">
        <v>35156.044000000002</v>
      </c>
      <c r="C50">
        <v>1.9968011000000001</v>
      </c>
      <c r="D50">
        <v>8.8077152999999995E-3</v>
      </c>
      <c r="E50">
        <v>7.0435349132000002E-2</v>
      </c>
      <c r="F50">
        <v>0.18363266683500001</v>
      </c>
      <c r="G50">
        <v>1</v>
      </c>
      <c r="H50">
        <v>1E-3</v>
      </c>
    </row>
    <row r="51" spans="1:8" x14ac:dyDescent="0.3">
      <c r="A51">
        <v>3560</v>
      </c>
      <c r="B51">
        <v>38720.898000000001</v>
      </c>
      <c r="C51">
        <v>2.0000475999999998</v>
      </c>
      <c r="D51">
        <v>8.1707641000000001E-3</v>
      </c>
      <c r="E51">
        <v>5.7836556677000002E-2</v>
      </c>
      <c r="F51">
        <v>0.15562490250200001</v>
      </c>
      <c r="G51">
        <v>1</v>
      </c>
      <c r="H51">
        <v>1E-3</v>
      </c>
    </row>
    <row r="52" spans="1:8" x14ac:dyDescent="0.3">
      <c r="A52">
        <v>3565</v>
      </c>
      <c r="B52">
        <v>50070.0629999999</v>
      </c>
      <c r="C52">
        <v>2.0011926999999998</v>
      </c>
      <c r="D52">
        <v>8.1644840999999992E-3</v>
      </c>
      <c r="E52">
        <v>4.6429117834E-2</v>
      </c>
      <c r="F52">
        <v>0.24154043503700001</v>
      </c>
      <c r="G52">
        <v>0.99512027429899996</v>
      </c>
      <c r="H52">
        <v>1E-3</v>
      </c>
    </row>
    <row r="53" spans="1:8" x14ac:dyDescent="0.3">
      <c r="A53">
        <v>3580</v>
      </c>
      <c r="B53">
        <v>35255.786</v>
      </c>
      <c r="C53">
        <v>1.9994589</v>
      </c>
      <c r="D53">
        <v>8.8201801999999996E-3</v>
      </c>
      <c r="E53">
        <v>5.0159946556E-2</v>
      </c>
      <c r="F53">
        <v>0.208637022452</v>
      </c>
      <c r="G53">
        <v>1.000395106382</v>
      </c>
      <c r="H53">
        <v>1E-3</v>
      </c>
    </row>
    <row r="54" spans="1:8" x14ac:dyDescent="0.3">
      <c r="A54">
        <v>3585</v>
      </c>
      <c r="B54">
        <v>40459.226000000002</v>
      </c>
      <c r="C54">
        <v>2.0012029</v>
      </c>
      <c r="D54">
        <v>8.8156837999999998E-3</v>
      </c>
      <c r="E54">
        <v>5.4152831748999999E-2</v>
      </c>
      <c r="F54">
        <v>9.8029687374000002E-2</v>
      </c>
      <c r="G54">
        <v>1.000000409863</v>
      </c>
      <c r="H54">
        <v>1E-3</v>
      </c>
    </row>
    <row r="55" spans="1:8" x14ac:dyDescent="0.3">
      <c r="A55">
        <v>3590</v>
      </c>
      <c r="B55">
        <v>53818.567999999999</v>
      </c>
      <c r="C55">
        <v>1.9967973000000001</v>
      </c>
      <c r="D55">
        <v>8.7309714000000007E-3</v>
      </c>
      <c r="E55">
        <v>4.1167096551000003E-2</v>
      </c>
      <c r="F55">
        <v>0.212177893669</v>
      </c>
      <c r="G55">
        <v>1</v>
      </c>
      <c r="H55">
        <v>1E-3</v>
      </c>
    </row>
    <row r="56" spans="1:8" x14ac:dyDescent="0.3">
      <c r="A56">
        <v>3595</v>
      </c>
      <c r="B56">
        <v>47348.517</v>
      </c>
      <c r="C56">
        <v>1.9992992000000001</v>
      </c>
      <c r="D56">
        <v>5.835064E-3</v>
      </c>
      <c r="E56">
        <v>3.8702673856E-2</v>
      </c>
      <c r="F56">
        <v>7.4519684599000005E-2</v>
      </c>
      <c r="G56">
        <v>1</v>
      </c>
      <c r="H56">
        <v>1E-3</v>
      </c>
    </row>
    <row r="57" spans="1:8" x14ac:dyDescent="0.3">
      <c r="A57">
        <v>3600</v>
      </c>
      <c r="B57">
        <v>47973.154999999999</v>
      </c>
      <c r="C57">
        <v>1.9991181</v>
      </c>
      <c r="D57">
        <v>6.2784175000000003E-3</v>
      </c>
      <c r="E57">
        <v>2.5062359005999998E-2</v>
      </c>
      <c r="F57">
        <v>4.9672503373999997E-2</v>
      </c>
      <c r="G57">
        <v>1</v>
      </c>
      <c r="H57">
        <v>1E-3</v>
      </c>
    </row>
    <row r="58" spans="1:8" x14ac:dyDescent="0.3">
      <c r="A58">
        <v>3605</v>
      </c>
      <c r="B58">
        <v>57163.252</v>
      </c>
      <c r="C58">
        <v>2.0001232</v>
      </c>
      <c r="D58">
        <v>6.7898999999999998E-3</v>
      </c>
      <c r="E58">
        <v>3.255305646E-2</v>
      </c>
      <c r="F58">
        <v>5.3979295995000003E-2</v>
      </c>
      <c r="G58">
        <v>1</v>
      </c>
      <c r="H58">
        <v>1E-3</v>
      </c>
    </row>
    <row r="59" spans="1:8" x14ac:dyDescent="0.3">
      <c r="A59">
        <v>3610</v>
      </c>
      <c r="B59">
        <v>54784.334000000003</v>
      </c>
      <c r="C59">
        <v>1.998629</v>
      </c>
      <c r="D59">
        <v>7.5754587E-3</v>
      </c>
      <c r="E59">
        <v>2.1621591034E-2</v>
      </c>
      <c r="F59">
        <v>4.9450714803999998E-2</v>
      </c>
      <c r="G59">
        <v>1</v>
      </c>
      <c r="H59">
        <v>1E-3</v>
      </c>
    </row>
    <row r="60" spans="1:8" x14ac:dyDescent="0.3">
      <c r="A60">
        <v>3615</v>
      </c>
      <c r="B60">
        <v>31588.058999999899</v>
      </c>
      <c r="C60">
        <v>1.9987412</v>
      </c>
      <c r="D60">
        <v>8.7546195999999993E-3</v>
      </c>
      <c r="E60">
        <v>3.7590961382E-2</v>
      </c>
      <c r="F60">
        <v>0.36076594839199999</v>
      </c>
      <c r="G60">
        <v>1</v>
      </c>
      <c r="H60">
        <v>1E-3</v>
      </c>
    </row>
    <row r="61" spans="1:8" x14ac:dyDescent="0.3">
      <c r="A61">
        <v>3620</v>
      </c>
      <c r="B61">
        <v>26071.437000000002</v>
      </c>
      <c r="C61">
        <v>1.9990087000000001</v>
      </c>
      <c r="D61">
        <v>8.9130362000000001E-3</v>
      </c>
      <c r="E61">
        <v>5.6720140028E-2</v>
      </c>
      <c r="F61">
        <v>0.20886546715500001</v>
      </c>
      <c r="G61">
        <v>0.99999999996900002</v>
      </c>
      <c r="H61">
        <v>1E-3</v>
      </c>
    </row>
    <row r="62" spans="1:8" x14ac:dyDescent="0.3">
      <c r="A62">
        <v>3625</v>
      </c>
      <c r="B62">
        <v>17368.556</v>
      </c>
      <c r="C62">
        <v>2.0012327999999999</v>
      </c>
      <c r="D62">
        <v>8.9277278999999998E-3</v>
      </c>
      <c r="E62">
        <v>4.2520075677000002E-2</v>
      </c>
      <c r="F62">
        <v>0.191015705684</v>
      </c>
      <c r="G62">
        <v>0.99953342271199996</v>
      </c>
      <c r="H62">
        <v>1E-3</v>
      </c>
    </row>
    <row r="63" spans="1:8" x14ac:dyDescent="0.3">
      <c r="A63">
        <v>3630</v>
      </c>
      <c r="B63">
        <v>35515.373</v>
      </c>
      <c r="C63">
        <v>2.0006316000000002</v>
      </c>
      <c r="D63">
        <v>8.8231347000000005E-3</v>
      </c>
      <c r="E63">
        <v>5.1678663869999999E-3</v>
      </c>
      <c r="F63">
        <v>0.163397118935</v>
      </c>
      <c r="G63">
        <v>1</v>
      </c>
      <c r="H63">
        <v>1E-3</v>
      </c>
    </row>
    <row r="64" spans="1:8" x14ac:dyDescent="0.3">
      <c r="A64">
        <v>3635</v>
      </c>
      <c r="B64">
        <v>37465.438999999998</v>
      </c>
      <c r="C64">
        <v>1.9984885999999999</v>
      </c>
      <c r="D64">
        <v>8.8198775E-3</v>
      </c>
      <c r="E64">
        <v>2.7181720220999999E-2</v>
      </c>
      <c r="F64">
        <v>0.17686788647400001</v>
      </c>
      <c r="G64">
        <v>1</v>
      </c>
      <c r="H64">
        <v>1E-3</v>
      </c>
    </row>
    <row r="65" spans="1:8" x14ac:dyDescent="0.3">
      <c r="A65">
        <v>3640</v>
      </c>
      <c r="B65">
        <v>39125.127</v>
      </c>
      <c r="C65">
        <v>1.9996974999999999</v>
      </c>
      <c r="D65">
        <v>8.0823926000000001E-3</v>
      </c>
      <c r="E65">
        <v>4.760377155E-2</v>
      </c>
      <c r="F65">
        <v>0.22402310396799999</v>
      </c>
      <c r="G65">
        <v>1</v>
      </c>
      <c r="H65">
        <v>1E-3</v>
      </c>
    </row>
    <row r="66" spans="1:8" x14ac:dyDescent="0.3">
      <c r="A66">
        <v>3645</v>
      </c>
      <c r="B66">
        <v>60931.909</v>
      </c>
      <c r="C66">
        <v>2.0001934000000001</v>
      </c>
      <c r="D66">
        <v>7.9447469000000007E-3</v>
      </c>
      <c r="E66">
        <v>2.6774235755E-2</v>
      </c>
      <c r="F66">
        <v>0.15563305341899999</v>
      </c>
      <c r="G66">
        <v>1</v>
      </c>
      <c r="H66">
        <v>1E-3</v>
      </c>
    </row>
    <row r="67" spans="1:8" x14ac:dyDescent="0.3">
      <c r="A67">
        <v>3650</v>
      </c>
      <c r="B67">
        <v>51585.1859999999</v>
      </c>
      <c r="C67">
        <v>2.0005139999999999</v>
      </c>
      <c r="D67">
        <v>8.7654523000000005E-3</v>
      </c>
      <c r="E67">
        <v>0.10633942879699999</v>
      </c>
      <c r="F67">
        <v>0.62547908653899997</v>
      </c>
      <c r="G67">
        <v>1</v>
      </c>
      <c r="H67">
        <v>1E-3</v>
      </c>
    </row>
    <row r="68" spans="1:8" x14ac:dyDescent="0.3">
      <c r="A68">
        <v>3655</v>
      </c>
      <c r="B68">
        <v>36926.625</v>
      </c>
      <c r="C68">
        <v>1.9974083</v>
      </c>
      <c r="D68">
        <v>8.8271315E-3</v>
      </c>
      <c r="E68">
        <v>4.4834783757E-2</v>
      </c>
      <c r="F68">
        <v>0.38771559853100002</v>
      </c>
      <c r="G68">
        <v>1</v>
      </c>
      <c r="H68">
        <v>1E-3</v>
      </c>
    </row>
    <row r="69" spans="1:8" x14ac:dyDescent="0.3">
      <c r="A69">
        <v>3660</v>
      </c>
      <c r="B69">
        <v>31738.087</v>
      </c>
      <c r="C69">
        <v>2.0004952</v>
      </c>
      <c r="D69">
        <v>8.8243516000000004E-3</v>
      </c>
      <c r="E69">
        <v>4.4974525777E-2</v>
      </c>
      <c r="F69">
        <v>0.234647717171</v>
      </c>
      <c r="G69">
        <v>1</v>
      </c>
      <c r="H69">
        <v>1E-3</v>
      </c>
    </row>
    <row r="70" spans="1:8" x14ac:dyDescent="0.3">
      <c r="A70">
        <v>3665</v>
      </c>
      <c r="B70">
        <v>48944.500999999997</v>
      </c>
      <c r="C70">
        <v>2.0000076999999998</v>
      </c>
      <c r="D70">
        <v>8.8040987000000005E-3</v>
      </c>
      <c r="E70">
        <v>4.0471388562999998E-2</v>
      </c>
      <c r="F70">
        <v>0.26283337263700002</v>
      </c>
      <c r="G70">
        <v>1</v>
      </c>
      <c r="H70">
        <v>1E-3</v>
      </c>
    </row>
    <row r="71" spans="1:8" x14ac:dyDescent="0.3">
      <c r="A71">
        <v>3670</v>
      </c>
      <c r="B71">
        <v>55795.576999999997</v>
      </c>
      <c r="C71">
        <v>1.9993536000000001</v>
      </c>
      <c r="D71">
        <v>8.8160383000000005E-3</v>
      </c>
      <c r="E71">
        <v>5.5925293413000003E-2</v>
      </c>
      <c r="F71">
        <v>0.34686585767200001</v>
      </c>
      <c r="G71">
        <v>1</v>
      </c>
      <c r="H71">
        <v>1E-3</v>
      </c>
    </row>
    <row r="72" spans="1:8" x14ac:dyDescent="0.3">
      <c r="A72">
        <v>3675</v>
      </c>
      <c r="B72">
        <v>48287.014999999999</v>
      </c>
      <c r="C72">
        <v>2.0001456000000002</v>
      </c>
      <c r="D72">
        <v>8.8241207000000002E-3</v>
      </c>
      <c r="E72">
        <v>5.5066277910000003E-2</v>
      </c>
      <c r="F72">
        <v>0.36109659056299998</v>
      </c>
      <c r="G72">
        <v>1</v>
      </c>
      <c r="H72">
        <v>1E-3</v>
      </c>
    </row>
    <row r="73" spans="1:8" x14ac:dyDescent="0.3">
      <c r="A73">
        <v>3680</v>
      </c>
      <c r="B73">
        <v>44576.612000000001</v>
      </c>
      <c r="C73">
        <v>2.0006542999999999</v>
      </c>
      <c r="D73">
        <v>8.1571739999999997E-3</v>
      </c>
      <c r="E73">
        <v>3.3129444601000001E-2</v>
      </c>
      <c r="F73">
        <v>0.34298027782399998</v>
      </c>
      <c r="G73">
        <v>1</v>
      </c>
      <c r="H73">
        <v>1E-3</v>
      </c>
    </row>
    <row r="74" spans="1:8" x14ac:dyDescent="0.3">
      <c r="A74">
        <v>3685</v>
      </c>
      <c r="B74">
        <v>34623.502</v>
      </c>
      <c r="C74">
        <v>2.0000768999999998</v>
      </c>
      <c r="D74">
        <v>8.1621552E-3</v>
      </c>
      <c r="E74">
        <v>5.8048283855E-2</v>
      </c>
      <c r="F74">
        <v>0.390985516925</v>
      </c>
      <c r="G74">
        <v>1</v>
      </c>
      <c r="H74">
        <v>1E-3</v>
      </c>
    </row>
    <row r="75" spans="1:8" x14ac:dyDescent="0.3">
      <c r="A75">
        <v>3690</v>
      </c>
      <c r="B75">
        <v>37186.385999999999</v>
      </c>
      <c r="C75">
        <v>2.0010945000000002</v>
      </c>
      <c r="D75">
        <v>8.1012193000000003E-3</v>
      </c>
      <c r="E75">
        <v>3.1583966514E-2</v>
      </c>
      <c r="F75">
        <v>0.22650268096100001</v>
      </c>
      <c r="G75">
        <v>1</v>
      </c>
      <c r="H75">
        <v>1E-3</v>
      </c>
    </row>
    <row r="76" spans="1:8" x14ac:dyDescent="0.3">
      <c r="A76">
        <v>3695</v>
      </c>
      <c r="B76">
        <v>46500.936999999998</v>
      </c>
      <c r="C76">
        <v>2.0009014000000001</v>
      </c>
      <c r="D76">
        <v>8.8065428000000008E-3</v>
      </c>
      <c r="E76">
        <v>2.5940354059000002E-2</v>
      </c>
      <c r="F76">
        <v>0.16364758135400001</v>
      </c>
      <c r="G76">
        <v>1</v>
      </c>
      <c r="H76">
        <v>1E-3</v>
      </c>
    </row>
    <row r="77" spans="1:8" x14ac:dyDescent="0.3">
      <c r="A77">
        <v>3700</v>
      </c>
      <c r="B77">
        <v>29632.597000000002</v>
      </c>
      <c r="C77">
        <v>2.0003736000000001</v>
      </c>
      <c r="D77">
        <v>8.7289176000000003E-3</v>
      </c>
      <c r="E77">
        <v>3.8539254570999999E-2</v>
      </c>
      <c r="F77">
        <v>0.36589160934600001</v>
      </c>
      <c r="G77">
        <v>1</v>
      </c>
      <c r="H77">
        <v>1E-3</v>
      </c>
    </row>
    <row r="78" spans="1:8" x14ac:dyDescent="0.3">
      <c r="A78">
        <v>3705</v>
      </c>
      <c r="B78">
        <v>40381.839</v>
      </c>
      <c r="C78">
        <v>1.9999024000000001</v>
      </c>
      <c r="D78">
        <v>9.4790807999999994E-3</v>
      </c>
      <c r="E78">
        <v>4.2935350619000001E-2</v>
      </c>
      <c r="F78">
        <v>0.36016064884299998</v>
      </c>
      <c r="G78">
        <v>1</v>
      </c>
      <c r="H78">
        <v>1E-3</v>
      </c>
    </row>
    <row r="79" spans="1:8" x14ac:dyDescent="0.3">
      <c r="A79">
        <v>3710</v>
      </c>
      <c r="B79">
        <v>44243.48</v>
      </c>
      <c r="C79">
        <v>2.0000417000000001</v>
      </c>
      <c r="D79">
        <v>9.0739941999999994E-3</v>
      </c>
      <c r="E79">
        <v>2.8845580433999998E-2</v>
      </c>
      <c r="F79">
        <v>0.26786262152000001</v>
      </c>
      <c r="G79">
        <v>1</v>
      </c>
      <c r="H79">
        <v>1E-3</v>
      </c>
    </row>
    <row r="80" spans="1:8" x14ac:dyDescent="0.3">
      <c r="A80">
        <v>3715</v>
      </c>
      <c r="B80">
        <v>39579.177000000003</v>
      </c>
      <c r="C80">
        <v>2.0015358999999999</v>
      </c>
      <c r="D80">
        <v>9.1899640999999997E-3</v>
      </c>
      <c r="E80">
        <v>3.6167906074999999E-2</v>
      </c>
      <c r="F80">
        <v>0.29487536350600002</v>
      </c>
      <c r="G80">
        <v>1</v>
      </c>
      <c r="H80">
        <v>1E-3</v>
      </c>
    </row>
    <row r="81" spans="1:8" x14ac:dyDescent="0.3">
      <c r="A81">
        <v>3720</v>
      </c>
      <c r="B81">
        <v>52606.802000000003</v>
      </c>
      <c r="C81">
        <v>1.9975223</v>
      </c>
      <c r="D81">
        <v>8.3701444999999992E-3</v>
      </c>
      <c r="E81">
        <v>3.2926237717999997E-2</v>
      </c>
      <c r="F81">
        <v>0.29050277972799998</v>
      </c>
      <c r="G81">
        <v>1</v>
      </c>
      <c r="H81">
        <v>1E-3</v>
      </c>
    </row>
    <row r="82" spans="1:8" x14ac:dyDescent="0.3">
      <c r="A82">
        <v>3725</v>
      </c>
      <c r="B82">
        <v>51065.322999999997</v>
      </c>
      <c r="C82">
        <v>2.0020726999999998</v>
      </c>
      <c r="D82">
        <v>8.1659786999999998E-3</v>
      </c>
      <c r="E82">
        <v>4.0825294009E-2</v>
      </c>
      <c r="F82">
        <v>0.29305465544100001</v>
      </c>
      <c r="G82">
        <v>1</v>
      </c>
      <c r="H82">
        <v>1E-3</v>
      </c>
    </row>
    <row r="83" spans="1:8" x14ac:dyDescent="0.3">
      <c r="A83">
        <v>3730</v>
      </c>
      <c r="B83">
        <v>66499.771999999997</v>
      </c>
      <c r="C83">
        <v>1.9976212</v>
      </c>
      <c r="D83">
        <v>8.1526512999999991E-3</v>
      </c>
      <c r="E83">
        <v>4.1629135796999998E-2</v>
      </c>
      <c r="F83">
        <v>0.30898511440699999</v>
      </c>
      <c r="G83">
        <v>1</v>
      </c>
      <c r="H83">
        <v>1E-3</v>
      </c>
    </row>
    <row r="84" spans="1:8" x14ac:dyDescent="0.3">
      <c r="A84">
        <v>3735</v>
      </c>
      <c r="B84">
        <v>40711.114000000001</v>
      </c>
      <c r="C84">
        <v>1.9991270000000001</v>
      </c>
      <c r="D84">
        <v>9.4900721E-3</v>
      </c>
      <c r="E84">
        <v>5.4674074221999998E-2</v>
      </c>
      <c r="F84">
        <v>0.379354737015</v>
      </c>
      <c r="G84">
        <v>1</v>
      </c>
      <c r="H84">
        <v>1E-3</v>
      </c>
    </row>
    <row r="85" spans="1:8" x14ac:dyDescent="0.3">
      <c r="A85">
        <v>3740</v>
      </c>
      <c r="B85">
        <v>39286.239000000001</v>
      </c>
      <c r="C85">
        <v>1.9980176999999999</v>
      </c>
      <c r="D85">
        <v>5.8695956999999998E-3</v>
      </c>
      <c r="E85">
        <v>5.6659739552000002E-2</v>
      </c>
      <c r="F85">
        <v>0.37934502765799999</v>
      </c>
      <c r="G85">
        <v>1</v>
      </c>
      <c r="H85">
        <v>1E-3</v>
      </c>
    </row>
    <row r="86" spans="1:8" x14ac:dyDescent="0.3">
      <c r="A86">
        <v>3745</v>
      </c>
      <c r="B86">
        <v>70948.748999999996</v>
      </c>
      <c r="C86">
        <v>1.9989053000000001</v>
      </c>
      <c r="D86">
        <v>8.6081249999999995E-3</v>
      </c>
      <c r="E86">
        <v>7.1144798257E-2</v>
      </c>
      <c r="F86">
        <v>0.38761198604899999</v>
      </c>
      <c r="G86">
        <v>1</v>
      </c>
      <c r="H86">
        <v>1E-3</v>
      </c>
    </row>
    <row r="87" spans="1:8" x14ac:dyDescent="0.3">
      <c r="A87">
        <v>3750</v>
      </c>
      <c r="B87">
        <v>31209.190999999999</v>
      </c>
      <c r="C87">
        <v>2.0003061</v>
      </c>
      <c r="D87">
        <v>8.6998339000000004E-3</v>
      </c>
      <c r="E87">
        <v>7.1399259480999996E-2</v>
      </c>
      <c r="F87">
        <v>0.455446647629</v>
      </c>
      <c r="G87">
        <v>1</v>
      </c>
      <c r="H87">
        <v>1E-3</v>
      </c>
    </row>
    <row r="88" spans="1:8" x14ac:dyDescent="0.3">
      <c r="A88">
        <v>3755</v>
      </c>
      <c r="B88">
        <v>38222.462999999902</v>
      </c>
      <c r="C88">
        <v>1.9993738999999999</v>
      </c>
      <c r="D88">
        <v>8.7165140999999995E-3</v>
      </c>
      <c r="E88">
        <v>1.7176436602000002E-2</v>
      </c>
      <c r="F88">
        <v>0.22845914663399999</v>
      </c>
      <c r="G88">
        <v>1</v>
      </c>
      <c r="H88">
        <v>1E-3</v>
      </c>
    </row>
    <row r="89" spans="1:8" x14ac:dyDescent="0.3">
      <c r="A89">
        <v>3760</v>
      </c>
      <c r="B89">
        <v>46129.404999999999</v>
      </c>
      <c r="C89">
        <v>2.0001191</v>
      </c>
      <c r="D89">
        <v>8.0095640000000003E-3</v>
      </c>
      <c r="E89">
        <v>2.7820991563999999E-2</v>
      </c>
      <c r="F89">
        <v>0.27234898807199998</v>
      </c>
      <c r="G89">
        <v>1</v>
      </c>
      <c r="H89">
        <v>1E-3</v>
      </c>
    </row>
    <row r="90" spans="1:8" x14ac:dyDescent="0.3">
      <c r="A90">
        <v>3765</v>
      </c>
      <c r="B90">
        <v>49690.284</v>
      </c>
      <c r="C90">
        <v>1.9996966</v>
      </c>
      <c r="D90">
        <v>8.0005722999999997E-3</v>
      </c>
      <c r="E90">
        <v>1.7025147829000001E-2</v>
      </c>
      <c r="F90">
        <v>0.26902732525099998</v>
      </c>
      <c r="G90">
        <v>1</v>
      </c>
      <c r="H90">
        <v>1E-3</v>
      </c>
    </row>
    <row r="91" spans="1:8" x14ac:dyDescent="0.3">
      <c r="A91">
        <v>3770</v>
      </c>
      <c r="B91">
        <v>55013.203000000001</v>
      </c>
      <c r="C91">
        <v>1.9995906000000001</v>
      </c>
      <c r="D91">
        <v>8.0109563000000002E-3</v>
      </c>
      <c r="E91">
        <v>2.0829322056999999E-2</v>
      </c>
      <c r="F91">
        <v>0.17678374855699999</v>
      </c>
      <c r="G91">
        <v>1</v>
      </c>
      <c r="H91">
        <v>1E-3</v>
      </c>
    </row>
    <row r="92" spans="1:8" x14ac:dyDescent="0.3">
      <c r="A92">
        <v>3775</v>
      </c>
      <c r="B92">
        <v>40305.858999999997</v>
      </c>
      <c r="C92">
        <v>1.9987703000000001</v>
      </c>
      <c r="D92">
        <v>9.1209824999999994E-3</v>
      </c>
      <c r="E92">
        <v>4.3905555851999997E-2</v>
      </c>
      <c r="F92">
        <v>0.29102694261500001</v>
      </c>
      <c r="G92">
        <v>1</v>
      </c>
      <c r="H92">
        <v>1E-3</v>
      </c>
    </row>
    <row r="93" spans="1:8" x14ac:dyDescent="0.3">
      <c r="A93">
        <v>3780</v>
      </c>
      <c r="B93">
        <v>31621.43</v>
      </c>
      <c r="C93">
        <v>1.9984245</v>
      </c>
      <c r="D93">
        <v>8.7510088999999992E-3</v>
      </c>
      <c r="E93">
        <v>6.3229538065999999E-2</v>
      </c>
      <c r="F93">
        <v>0.43638286941900001</v>
      </c>
      <c r="G93">
        <v>1</v>
      </c>
      <c r="H93">
        <v>1E-3</v>
      </c>
    </row>
    <row r="94" spans="1:8" x14ac:dyDescent="0.3">
      <c r="A94">
        <v>3785</v>
      </c>
      <c r="B94">
        <v>39829.290999999997</v>
      </c>
      <c r="C94">
        <v>1.9989039</v>
      </c>
      <c r="D94">
        <v>8.7149437999999996E-3</v>
      </c>
      <c r="E94">
        <v>6.5711094949000001E-2</v>
      </c>
      <c r="F94">
        <v>0.43637037713900001</v>
      </c>
      <c r="G94">
        <v>1</v>
      </c>
      <c r="H94">
        <v>1E-3</v>
      </c>
    </row>
    <row r="95" spans="1:8" x14ac:dyDescent="0.3">
      <c r="A95">
        <v>3790</v>
      </c>
      <c r="B95">
        <v>41146.105000000003</v>
      </c>
      <c r="C95">
        <v>1.9987629</v>
      </c>
      <c r="D95">
        <v>8.7124533000000007E-3</v>
      </c>
      <c r="E95">
        <v>5.6422433661999997E-2</v>
      </c>
      <c r="F95">
        <v>0.44936082813200001</v>
      </c>
      <c r="G95">
        <v>1</v>
      </c>
      <c r="H95">
        <v>1E-3</v>
      </c>
    </row>
    <row r="96" spans="1:8" x14ac:dyDescent="0.3">
      <c r="A96">
        <v>3795</v>
      </c>
      <c r="B96">
        <v>45492.477999999901</v>
      </c>
      <c r="C96">
        <v>1.9985495</v>
      </c>
      <c r="D96">
        <v>8.7018453999999999E-3</v>
      </c>
      <c r="E96">
        <v>5.9017228960000001E-2</v>
      </c>
      <c r="F96">
        <v>0.42420715246500001</v>
      </c>
      <c r="G96">
        <v>1</v>
      </c>
      <c r="H96">
        <v>1E-3</v>
      </c>
    </row>
    <row r="97" spans="1:8" x14ac:dyDescent="0.3">
      <c r="A97">
        <v>3800</v>
      </c>
      <c r="B97">
        <v>45979.692000000003</v>
      </c>
      <c r="C97">
        <v>1.9984976000000001</v>
      </c>
      <c r="D97">
        <v>8.0045185999999997E-3</v>
      </c>
      <c r="E97">
        <v>6.8953783054000004E-2</v>
      </c>
      <c r="F97">
        <v>0.39952035733300001</v>
      </c>
      <c r="G97">
        <v>1</v>
      </c>
      <c r="H97">
        <v>1E-3</v>
      </c>
    </row>
    <row r="98" spans="1:8" x14ac:dyDescent="0.3">
      <c r="A98">
        <v>3805</v>
      </c>
      <c r="B98">
        <v>45190.017</v>
      </c>
      <c r="C98">
        <v>1.9996830000000001</v>
      </c>
      <c r="D98">
        <v>7.9956799999999998E-3</v>
      </c>
      <c r="E98">
        <v>6.9476209868999994E-2</v>
      </c>
      <c r="F98">
        <v>0.49274665007500001</v>
      </c>
      <c r="G98">
        <v>1</v>
      </c>
      <c r="H98">
        <v>1E-3</v>
      </c>
    </row>
    <row r="99" spans="1:8" x14ac:dyDescent="0.3">
      <c r="A99">
        <v>3810</v>
      </c>
      <c r="B99">
        <v>48461.381999999998</v>
      </c>
      <c r="C99">
        <v>1.9990276</v>
      </c>
      <c r="D99">
        <v>7.9977795999999993E-3</v>
      </c>
      <c r="E99">
        <v>7.1033970552999995E-2</v>
      </c>
      <c r="F99">
        <v>0.54350938762699996</v>
      </c>
      <c r="G99">
        <v>1</v>
      </c>
      <c r="H99">
        <v>1E-3</v>
      </c>
    </row>
    <row r="100" spans="1:8" x14ac:dyDescent="0.3">
      <c r="A100">
        <v>3815</v>
      </c>
      <c r="B100">
        <v>33638.680999999997</v>
      </c>
      <c r="C100">
        <v>1.9965401</v>
      </c>
      <c r="D100">
        <v>7.9803187000000008E-3</v>
      </c>
      <c r="E100">
        <v>8.9567993718999997E-2</v>
      </c>
      <c r="F100">
        <v>0.44750902280799998</v>
      </c>
      <c r="G100">
        <v>1</v>
      </c>
      <c r="H100">
        <v>1E-3</v>
      </c>
    </row>
    <row r="101" spans="1:8" x14ac:dyDescent="0.3">
      <c r="A101">
        <v>3820</v>
      </c>
      <c r="B101">
        <v>23809.853999999999</v>
      </c>
      <c r="C101">
        <v>1.9971734000000001</v>
      </c>
      <c r="D101">
        <v>8.7186772000000003E-3</v>
      </c>
      <c r="E101">
        <v>6.1776377590000001E-2</v>
      </c>
      <c r="F101">
        <v>0.40171761212899998</v>
      </c>
      <c r="G101">
        <v>1</v>
      </c>
      <c r="H101">
        <v>1E-3</v>
      </c>
    </row>
    <row r="102" spans="1:8" x14ac:dyDescent="0.3">
      <c r="A102">
        <v>3825</v>
      </c>
      <c r="B102">
        <v>29839.423999999999</v>
      </c>
      <c r="C102">
        <v>1.9987841</v>
      </c>
      <c r="D102">
        <v>8.6400890999999997E-3</v>
      </c>
      <c r="E102">
        <v>1.8961989695999999E-2</v>
      </c>
      <c r="F102">
        <v>0.43794737865</v>
      </c>
      <c r="G102">
        <v>1</v>
      </c>
      <c r="H102">
        <v>1E-3</v>
      </c>
    </row>
    <row r="103" spans="1:8" x14ac:dyDescent="0.3">
      <c r="A103">
        <v>3830</v>
      </c>
      <c r="B103">
        <v>27483.212</v>
      </c>
      <c r="C103">
        <v>2.0003042</v>
      </c>
      <c r="D103">
        <v>8.7257818000000004E-3</v>
      </c>
      <c r="E103">
        <v>7.5792397114000001E-2</v>
      </c>
      <c r="F103">
        <v>0.69367108408900002</v>
      </c>
      <c r="G103">
        <v>1.00903837443</v>
      </c>
      <c r="H103">
        <v>1E-3</v>
      </c>
    </row>
    <row r="104" spans="1:8" x14ac:dyDescent="0.3">
      <c r="A104">
        <v>3835</v>
      </c>
      <c r="B104">
        <v>35711.046999999999</v>
      </c>
      <c r="C104">
        <v>2.0010444999999999</v>
      </c>
      <c r="D104">
        <v>8.6989406999999994E-3</v>
      </c>
      <c r="E104">
        <v>0.27934558192600001</v>
      </c>
      <c r="F104">
        <v>1</v>
      </c>
      <c r="G104">
        <v>0.39976270642799999</v>
      </c>
      <c r="H104">
        <v>1E-3</v>
      </c>
    </row>
    <row r="105" spans="1:8" x14ac:dyDescent="0.3">
      <c r="A105">
        <v>3840</v>
      </c>
      <c r="B105">
        <v>55441.036999999997</v>
      </c>
      <c r="C105">
        <v>1.9996143</v>
      </c>
      <c r="D105">
        <v>7.9872819000000005E-3</v>
      </c>
      <c r="E105">
        <v>0.21521729719999999</v>
      </c>
      <c r="F105">
        <v>0.99998739667400005</v>
      </c>
      <c r="G105">
        <v>0.53481489161999995</v>
      </c>
      <c r="H105">
        <v>1E-3</v>
      </c>
    </row>
    <row r="106" spans="1:8" x14ac:dyDescent="0.3">
      <c r="A106">
        <v>3845</v>
      </c>
      <c r="B106">
        <v>69828.84</v>
      </c>
      <c r="C106">
        <v>1.9999325999999999</v>
      </c>
      <c r="D106">
        <v>8.0114209999999995E-3</v>
      </c>
      <c r="E106">
        <v>0.27029466718599998</v>
      </c>
      <c r="F106">
        <v>1</v>
      </c>
      <c r="G106">
        <v>0.35651054464300003</v>
      </c>
      <c r="H106">
        <v>1E-3</v>
      </c>
    </row>
    <row r="107" spans="1:8" x14ac:dyDescent="0.3">
      <c r="A107">
        <v>3850</v>
      </c>
      <c r="B107">
        <v>60725.976999999999</v>
      </c>
      <c r="C107">
        <v>1.9978049</v>
      </c>
      <c r="D107">
        <v>8.0026420000000008E-3</v>
      </c>
      <c r="E107">
        <v>0.26495700790499999</v>
      </c>
      <c r="F107">
        <v>1</v>
      </c>
      <c r="G107">
        <v>0.35139347378399999</v>
      </c>
      <c r="H107">
        <v>1E-3</v>
      </c>
    </row>
    <row r="108" spans="1:8" x14ac:dyDescent="0.3">
      <c r="A108">
        <v>3855</v>
      </c>
      <c r="B108">
        <v>36845.538999999997</v>
      </c>
      <c r="C108">
        <v>1.9986469</v>
      </c>
      <c r="D108">
        <v>8.7198189000000006E-3</v>
      </c>
      <c r="E108">
        <v>0.221582889753</v>
      </c>
      <c r="F108">
        <v>1</v>
      </c>
      <c r="G108">
        <v>0.529283964005</v>
      </c>
      <c r="H108">
        <v>1E-3</v>
      </c>
    </row>
    <row r="109" spans="1:8" x14ac:dyDescent="0.3">
      <c r="A109">
        <v>3860</v>
      </c>
      <c r="B109">
        <v>29158.287999999899</v>
      </c>
      <c r="C109">
        <v>1.9991947999999999</v>
      </c>
      <c r="D109">
        <v>8.7274414000000008E-3</v>
      </c>
      <c r="E109">
        <v>0.18100488910099999</v>
      </c>
      <c r="F109">
        <v>1</v>
      </c>
      <c r="G109">
        <v>0.60400105321999997</v>
      </c>
      <c r="H109">
        <v>1E-3</v>
      </c>
    </row>
    <row r="110" spans="1:8" x14ac:dyDescent="0.3">
      <c r="A110">
        <v>3865</v>
      </c>
      <c r="B110">
        <v>44807.529000000002</v>
      </c>
      <c r="C110">
        <v>1.9993007</v>
      </c>
      <c r="D110">
        <v>8.6974041999999998E-3</v>
      </c>
      <c r="E110">
        <v>0.15129676364799999</v>
      </c>
      <c r="F110">
        <v>1</v>
      </c>
      <c r="G110">
        <v>0.81733778474300001</v>
      </c>
      <c r="H110">
        <v>1E-3</v>
      </c>
    </row>
    <row r="111" spans="1:8" x14ac:dyDescent="0.3">
      <c r="A111">
        <v>3870</v>
      </c>
      <c r="B111">
        <v>58069.453000000001</v>
      </c>
      <c r="C111">
        <v>1.9995504</v>
      </c>
      <c r="D111">
        <v>8.7151131999999992E-3</v>
      </c>
      <c r="E111">
        <v>0.14788145296899999</v>
      </c>
      <c r="F111">
        <v>1</v>
      </c>
      <c r="G111">
        <v>0.79425043791600003</v>
      </c>
      <c r="H111">
        <v>1E-3</v>
      </c>
    </row>
    <row r="112" spans="1:8" x14ac:dyDescent="0.3">
      <c r="A112">
        <v>3875</v>
      </c>
      <c r="B112">
        <v>42989.008999999998</v>
      </c>
      <c r="C112">
        <v>1.9997094</v>
      </c>
      <c r="D112">
        <v>8.7252201000000001E-3</v>
      </c>
      <c r="E112">
        <v>6.269834799E-3</v>
      </c>
      <c r="F112">
        <v>1.0000000000880001</v>
      </c>
      <c r="G112">
        <v>1.013334866808</v>
      </c>
      <c r="H112">
        <v>1E-3</v>
      </c>
    </row>
    <row r="113" spans="1:8" x14ac:dyDescent="0.3">
      <c r="A113">
        <v>3880</v>
      </c>
      <c r="B113">
        <v>63292.934999999998</v>
      </c>
      <c r="C113">
        <v>1.9996722</v>
      </c>
      <c r="D113">
        <v>8.0000798000000005E-3</v>
      </c>
      <c r="E113">
        <v>5.6055725275000003E-2</v>
      </c>
      <c r="F113">
        <v>0.78264212888899998</v>
      </c>
      <c r="G113">
        <v>1</v>
      </c>
      <c r="H113">
        <v>1E-3</v>
      </c>
    </row>
    <row r="114" spans="1:8" x14ac:dyDescent="0.3">
      <c r="A114">
        <v>3885</v>
      </c>
      <c r="B114">
        <v>64154.212999999902</v>
      </c>
      <c r="C114">
        <v>1.9991367</v>
      </c>
      <c r="D114">
        <v>8.0109563000000002E-3</v>
      </c>
      <c r="E114">
        <v>8.9573438367999997E-2</v>
      </c>
      <c r="F114">
        <v>0.75958735509700004</v>
      </c>
      <c r="G114">
        <v>1</v>
      </c>
      <c r="H114">
        <v>1E-3</v>
      </c>
    </row>
    <row r="115" spans="1:8" x14ac:dyDescent="0.3">
      <c r="A115">
        <v>3890</v>
      </c>
      <c r="B115">
        <v>56690.940999999999</v>
      </c>
      <c r="C115">
        <v>1.9991023000000001</v>
      </c>
      <c r="D115">
        <v>7.9995898999999995E-3</v>
      </c>
      <c r="E115">
        <v>6.1272519987E-2</v>
      </c>
      <c r="F115">
        <v>0.69120386065499995</v>
      </c>
      <c r="G115">
        <v>1</v>
      </c>
      <c r="H115">
        <v>1E-3</v>
      </c>
    </row>
    <row r="116" spans="1:8" x14ac:dyDescent="0.3">
      <c r="A116">
        <v>3895</v>
      </c>
      <c r="B116">
        <v>38115.807000000001</v>
      </c>
      <c r="C116">
        <v>2.0017079999999998</v>
      </c>
      <c r="D116">
        <v>1.0447494999999999E-2</v>
      </c>
      <c r="E116">
        <v>0.106132880235</v>
      </c>
      <c r="F116">
        <v>0.73686929643599997</v>
      </c>
      <c r="G116">
        <v>0.99999936156500002</v>
      </c>
      <c r="H116">
        <v>1E-3</v>
      </c>
    </row>
    <row r="117" spans="1:8" x14ac:dyDescent="0.3">
      <c r="A117">
        <v>3900</v>
      </c>
      <c r="B117">
        <v>31893.991999999998</v>
      </c>
      <c r="C117">
        <v>1.9980519999999999</v>
      </c>
      <c r="D117">
        <v>8.7180650000000005E-3</v>
      </c>
      <c r="E117">
        <v>0.11934987343800001</v>
      </c>
      <c r="F117">
        <v>0.64863952384000001</v>
      </c>
      <c r="G117">
        <v>1.00000000042</v>
      </c>
      <c r="H117">
        <v>1E-3</v>
      </c>
    </row>
    <row r="118" spans="1:8" x14ac:dyDescent="0.3">
      <c r="A118">
        <v>3905</v>
      </c>
      <c r="B118">
        <v>28826.264999999999</v>
      </c>
      <c r="C118">
        <v>2.0001598999999999</v>
      </c>
      <c r="D118">
        <v>8.7314847999999997E-3</v>
      </c>
      <c r="E118">
        <v>0.116232220673</v>
      </c>
      <c r="F118">
        <v>0.63610840291699999</v>
      </c>
      <c r="G118">
        <v>1.0001664415189999</v>
      </c>
      <c r="H118">
        <v>1E-3</v>
      </c>
    </row>
    <row r="119" spans="1:8" x14ac:dyDescent="0.3">
      <c r="A119">
        <v>3910</v>
      </c>
      <c r="B119">
        <v>26972.945</v>
      </c>
      <c r="C119">
        <v>1.9995598000000001</v>
      </c>
      <c r="D119">
        <v>8.8142797999999998E-3</v>
      </c>
      <c r="E119">
        <v>8.7286965893999993E-2</v>
      </c>
      <c r="F119">
        <v>0.929936987263</v>
      </c>
      <c r="G119">
        <v>1</v>
      </c>
      <c r="H119">
        <v>1E-3</v>
      </c>
    </row>
    <row r="120" spans="1:8" x14ac:dyDescent="0.3">
      <c r="A120">
        <v>3915</v>
      </c>
      <c r="B120">
        <v>21042.732999999898</v>
      </c>
      <c r="C120">
        <v>1.9988870000000001</v>
      </c>
      <c r="D120">
        <v>8.7127186000000006E-3</v>
      </c>
      <c r="E120">
        <v>6.2475335585999998E-2</v>
      </c>
      <c r="F120">
        <v>0.75833836853500003</v>
      </c>
      <c r="G120">
        <v>1</v>
      </c>
      <c r="H120">
        <v>1E-3</v>
      </c>
    </row>
    <row r="121" spans="1:8" x14ac:dyDescent="0.3">
      <c r="A121">
        <v>3920</v>
      </c>
      <c r="B121">
        <v>37453.207999999999</v>
      </c>
      <c r="C121">
        <v>1.9998758999999999</v>
      </c>
      <c r="D121">
        <v>8.0076751999999998E-3</v>
      </c>
      <c r="E121">
        <v>3.7360369222999998E-2</v>
      </c>
      <c r="F121">
        <v>0.91941186213500004</v>
      </c>
      <c r="G121">
        <v>1</v>
      </c>
      <c r="H121">
        <v>1E-3</v>
      </c>
    </row>
    <row r="122" spans="1:8" x14ac:dyDescent="0.3">
      <c r="A122">
        <v>3925</v>
      </c>
      <c r="B122">
        <v>45694.985999999997</v>
      </c>
      <c r="C122">
        <v>1.9990125000000001</v>
      </c>
      <c r="D122">
        <v>7.9977795999999993E-3</v>
      </c>
      <c r="E122">
        <v>5.4432394666E-2</v>
      </c>
      <c r="F122">
        <v>0.76107682575900004</v>
      </c>
      <c r="G122">
        <v>1</v>
      </c>
      <c r="H122">
        <v>1E-3</v>
      </c>
    </row>
    <row r="123" spans="1:8" x14ac:dyDescent="0.3">
      <c r="A123">
        <v>3940</v>
      </c>
      <c r="B123">
        <v>34610.165000000001</v>
      </c>
      <c r="C123">
        <v>1.9965428000000001</v>
      </c>
      <c r="D123">
        <v>8.7176513000000004E-3</v>
      </c>
      <c r="E123">
        <v>8.8467270144999999E-2</v>
      </c>
      <c r="F123">
        <v>0.38269802093700001</v>
      </c>
      <c r="G123">
        <v>1</v>
      </c>
      <c r="H123">
        <v>1E-3</v>
      </c>
    </row>
    <row r="124" spans="1:8" x14ac:dyDescent="0.3">
      <c r="A124">
        <v>3945</v>
      </c>
      <c r="B124">
        <v>51089.58</v>
      </c>
      <c r="C124">
        <v>2.0334449999999999</v>
      </c>
      <c r="D124">
        <v>8.6257842000000001E-3</v>
      </c>
      <c r="E124">
        <v>2.5875740232999999E-2</v>
      </c>
      <c r="F124">
        <v>0.25593600560000002</v>
      </c>
      <c r="G124">
        <v>1</v>
      </c>
      <c r="H124">
        <v>1E-3</v>
      </c>
    </row>
    <row r="125" spans="1:8" x14ac:dyDescent="0.3">
      <c r="A125">
        <v>3950</v>
      </c>
      <c r="B125">
        <v>58211.325999999899</v>
      </c>
      <c r="C125">
        <v>2.0022101999999999</v>
      </c>
      <c r="D125">
        <v>7.3116207999999999E-3</v>
      </c>
      <c r="E125">
        <v>5.9274281376E-2</v>
      </c>
      <c r="F125">
        <v>0.34555422959900001</v>
      </c>
      <c r="G125">
        <v>1</v>
      </c>
      <c r="H125">
        <v>1E-3</v>
      </c>
    </row>
    <row r="126" spans="1:8" x14ac:dyDescent="0.3">
      <c r="A126">
        <v>3955</v>
      </c>
      <c r="B126">
        <v>86371.097999999998</v>
      </c>
      <c r="C126">
        <v>1.9218839999999999</v>
      </c>
      <c r="D126">
        <v>9.6097282000000006E-3</v>
      </c>
      <c r="E126">
        <v>0.19059066993500001</v>
      </c>
      <c r="F126">
        <v>0.16691741626100001</v>
      </c>
      <c r="G126">
        <v>1.0000002999340001</v>
      </c>
      <c r="H126">
        <v>96.627077624145997</v>
      </c>
    </row>
    <row r="127" spans="1:8" x14ac:dyDescent="0.3">
      <c r="A127">
        <v>3960</v>
      </c>
      <c r="B127">
        <v>32453.181</v>
      </c>
      <c r="C127">
        <v>1.6848091999999999</v>
      </c>
      <c r="D127">
        <v>2.6663491000000002E-3</v>
      </c>
      <c r="E127">
        <v>0.22088792939900001</v>
      </c>
      <c r="F127">
        <v>0.25550408516799999</v>
      </c>
      <c r="G127">
        <v>0.96789491415600004</v>
      </c>
      <c r="H127">
        <v>29.314979559798999</v>
      </c>
    </row>
    <row r="128" spans="1:8" x14ac:dyDescent="0.3">
      <c r="A128">
        <v>3965</v>
      </c>
      <c r="B128">
        <v>32720.292000000001</v>
      </c>
      <c r="C128">
        <v>1.9998848</v>
      </c>
      <c r="D128">
        <v>8.0057340000000005E-3</v>
      </c>
      <c r="E128">
        <v>0.222342725834</v>
      </c>
      <c r="F128">
        <v>0.26268813718200001</v>
      </c>
      <c r="G128">
        <v>1.0026926439229999</v>
      </c>
      <c r="H128">
        <v>25.999092722627001</v>
      </c>
    </row>
    <row r="129" spans="1:8" x14ac:dyDescent="0.3">
      <c r="A129">
        <v>3970</v>
      </c>
      <c r="B129">
        <v>29672.6</v>
      </c>
      <c r="C129">
        <v>1.9984926999999999</v>
      </c>
      <c r="D129">
        <v>8.0172275999999994E-3</v>
      </c>
      <c r="E129">
        <v>0.23025517948800001</v>
      </c>
      <c r="F129">
        <v>0.183799879788</v>
      </c>
      <c r="G129">
        <v>0.99773213557600005</v>
      </c>
      <c r="H129">
        <v>154.285112655435</v>
      </c>
    </row>
    <row r="130" spans="1:8" x14ac:dyDescent="0.3">
      <c r="A130">
        <v>3975</v>
      </c>
      <c r="B130">
        <v>43582.532999999901</v>
      </c>
      <c r="C130">
        <v>1.8850254</v>
      </c>
      <c r="D130">
        <v>9.1380434000000003E-3</v>
      </c>
      <c r="E130">
        <v>0.25891786337200001</v>
      </c>
      <c r="F130">
        <v>0.214524312775</v>
      </c>
      <c r="G130">
        <v>0.94185370105499999</v>
      </c>
      <c r="H130">
        <v>137.278572447442</v>
      </c>
    </row>
    <row r="131" spans="1:8" x14ac:dyDescent="0.3">
      <c r="A131">
        <v>3980</v>
      </c>
      <c r="B131">
        <v>45641.460999999901</v>
      </c>
      <c r="C131">
        <v>1.9994082</v>
      </c>
      <c r="D131">
        <v>8.6355723999999995E-3</v>
      </c>
      <c r="E131">
        <v>4.4943206865000002E-2</v>
      </c>
      <c r="F131">
        <v>0.23628333821899999</v>
      </c>
      <c r="G131">
        <v>0.99999403624399996</v>
      </c>
      <c r="H131">
        <v>1.695416166934</v>
      </c>
    </row>
    <row r="132" spans="1:8" x14ac:dyDescent="0.3">
      <c r="A132">
        <v>3985</v>
      </c>
      <c r="B132">
        <v>45390.125</v>
      </c>
      <c r="C132">
        <v>1.9984903999999999</v>
      </c>
      <c r="D132">
        <v>8.7243139000000008E-3</v>
      </c>
      <c r="E132">
        <v>0.213101326531</v>
      </c>
      <c r="F132">
        <v>9.8045322059999995E-2</v>
      </c>
      <c r="G132">
        <v>1</v>
      </c>
      <c r="H132">
        <v>665.63702101504202</v>
      </c>
    </row>
    <row r="133" spans="1:8" x14ac:dyDescent="0.3">
      <c r="A133">
        <v>3990</v>
      </c>
      <c r="B133">
        <v>55678.462</v>
      </c>
      <c r="C133">
        <v>2.0000979000000001</v>
      </c>
      <c r="D133">
        <v>9.0584315000000002E-3</v>
      </c>
      <c r="E133">
        <v>0.20440728802200001</v>
      </c>
      <c r="F133">
        <v>0.137021577546</v>
      </c>
      <c r="G133">
        <v>0.99949553918699996</v>
      </c>
      <c r="H133">
        <v>252.338113524113</v>
      </c>
    </row>
    <row r="134" spans="1:8" x14ac:dyDescent="0.3">
      <c r="A134">
        <v>3995</v>
      </c>
      <c r="B134">
        <v>65754.122000000003</v>
      </c>
      <c r="C134">
        <v>1.9986801999999999</v>
      </c>
      <c r="D134">
        <v>8.8096567999999993E-3</v>
      </c>
      <c r="E134">
        <v>0.20910503406200001</v>
      </c>
      <c r="F134">
        <v>0.108711489733</v>
      </c>
      <c r="G134">
        <v>0.99999999993499999</v>
      </c>
      <c r="H134">
        <v>495.14971388297897</v>
      </c>
    </row>
    <row r="135" spans="1:8" x14ac:dyDescent="0.3">
      <c r="A135">
        <v>4000</v>
      </c>
      <c r="B135">
        <v>72975.357999999993</v>
      </c>
      <c r="C135">
        <v>1.9995409</v>
      </c>
      <c r="D135">
        <v>8.1554296999999994E-3</v>
      </c>
      <c r="E135">
        <v>0.20105613811600001</v>
      </c>
      <c r="F135">
        <v>9.2304054534999999E-2</v>
      </c>
      <c r="G135">
        <v>0.99999999999</v>
      </c>
      <c r="H135">
        <v>599.32078994999199</v>
      </c>
    </row>
    <row r="136" spans="1:8" x14ac:dyDescent="0.3">
      <c r="A136">
        <v>4005</v>
      </c>
      <c r="B136">
        <v>77870.782999999996</v>
      </c>
      <c r="C136">
        <v>1.9997689000000001</v>
      </c>
      <c r="D136">
        <v>8.1491823000000001E-3</v>
      </c>
      <c r="E136">
        <v>0.23536316168499999</v>
      </c>
      <c r="F136">
        <v>0.15757987569699999</v>
      </c>
      <c r="G136">
        <v>0.99324823041499999</v>
      </c>
      <c r="H136">
        <v>290.38776481249801</v>
      </c>
    </row>
    <row r="137" spans="1:8" x14ac:dyDescent="0.3">
      <c r="A137">
        <v>4010</v>
      </c>
      <c r="B137">
        <v>78076.673999999999</v>
      </c>
      <c r="C137">
        <v>1.9995536</v>
      </c>
      <c r="D137">
        <v>8.1690697E-3</v>
      </c>
      <c r="E137">
        <v>0.20075014835499999</v>
      </c>
      <c r="F137">
        <v>0.13436096709000001</v>
      </c>
      <c r="G137">
        <v>1.0000000000010001</v>
      </c>
      <c r="H137">
        <v>248.25002441770701</v>
      </c>
    </row>
    <row r="138" spans="1:8" x14ac:dyDescent="0.3">
      <c r="A138">
        <v>4015</v>
      </c>
      <c r="B138">
        <v>62886.436999999998</v>
      </c>
      <c r="C138">
        <v>2.0012173999999998</v>
      </c>
      <c r="D138">
        <v>7.2879486999999996E-3</v>
      </c>
      <c r="E138">
        <v>0.20031277512000001</v>
      </c>
      <c r="F138">
        <v>0.137424459561</v>
      </c>
      <c r="G138">
        <v>1.0000172022530001</v>
      </c>
      <c r="H138">
        <v>230.78841651532301</v>
      </c>
    </row>
    <row r="139" spans="1:8" x14ac:dyDescent="0.3">
      <c r="A139">
        <v>4020</v>
      </c>
      <c r="B139">
        <v>42217.173999999999</v>
      </c>
      <c r="C139">
        <v>2.0011557</v>
      </c>
      <c r="D139">
        <v>8.8036086999999999E-3</v>
      </c>
      <c r="E139">
        <v>0.20462421761999999</v>
      </c>
      <c r="F139">
        <v>0.13934361706599999</v>
      </c>
      <c r="G139">
        <v>1.0000431862400001</v>
      </c>
      <c r="H139">
        <v>242.06341258811199</v>
      </c>
    </row>
    <row r="140" spans="1:8" x14ac:dyDescent="0.3">
      <c r="A140">
        <v>4025</v>
      </c>
      <c r="B140">
        <v>31794.46</v>
      </c>
      <c r="C140">
        <v>2.0003171000000002</v>
      </c>
      <c r="D140">
        <v>8.8138425000000003E-3</v>
      </c>
      <c r="E140">
        <v>0.214039681988</v>
      </c>
      <c r="F140">
        <v>0.11357325782200001</v>
      </c>
      <c r="G140">
        <v>0.99999194525599999</v>
      </c>
      <c r="H140">
        <v>490.272980512765</v>
      </c>
    </row>
    <row r="141" spans="1:8" x14ac:dyDescent="0.3">
      <c r="A141">
        <v>4030</v>
      </c>
      <c r="B141">
        <v>27584.206999999999</v>
      </c>
      <c r="C141">
        <v>2.0014861000000002</v>
      </c>
      <c r="D141">
        <v>8.8215757000000006E-3</v>
      </c>
      <c r="E141">
        <v>0.22400036098699999</v>
      </c>
      <c r="F141">
        <v>0.10459185076700001</v>
      </c>
      <c r="G141">
        <v>0.99979601454099998</v>
      </c>
      <c r="H141">
        <v>709.15893477716202</v>
      </c>
    </row>
    <row r="142" spans="1:8" x14ac:dyDescent="0.3">
      <c r="A142">
        <v>4035</v>
      </c>
      <c r="B142">
        <v>29556.685000000001</v>
      </c>
      <c r="C142">
        <v>2.000534</v>
      </c>
      <c r="D142">
        <v>8.8040987000000005E-3</v>
      </c>
      <c r="E142">
        <v>0.23022529961099999</v>
      </c>
      <c r="F142">
        <v>0.113885279475</v>
      </c>
      <c r="G142">
        <v>0.99999999990199995</v>
      </c>
      <c r="H142">
        <v>661.41331733107495</v>
      </c>
    </row>
    <row r="143" spans="1:8" x14ac:dyDescent="0.3">
      <c r="A143">
        <v>4040</v>
      </c>
      <c r="B143">
        <v>34031.727999999901</v>
      </c>
      <c r="C143">
        <v>2.0001419</v>
      </c>
      <c r="D143">
        <v>8.7213167000000005E-3</v>
      </c>
      <c r="E143">
        <v>0.153503760973</v>
      </c>
      <c r="F143">
        <v>0.18705676875400001</v>
      </c>
      <c r="G143">
        <v>1.0047286413759999</v>
      </c>
      <c r="H143">
        <v>35.65380065566</v>
      </c>
    </row>
    <row r="144" spans="1:8" x14ac:dyDescent="0.3">
      <c r="A144">
        <v>4045</v>
      </c>
      <c r="B144">
        <v>42810.41</v>
      </c>
      <c r="C144">
        <v>1.9996809</v>
      </c>
      <c r="D144">
        <v>8.4914637000000001E-3</v>
      </c>
      <c r="E144">
        <v>0.17402062191600001</v>
      </c>
      <c r="F144">
        <v>0.253722647227</v>
      </c>
      <c r="G144">
        <v>0.99215515092200002</v>
      </c>
      <c r="H144">
        <v>12.817196626396999</v>
      </c>
    </row>
    <row r="145" spans="1:8" x14ac:dyDescent="0.3">
      <c r="A145">
        <v>4050</v>
      </c>
      <c r="B145">
        <v>48561.64</v>
      </c>
      <c r="C145">
        <v>1.9797667000000001</v>
      </c>
      <c r="D145">
        <v>8.1012193000000003E-3</v>
      </c>
      <c r="E145">
        <v>0.210908789431</v>
      </c>
      <c r="F145">
        <v>0.16089676749199999</v>
      </c>
      <c r="G145">
        <v>1.0000000049469999</v>
      </c>
      <c r="H145">
        <v>164.66167768883199</v>
      </c>
    </row>
    <row r="146" spans="1:8" x14ac:dyDescent="0.3">
      <c r="A146">
        <v>4055</v>
      </c>
      <c r="B146">
        <v>48997.73</v>
      </c>
      <c r="C146">
        <v>1.9846151000000001</v>
      </c>
      <c r="D146">
        <v>8.1532546999999993E-3</v>
      </c>
      <c r="E146">
        <v>0.22853542033800001</v>
      </c>
      <c r="F146">
        <v>0.23981851907400001</v>
      </c>
      <c r="G146">
        <v>1</v>
      </c>
      <c r="H146">
        <v>46.740324971875999</v>
      </c>
    </row>
    <row r="147" spans="1:8" x14ac:dyDescent="0.3">
      <c r="A147">
        <v>4060</v>
      </c>
      <c r="B147">
        <v>54226.758999999998</v>
      </c>
      <c r="C147">
        <v>1.9980334</v>
      </c>
      <c r="D147">
        <v>8.8148206999999999E-3</v>
      </c>
      <c r="E147">
        <v>0.156014219206</v>
      </c>
      <c r="F147">
        <v>0.25840014311100001</v>
      </c>
      <c r="G147">
        <v>1</v>
      </c>
      <c r="H147">
        <v>7.762621677646</v>
      </c>
    </row>
    <row r="148" spans="1:8" x14ac:dyDescent="0.3">
      <c r="A148">
        <v>4065</v>
      </c>
      <c r="B148">
        <v>71081.751999999993</v>
      </c>
      <c r="C148">
        <v>2.1042576999999998</v>
      </c>
      <c r="D148">
        <v>8.8082842000000005E-3</v>
      </c>
      <c r="E148">
        <v>8.7738425288999999E-2</v>
      </c>
      <c r="F148">
        <v>0.29158569139000001</v>
      </c>
      <c r="G148">
        <v>1</v>
      </c>
      <c r="H148">
        <v>0.16292465510500001</v>
      </c>
    </row>
    <row r="149" spans="1:8" x14ac:dyDescent="0.3">
      <c r="A149">
        <v>4070</v>
      </c>
      <c r="B149">
        <v>72756.625999999902</v>
      </c>
      <c r="C149">
        <v>2.3330381999999998</v>
      </c>
      <c r="D149">
        <v>8.8243613999999995E-3</v>
      </c>
      <c r="E149">
        <v>1.9423712523E-2</v>
      </c>
      <c r="F149">
        <v>0.50317481273099995</v>
      </c>
      <c r="G149">
        <v>1.0000000223209999</v>
      </c>
      <c r="H149">
        <v>-1.1240698119999999E-3</v>
      </c>
    </row>
    <row r="150" spans="1:8" x14ac:dyDescent="0.3">
      <c r="A150">
        <v>4075</v>
      </c>
      <c r="B150">
        <v>83526.789000000004</v>
      </c>
      <c r="C150">
        <v>2.3333259000000002</v>
      </c>
      <c r="D150">
        <v>8.7985596999999999E-3</v>
      </c>
      <c r="E150">
        <v>5.4682587226000001E-2</v>
      </c>
      <c r="F150">
        <v>0.68964006743899997</v>
      </c>
      <c r="G150">
        <v>1.000097983836</v>
      </c>
      <c r="H150">
        <v>2.26149794E-3</v>
      </c>
    </row>
    <row r="151" spans="1:8" x14ac:dyDescent="0.3">
      <c r="A151">
        <v>4080</v>
      </c>
      <c r="B151">
        <v>84496.548999999999</v>
      </c>
      <c r="C151">
        <v>2.334673</v>
      </c>
      <c r="D151">
        <v>8.374846E-3</v>
      </c>
      <c r="E151">
        <v>2.2856999999999999E-2</v>
      </c>
      <c r="F151">
        <v>0.64010001464400001</v>
      </c>
      <c r="G151">
        <v>1</v>
      </c>
      <c r="H151">
        <v>1E-3</v>
      </c>
    </row>
    <row r="152" spans="1:8" x14ac:dyDescent="0.3">
      <c r="A152">
        <v>4085</v>
      </c>
      <c r="B152">
        <v>86658.558999999994</v>
      </c>
      <c r="C152">
        <v>2.3313385000000002</v>
      </c>
      <c r="D152">
        <v>8.4540850999999997E-3</v>
      </c>
      <c r="E152">
        <v>2.2856999999999999E-2</v>
      </c>
      <c r="F152">
        <v>0.6401</v>
      </c>
      <c r="G152">
        <v>1</v>
      </c>
      <c r="H152">
        <v>1E-3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Controls</vt:lpstr>
      <vt:lpstr>Dashboard_Data</vt:lpstr>
      <vt:lpstr>Summary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HISHAM ALJINDAN</dc:creator>
  <cp:lastModifiedBy>FAISAL BANDAR ALABBAS</cp:lastModifiedBy>
  <dcterms:created xsi:type="dcterms:W3CDTF">2026-03-29T23:18:16Z</dcterms:created>
  <dcterms:modified xsi:type="dcterms:W3CDTF">2026-04-06T08:28:02Z</dcterms:modified>
</cp:coreProperties>
</file>